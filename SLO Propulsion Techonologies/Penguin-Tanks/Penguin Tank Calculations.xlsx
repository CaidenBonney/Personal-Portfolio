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cpslo.sharepoint.com/sites/CalPolyPropulsionTechnologies/Shared Documents/Penguin/Subsystems/Tanks/"/>
    </mc:Choice>
  </mc:AlternateContent>
  <xr:revisionPtr revIDLastSave="1930" documentId="11_7B0A8EEB807F36EA6031F322022D4124C67EF4EB" xr6:coauthVersionLast="47" xr6:coauthVersionMax="47" xr10:uidLastSave="{103D7E3D-3E2A-4915-8FC2-1B16A66E1BE1}"/>
  <bookViews>
    <workbookView minimized="1" xWindow="30" yWindow="390" windowWidth="38370" windowHeight="20160" xr2:uid="{00000000-000D-0000-FFFF-FFFF00000000}"/>
  </bookViews>
  <sheets>
    <sheet name="Penguin - Tank Calculations" sheetId="2" r:id="rId1"/>
    <sheet name="CDR Calcs" sheetId="5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2" l="1"/>
  <c r="C54" i="2"/>
  <c r="K15" i="5"/>
  <c r="I15" i="5"/>
  <c r="J15" i="5"/>
  <c r="P3" i="5"/>
  <c r="P4" i="5"/>
  <c r="P5" i="5"/>
  <c r="P6" i="5"/>
  <c r="P7" i="5"/>
  <c r="P8" i="5"/>
  <c r="P12" i="5"/>
  <c r="P9" i="5"/>
  <c r="P10" i="5"/>
  <c r="P11" i="5"/>
  <c r="P13" i="5"/>
  <c r="P14" i="5"/>
  <c r="P15" i="5"/>
  <c r="P16" i="5"/>
  <c r="P17" i="5"/>
  <c r="P18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S9" i="2"/>
  <c r="G11" i="2"/>
  <c r="D51" i="2"/>
  <c r="AB23" i="2"/>
  <c r="AB14" i="2"/>
  <c r="C33" i="2"/>
  <c r="D31" i="2"/>
  <c r="D34" i="2"/>
  <c r="D33" i="2"/>
  <c r="D32" i="2"/>
  <c r="AJ11" i="2"/>
  <c r="AJ8" i="2"/>
  <c r="AB21" i="2" l="1"/>
  <c r="AB12" i="2"/>
  <c r="C17" i="2" l="1"/>
  <c r="P22" i="2"/>
  <c r="P11" i="2"/>
  <c r="P10" i="2"/>
  <c r="C46" i="2"/>
  <c r="J10" i="5" s="1"/>
  <c r="D46" i="2"/>
  <c r="C47" i="2"/>
  <c r="I10" i="5" s="1"/>
  <c r="D47" i="2"/>
  <c r="AT12" i="2"/>
  <c r="AT11" i="2"/>
  <c r="L8" i="5"/>
  <c r="AF8" i="2"/>
  <c r="AB22" i="2"/>
  <c r="AB20" i="2"/>
  <c r="AB19" i="2"/>
  <c r="AB17" i="2"/>
  <c r="AB13" i="2"/>
  <c r="AB10" i="2"/>
  <c r="AB11" i="2"/>
  <c r="AB8" i="2"/>
  <c r="X9" i="2"/>
  <c r="C61" i="2"/>
  <c r="X10" i="2"/>
  <c r="C59" i="2"/>
  <c r="C64" i="2"/>
  <c r="C65" i="2" s="1"/>
  <c r="J18" i="5" s="1"/>
  <c r="D65" i="2"/>
  <c r="D64" i="2"/>
  <c r="D59" i="2"/>
  <c r="D52" i="2"/>
  <c r="D58" i="2"/>
  <c r="D57" i="2"/>
  <c r="D56" i="2"/>
  <c r="C50" i="2"/>
  <c r="AA21" i="2" s="1"/>
  <c r="C55" i="2"/>
  <c r="D55" i="2"/>
  <c r="B55" i="2"/>
  <c r="D50" i="2"/>
  <c r="D54" i="2"/>
  <c r="BB33" i="2"/>
  <c r="BA33" i="2"/>
  <c r="BO29" i="2"/>
  <c r="BI29" i="2"/>
  <c r="BO28" i="2"/>
  <c r="BI28" i="2"/>
  <c r="BO27" i="2"/>
  <c r="BI27" i="2"/>
  <c r="BO26" i="2"/>
  <c r="BI26" i="2"/>
  <c r="BO25" i="2"/>
  <c r="BI25" i="2"/>
  <c r="BO24" i="2"/>
  <c r="BI24" i="2"/>
  <c r="BO23" i="2"/>
  <c r="BI23" i="2"/>
  <c r="BO22" i="2"/>
  <c r="BI22" i="2"/>
  <c r="BO21" i="2"/>
  <c r="BI21" i="2"/>
  <c r="BO20" i="2"/>
  <c r="BI20" i="2"/>
  <c r="BO19" i="2"/>
  <c r="BI19" i="2"/>
  <c r="BO18" i="2"/>
  <c r="BI18" i="2"/>
  <c r="BO17" i="2"/>
  <c r="BI17" i="2"/>
  <c r="BO16" i="2"/>
  <c r="BI16" i="2"/>
  <c r="BO15" i="2"/>
  <c r="BI15" i="2"/>
  <c r="BG15" i="2"/>
  <c r="BF15" i="2"/>
  <c r="BE15" i="2"/>
  <c r="BO14" i="2"/>
  <c r="BI14" i="2"/>
  <c r="BG14" i="2"/>
  <c r="BF14" i="2"/>
  <c r="BE14" i="2"/>
  <c r="BO13" i="2"/>
  <c r="BI13" i="2"/>
  <c r="BG13" i="2"/>
  <c r="BF13" i="2"/>
  <c r="BE13" i="2"/>
  <c r="BO12" i="2"/>
  <c r="BI12" i="2"/>
  <c r="BG12" i="2"/>
  <c r="BF12" i="2"/>
  <c r="BE12" i="2"/>
  <c r="BO11" i="2"/>
  <c r="BI11" i="2"/>
  <c r="BG11" i="2"/>
  <c r="BF11" i="2"/>
  <c r="BE11" i="2"/>
  <c r="BO10" i="2"/>
  <c r="BI10" i="2"/>
  <c r="BG10" i="2"/>
  <c r="BF10" i="2"/>
  <c r="BE10" i="2"/>
  <c r="BO9" i="2"/>
  <c r="BI9" i="2"/>
  <c r="BG9" i="2"/>
  <c r="BF9" i="2"/>
  <c r="BE9" i="2"/>
  <c r="BO8" i="2"/>
  <c r="BM8" i="2"/>
  <c r="BL8" i="2"/>
  <c r="BK8" i="2"/>
  <c r="BI8" i="2"/>
  <c r="BG8" i="2"/>
  <c r="BF8" i="2"/>
  <c r="BE8" i="2"/>
  <c r="C49" i="2" l="1"/>
  <c r="AA12" i="2"/>
  <c r="C56" i="2"/>
  <c r="C57" i="2"/>
  <c r="C58" i="2" s="1"/>
  <c r="T12" i="2" l="1"/>
  <c r="T11" i="2"/>
  <c r="T10" i="2"/>
  <c r="T8" i="2"/>
  <c r="T9" i="2"/>
  <c r="P27" i="2"/>
  <c r="P23" i="2"/>
  <c r="P21" i="2"/>
  <c r="P20" i="2"/>
  <c r="P35" i="2"/>
  <c r="P34" i="2"/>
  <c r="P33" i="2"/>
  <c r="X8" i="2"/>
  <c r="O31" i="2"/>
  <c r="P31" i="2"/>
  <c r="P32" i="2"/>
  <c r="P30" i="2"/>
  <c r="D30" i="2"/>
  <c r="P16" i="2"/>
  <c r="P12" i="2"/>
  <c r="P9" i="2"/>
  <c r="L128" i="2"/>
  <c r="L127" i="2"/>
  <c r="L126" i="2"/>
  <c r="L125" i="2"/>
  <c r="L124" i="2"/>
  <c r="K122" i="2"/>
  <c r="L119" i="2"/>
  <c r="L118" i="2"/>
  <c r="L116" i="2"/>
  <c r="L113" i="2"/>
  <c r="L112" i="2"/>
  <c r="L111" i="2"/>
  <c r="K111" i="2"/>
  <c r="L110" i="2"/>
  <c r="K109" i="2"/>
  <c r="L106" i="2"/>
  <c r="K106" i="2"/>
  <c r="L102" i="2"/>
  <c r="L101" i="2"/>
  <c r="L100" i="2"/>
  <c r="K100" i="2"/>
  <c r="L99" i="2"/>
  <c r="L98" i="2"/>
  <c r="L97" i="2"/>
  <c r="K97" i="2"/>
  <c r="K98" i="2" s="1"/>
  <c r="K99" i="2" s="1"/>
  <c r="K101" i="2" s="1"/>
  <c r="K96" i="2"/>
  <c r="L95" i="2"/>
  <c r="L94" i="2"/>
  <c r="K94" i="2"/>
  <c r="K95" i="2" s="1"/>
  <c r="L11" i="2"/>
  <c r="L8" i="2"/>
  <c r="D37" i="2"/>
  <c r="D29" i="2"/>
  <c r="H34" i="2"/>
  <c r="H33" i="2"/>
  <c r="G33" i="2"/>
  <c r="H32" i="2"/>
  <c r="H12" i="2"/>
  <c r="H10" i="2"/>
  <c r="H11" i="2"/>
  <c r="D22" i="2"/>
  <c r="D11" i="2"/>
  <c r="D45" i="2"/>
  <c r="D44" i="2"/>
  <c r="C44" i="2"/>
  <c r="D43" i="2"/>
  <c r="C43" i="2"/>
  <c r="D42" i="2"/>
  <c r="C42" i="2"/>
  <c r="D41" i="2"/>
  <c r="C41" i="2"/>
  <c r="D40" i="2"/>
  <c r="C40" i="2"/>
  <c r="D25" i="2"/>
  <c r="D14" i="2"/>
  <c r="D24" i="2"/>
  <c r="D23" i="2"/>
  <c r="C23" i="2"/>
  <c r="C24" i="2" s="1"/>
  <c r="D21" i="2"/>
  <c r="D20" i="2"/>
  <c r="D19" i="2"/>
  <c r="C19" i="2"/>
  <c r="D18" i="2"/>
  <c r="D17" i="2"/>
  <c r="C20" i="2"/>
  <c r="AT10" i="2"/>
  <c r="D13" i="2"/>
  <c r="D10" i="2"/>
  <c r="D8" i="2"/>
  <c r="D7" i="2"/>
  <c r="C8" i="2"/>
  <c r="K11" i="2" s="1"/>
  <c r="K16" i="5" s="1"/>
  <c r="D9" i="2"/>
  <c r="AV10" i="2"/>
  <c r="C45" i="2" s="1"/>
  <c r="AN14" i="2"/>
  <c r="AN13" i="2"/>
  <c r="AN12" i="2"/>
  <c r="AN11" i="2"/>
  <c r="C6" i="2"/>
  <c r="C9" i="2" s="1"/>
  <c r="C32" i="2" s="1"/>
  <c r="C13" i="2"/>
  <c r="D12" i="2"/>
  <c r="J13" i="5" l="1"/>
  <c r="J5" i="5"/>
  <c r="J3" i="5"/>
  <c r="J16" i="5"/>
  <c r="J14" i="5"/>
  <c r="J12" i="5"/>
  <c r="J17" i="5"/>
  <c r="J11" i="5"/>
  <c r="J9" i="5"/>
  <c r="J7" i="5"/>
  <c r="J6" i="5"/>
  <c r="J4" i="5"/>
  <c r="I9" i="5"/>
  <c r="I12" i="5"/>
  <c r="I16" i="5"/>
  <c r="L16" i="5" s="1"/>
  <c r="I5" i="5"/>
  <c r="I3" i="5"/>
  <c r="I7" i="5"/>
  <c r="I6" i="5"/>
  <c r="I11" i="5"/>
  <c r="I4" i="5"/>
  <c r="I17" i="5"/>
  <c r="I14" i="5"/>
  <c r="I13" i="5"/>
  <c r="O30" i="2"/>
  <c r="O32" i="2" s="1"/>
  <c r="O35" i="2" s="1"/>
  <c r="K8" i="5" s="1"/>
  <c r="O21" i="2"/>
  <c r="O22" i="2" s="1"/>
  <c r="O23" i="2" s="1"/>
  <c r="O24" i="2" s="1"/>
  <c r="O20" i="2"/>
  <c r="W8" i="2"/>
  <c r="W9" i="2" s="1"/>
  <c r="O10" i="2"/>
  <c r="O11" i="2" s="1"/>
  <c r="K8" i="2"/>
  <c r="K3" i="5" s="1"/>
  <c r="O9" i="2"/>
  <c r="S8" i="2" s="1"/>
  <c r="S11" i="2"/>
  <c r="O25" i="2"/>
  <c r="O14" i="2"/>
  <c r="G12" i="2"/>
  <c r="K124" i="2"/>
  <c r="K125" i="2" s="1"/>
  <c r="K102" i="2"/>
  <c r="K119" i="2"/>
  <c r="K110" i="2"/>
  <c r="K112" i="2" s="1"/>
  <c r="K113" i="2" s="1"/>
  <c r="K114" i="2" s="1"/>
  <c r="K116" i="2" s="1"/>
  <c r="C21" i="2"/>
  <c r="C22" i="2" s="1"/>
  <c r="G32" i="2" s="1"/>
  <c r="K14" i="5" s="1"/>
  <c r="G34" i="2"/>
  <c r="K13" i="5" s="1"/>
  <c r="C10" i="2"/>
  <c r="C11" i="2" s="1"/>
  <c r="O12" i="2" l="1"/>
  <c r="O13" i="2" s="1"/>
  <c r="L3" i="5"/>
  <c r="M3" i="5"/>
  <c r="S12" i="2"/>
  <c r="AI11" i="2"/>
  <c r="K5" i="5" s="1"/>
  <c r="M5" i="5" s="1"/>
  <c r="AI8" i="2"/>
  <c r="K6" i="5"/>
  <c r="M6" i="5" s="1"/>
  <c r="M16" i="5"/>
  <c r="AA8" i="2"/>
  <c r="AA10" i="2" s="1"/>
  <c r="AE8" i="2" s="1"/>
  <c r="K10" i="5" s="1"/>
  <c r="W10" i="2"/>
  <c r="K18" i="5" s="1"/>
  <c r="M18" i="5" s="1"/>
  <c r="P15" i="2"/>
  <c r="AA17" i="2"/>
  <c r="AA19" i="2" s="1"/>
  <c r="P26" i="2"/>
  <c r="O16" i="2"/>
  <c r="I8" i="5" s="1"/>
  <c r="O27" i="2"/>
  <c r="H30" i="2"/>
  <c r="K126" i="2"/>
  <c r="K127" i="2" s="1"/>
  <c r="G10" i="2"/>
  <c r="K7" i="5" s="1"/>
  <c r="L7" i="5" s="1"/>
  <c r="H8" i="2"/>
  <c r="L5" i="5" l="1"/>
  <c r="K11" i="5"/>
  <c r="M11" i="5" s="1"/>
  <c r="K12" i="5"/>
  <c r="L12" i="5" s="1"/>
  <c r="L10" i="5"/>
  <c r="M10" i="5"/>
  <c r="M7" i="5"/>
  <c r="L6" i="5"/>
  <c r="AA22" i="2"/>
  <c r="AA13" i="2"/>
  <c r="AA14" i="2" s="1"/>
  <c r="K9" i="5" s="1"/>
  <c r="K128" i="2"/>
  <c r="H128" i="2"/>
  <c r="H127" i="2"/>
  <c r="H126" i="2"/>
  <c r="H125" i="2"/>
  <c r="H124" i="2"/>
  <c r="G122" i="2"/>
  <c r="H119" i="2"/>
  <c r="H118" i="2"/>
  <c r="H116" i="2"/>
  <c r="H113" i="2"/>
  <c r="H112" i="2"/>
  <c r="H111" i="2"/>
  <c r="G111" i="2"/>
  <c r="H110" i="2"/>
  <c r="H106" i="2"/>
  <c r="G109" i="2"/>
  <c r="H102" i="2"/>
  <c r="H101" i="2"/>
  <c r="H100" i="2"/>
  <c r="H99" i="2"/>
  <c r="H98" i="2"/>
  <c r="H97" i="2"/>
  <c r="G97" i="2"/>
  <c r="G119" i="2" s="1"/>
  <c r="G96" i="2"/>
  <c r="G110" i="2" s="1"/>
  <c r="H95" i="2"/>
  <c r="D6" i="2"/>
  <c r="H94" i="2"/>
  <c r="G94" i="2"/>
  <c r="G95" i="2" s="1"/>
  <c r="L11" i="5" l="1"/>
  <c r="M12" i="5"/>
  <c r="AA23" i="2"/>
  <c r="M9" i="5"/>
  <c r="L9" i="5"/>
  <c r="G98" i="2"/>
  <c r="G99" i="2" s="1"/>
  <c r="G112" i="2"/>
  <c r="G100" i="2"/>
  <c r="G106" i="2"/>
  <c r="K17" i="5" l="1"/>
  <c r="K4" i="5"/>
  <c r="L4" i="5" s="1"/>
  <c r="G101" i="2"/>
  <c r="G102" i="2" s="1"/>
  <c r="G113" i="2"/>
  <c r="G114" i="2" s="1"/>
  <c r="G116" i="2" s="1"/>
  <c r="M4" i="5" l="1"/>
  <c r="M17" i="5"/>
  <c r="L17" i="5"/>
  <c r="G124" i="2"/>
  <c r="G126" i="2" s="1"/>
  <c r="G125" i="2" l="1"/>
  <c r="G128" i="2"/>
  <c r="G1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  <author>Caiden Bonney</author>
  </authors>
  <commentList>
    <comment ref="P11" authorId="0" shapeId="0" xr:uid="{0411B42C-59D1-4D78-B03F-043060357B6E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Changes Metric to m^2</t>
        </r>
      </text>
    </comment>
    <comment ref="C14" authorId="0" shapeId="0" xr:uid="{4FAA23FC-6D4A-3847-B11D-E4030AEC4ADF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Critical Point Pressure for Nitrous Oxide should be 1070 psi</t>
        </r>
      </text>
    </comment>
    <comment ref="O16" authorId="0" shapeId="0" xr:uid="{B5776415-CCD5-4D4C-B947-42B7842F0A2F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Did not check units on Metric</t>
        </r>
      </text>
    </comment>
    <comment ref="P22" authorId="0" shapeId="0" xr:uid="{79D3C65A-F1DF-4681-8F86-5CF9100A2CE4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Changes Metric to m^2</t>
        </r>
      </text>
    </comment>
    <comment ref="C25" authorId="0" shapeId="0" xr:uid="{31A745C1-1A27-C149-944E-054D7C754D2F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Expected pressure during opperation is 0 as the pressure inside and outside the tank should be 0.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 the ethanol is filled to a pressurized state before firing then change this number to that to ensure that the inner tank can withstand the pressure of just the ethanol before the nitrous is filled</t>
        </r>
      </text>
    </comment>
    <comment ref="O27" authorId="0" shapeId="0" xr:uid="{CDE45537-F14C-5F41-8188-3F358EA3A424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Did not check units on Metric</t>
        </r>
      </text>
    </comment>
    <comment ref="C29" authorId="0" shapeId="0" xr:uid="{3F273C32-7F93-B141-8AA7-E92E0BB95AEC}">
      <text>
        <r>
          <rPr>
            <b/>
            <sz val="10"/>
            <color rgb="FF000000"/>
            <rFont val="Tahoma"/>
            <family val="2"/>
          </rPr>
          <t>Caiden Logan Bonney: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Thickness of the thinnest part of the bulkhead that is within the inner diameter of the outer wall</t>
        </r>
      </text>
    </comment>
    <comment ref="C37" authorId="1" shapeId="0" xr:uid="{D28C6EE4-7AE1-4292-9CF5-0C54F15FAC2E}">
      <text>
        <r>
          <rPr>
            <b/>
            <sz val="9"/>
            <color indexed="81"/>
            <rFont val="Tahoma"/>
            <charset val="1"/>
          </rPr>
          <t>Caiden Bonney:</t>
        </r>
        <r>
          <rPr>
            <sz val="9"/>
            <color indexed="81"/>
            <rFont val="Tahoma"/>
            <charset val="1"/>
          </rPr>
          <t xml:space="preserve">
Thickness of bottom bulkhead from nitrous bottom to bottom</t>
        </r>
      </text>
    </comment>
    <comment ref="C61" authorId="1" shapeId="0" xr:uid="{D04943C8-CC3B-411C-974A-1F39F99ECF90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Assuming only 90% of the bolts carry load</t>
        </r>
      </text>
    </comment>
    <comment ref="F96" authorId="1" shapeId="0" xr:uid="{194AE5FC-68BD-7243-B6E2-2AFF2162ACE1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Linear Approximates Y based on the given # teeth, N
</t>
        </r>
        <r>
          <rPr>
            <sz val="9"/>
            <color rgb="FF000000"/>
            <rFont val="Tahoma"/>
            <family val="2"/>
          </rPr>
          <t>Table 14-2</t>
        </r>
      </text>
    </comment>
    <comment ref="J96" authorId="1" shapeId="0" xr:uid="{37F1CD8A-F310-4641-8583-644D1F0E46CF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Linear Approximates Y based on the given # teeth, N
</t>
        </r>
        <r>
          <rPr>
            <sz val="9"/>
            <color rgb="FF000000"/>
            <rFont val="Tahoma"/>
            <family val="2"/>
          </rPr>
          <t>Table 14-2</t>
        </r>
      </text>
    </comment>
    <comment ref="F106" authorId="1" shapeId="0" xr:uid="{B9E15FB2-AC4D-D14B-B850-01C4C7C887D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Only need to change when not within equation range</t>
        </r>
      </text>
    </comment>
    <comment ref="J106" authorId="1" shapeId="0" xr:uid="{A015431F-4314-4448-A51F-8AB02AF557A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Only need to change when not within equation range</t>
        </r>
      </text>
    </comment>
    <comment ref="F107" authorId="1" shapeId="0" xr:uid="{0753FC02-9EB4-0C4A-8026-E1D04A3E2B05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will need to change if not machined or cold-drawn</t>
        </r>
      </text>
    </comment>
    <comment ref="J107" authorId="1" shapeId="0" xr:uid="{5F41989D-A648-F844-A078-B2F21C94D0A2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will need to change if not machined or cold-drawn</t>
        </r>
      </text>
    </comment>
    <comment ref="F108" authorId="1" shapeId="0" xr:uid="{6DA3A14F-473A-E647-ABB5-DE97F1F16E33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will need to change if not machined or cold-drawn</t>
        </r>
      </text>
    </comment>
    <comment ref="J108" authorId="1" shapeId="0" xr:uid="{0F44A224-10FB-6046-A42E-3A91152D0420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will need to change if not machined or cold-drawn</t>
        </r>
      </text>
    </comment>
    <comment ref="F114" authorId="1" shapeId="0" xr:uid="{B08E7971-7234-9F43-A5AA-1251C1EF355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de is not within range of formula on right</t>
        </r>
      </text>
    </comment>
    <comment ref="J114" authorId="1" shapeId="0" xr:uid="{27078BA0-E61B-394E-8AF1-B03816FACDD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will need to change if de is not within range of formula on right</t>
        </r>
      </text>
    </comment>
    <comment ref="F115" authorId="1" shapeId="0" xr:uid="{7C94BC13-1CD6-1442-BEA9-63FA5512B5B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since this is for bending will always be 1</t>
        </r>
      </text>
    </comment>
    <comment ref="J115" authorId="1" shapeId="0" xr:uid="{159EF4D1-9AF8-FD4A-8876-6CCFE01F197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since this is for bending will always be 1</t>
        </r>
      </text>
    </comment>
    <comment ref="F120" authorId="1" shapeId="0" xr:uid="{C18171A3-0CC9-C345-AC28-E11C48266D8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J120" authorId="1" shapeId="0" xr:uid="{AC8EB87A-2C69-E94A-9376-96FAD6D2E17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no idea how this was the value from table A-15-6</t>
        </r>
      </text>
    </comment>
    <comment ref="F121" authorId="1" shapeId="0" xr:uid="{DCD34854-56E3-504D-B0F9-DFB9A6DB039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  <comment ref="J121" authorId="1" shapeId="0" xr:uid="{4B6EDF1E-661F-8B46-9754-E5A19703244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figure 6-26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I8" authorId="0" shapeId="0" xr:uid="{5202F4CE-D0A2-4C22-8023-65E14D04B52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Critical Load before buckling</t>
        </r>
      </text>
    </comment>
    <comment ref="K8" authorId="0" shapeId="0" xr:uid="{6B1E9343-62E2-4DD9-A17F-398267F94AF2}">
      <text>
        <r>
          <rPr>
            <b/>
            <sz val="9"/>
            <color indexed="81"/>
            <rFont val="Tahoma"/>
            <family val="2"/>
          </rPr>
          <t xml:space="preserve">Caiden Bonney:
</t>
        </r>
        <r>
          <rPr>
            <sz val="9"/>
            <color indexed="81"/>
            <rFont val="Tahoma"/>
            <family val="2"/>
          </rPr>
          <t>Weight + Max Drag on Vehicle in lbf</t>
        </r>
      </text>
    </comment>
    <comment ref="I10" authorId="0" shapeId="0" xr:uid="{8AAFD0C1-3018-4544-B8AF-BCF5B079EDE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Bearing Yield Strength</t>
        </r>
      </text>
    </comment>
    <comment ref="J10" authorId="0" shapeId="0" xr:uid="{780A781E-B0EA-4B80-B1A5-D54BF91C502F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Bearing Ultimate Strength</t>
        </r>
      </text>
    </comment>
    <comment ref="J18" authorId="0" shapeId="0" xr:uid="{01F08364-9935-4800-9395-87902C5B7DF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Shear Stress of bolt material calcualted through adjusting Ultimate tensile strength with Von Mises</t>
        </r>
      </text>
    </comment>
    <comment ref="K18" authorId="0" shapeId="0" xr:uid="{7B637DB7-909D-4DA0-9857-500B4EFD97F0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Shear Stress applied to bolts</t>
        </r>
      </text>
    </comment>
    <comment ref="U28" authorId="0" shapeId="0" xr:uid="{544FCDC5-3A20-4A5C-A365-60EEBF782BC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It would be dangerous to test with the real propellants however this is the only way to test this physically past hand calcs</t>
        </r>
      </text>
    </comment>
    <comment ref="S29" authorId="0" shapeId="0" xr:uid="{C9E58AD5-8C1D-4F36-86CC-844D0A962EA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200 lb should be changed to the force to be put on the rocket during landing </t>
        </r>
      </text>
    </comment>
    <comment ref="U29" authorId="0" shapeId="0" xr:uid="{B559ADED-2D3C-4585-8EBC-66E652471A7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We could test this through drop tests but we would risk causing damage to the tanks before launch for a low priority requirement</t>
        </r>
      </text>
    </comment>
  </commentList>
</comments>
</file>

<file path=xl/sharedStrings.xml><?xml version="1.0" encoding="utf-8"?>
<sst xmlns="http://schemas.openxmlformats.org/spreadsheetml/2006/main" count="432" uniqueCount="236">
  <si>
    <t>INPUTS</t>
  </si>
  <si>
    <t>Units:</t>
  </si>
  <si>
    <t>English</t>
  </si>
  <si>
    <t>OUTPUTS</t>
  </si>
  <si>
    <r>
      <t>Allowable Sress, σ</t>
    </r>
    <r>
      <rPr>
        <vertAlign val="subscript"/>
        <sz val="11"/>
        <color theme="1"/>
        <rFont val="Aptos Narrow"/>
        <family val="2"/>
        <scheme val="minor"/>
      </rPr>
      <t>allowable</t>
    </r>
  </si>
  <si>
    <t>Lewis Form factor, Y</t>
  </si>
  <si>
    <t>-</t>
  </si>
  <si>
    <t>pitch diameter, d</t>
  </si>
  <si>
    <t>Pitch Line Velocity, V</t>
  </si>
  <si>
    <r>
      <t>Velocity factor K</t>
    </r>
    <r>
      <rPr>
        <vertAlign val="subscript"/>
        <sz val="11"/>
        <color theme="1"/>
        <rFont val="Aptos Narrow"/>
        <family val="2"/>
        <scheme val="minor"/>
      </rPr>
      <t>v</t>
    </r>
  </si>
  <si>
    <r>
      <t>Tangent Load per Power Out, W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/H</t>
    </r>
  </si>
  <si>
    <t>Output Power, H</t>
  </si>
  <si>
    <t>close enough to 6.95 HP from video</t>
  </si>
  <si>
    <r>
      <t>Estimated Endurance Strength, S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'</t>
    </r>
  </si>
  <si>
    <r>
      <t>Factor a for, 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</si>
  <si>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Factor b for, 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</si>
  <si>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a</t>
    </r>
  </si>
  <si>
    <t>x</t>
  </si>
  <si>
    <t>l</t>
  </si>
  <si>
    <t>t</t>
  </si>
  <si>
    <r>
      <t>Effective diameter, d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</si>
  <si>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</si>
  <si>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Correction factor, k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</si>
  <si>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Endurance Strength, S</t>
    </r>
    <r>
      <rPr>
        <vertAlign val="subscript"/>
        <sz val="11"/>
        <color theme="1"/>
        <rFont val="Aptos Narrow"/>
        <family val="2"/>
        <scheme val="minor"/>
      </rPr>
      <t>e</t>
    </r>
  </si>
  <si>
    <t>fillet radius r</t>
  </si>
  <si>
    <t>Circular pitch, p</t>
  </si>
  <si>
    <r>
      <t>K</t>
    </r>
    <r>
      <rPr>
        <vertAlign val="subscript"/>
        <sz val="11"/>
        <color theme="1"/>
        <rFont val="Aptos Narrow"/>
        <family val="2"/>
        <scheme val="minor"/>
      </rPr>
      <t>t</t>
    </r>
  </si>
  <si>
    <t>q</t>
  </si>
  <si>
    <r>
      <t>SCF K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</si>
  <si>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Bend Stress per Power out, σ</t>
    </r>
    <r>
      <rPr>
        <vertAlign val="subscript"/>
        <sz val="11"/>
        <color theme="1"/>
        <rFont val="Aptos Narrow"/>
        <family val="2"/>
        <scheme val="minor"/>
      </rPr>
      <t>bend</t>
    </r>
    <r>
      <rPr>
        <sz val="11"/>
        <color theme="1"/>
        <rFont val="Aptos Narrow"/>
        <family val="2"/>
        <scheme val="minor"/>
      </rPr>
      <t>/H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</si>
  <si>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/H = 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/H</t>
    </r>
  </si>
  <si>
    <t>close enough to 5.38 HP from video</t>
  </si>
  <si>
    <t>Material Properties of Aluminum</t>
  </si>
  <si>
    <t>https://www.coremarkmetals.com/6061-t6-aluminum-round-tube</t>
  </si>
  <si>
    <t>Property</t>
  </si>
  <si>
    <t>Density</t>
  </si>
  <si>
    <t>Ultimate Tensile Strength</t>
  </si>
  <si>
    <t>psi</t>
  </si>
  <si>
    <t>Yield Tensile Strength</t>
  </si>
  <si>
    <t>Fatigue Strength</t>
  </si>
  <si>
    <t>Shear Strength</t>
  </si>
  <si>
    <t>Melting Point</t>
  </si>
  <si>
    <t>582 - 652</t>
  </si>
  <si>
    <t>°C</t>
  </si>
  <si>
    <t>1,080 - 1,205</t>
  </si>
  <si>
    <t>°F</t>
  </si>
  <si>
    <t>Hardness Rockwell</t>
  </si>
  <si>
    <t>B60</t>
  </si>
  <si>
    <t>Hardness Brinell</t>
  </si>
  <si>
    <t>https://asm.matweb.com/search/specificmaterial.asp?bassnum=ma6061t6</t>
  </si>
  <si>
    <t>Modulus of Elasticity, E</t>
  </si>
  <si>
    <t>Tables</t>
  </si>
  <si>
    <t>Metric</t>
  </si>
  <si>
    <t>Imperial</t>
  </si>
  <si>
    <t>Value</t>
  </si>
  <si>
    <t>Units</t>
  </si>
  <si>
    <t>Pa</t>
  </si>
  <si>
    <r>
      <t>Outer diameter, D</t>
    </r>
    <r>
      <rPr>
        <vertAlign val="subscript"/>
        <sz val="11"/>
        <color theme="1"/>
        <rFont val="Aptos Narrow (Body)"/>
      </rPr>
      <t>O</t>
    </r>
  </si>
  <si>
    <r>
      <t>Wall thickness, t</t>
    </r>
    <r>
      <rPr>
        <vertAlign val="subscript"/>
        <sz val="11"/>
        <color theme="1"/>
        <rFont val="Aptos Narrow (Body)"/>
      </rPr>
      <t>O</t>
    </r>
  </si>
  <si>
    <r>
      <t>Inner diameter, d</t>
    </r>
    <r>
      <rPr>
        <vertAlign val="subscript"/>
        <sz val="11"/>
        <color theme="1"/>
        <rFont val="Aptos Narrow (Body)"/>
      </rPr>
      <t>O</t>
    </r>
  </si>
  <si>
    <r>
      <t>inner radius, r</t>
    </r>
    <r>
      <rPr>
        <vertAlign val="subscript"/>
        <sz val="11"/>
        <color theme="1"/>
        <rFont val="Aptos Narrow (Body)"/>
      </rPr>
      <t>O</t>
    </r>
  </si>
  <si>
    <r>
      <t>Length, l</t>
    </r>
    <r>
      <rPr>
        <vertAlign val="subscript"/>
        <sz val="11"/>
        <color theme="1"/>
        <rFont val="Aptos Narrow (Body)"/>
      </rPr>
      <t>O</t>
    </r>
  </si>
  <si>
    <r>
      <t>Wall thickness, t</t>
    </r>
    <r>
      <rPr>
        <vertAlign val="subscript"/>
        <sz val="11"/>
        <color theme="1"/>
        <rFont val="Aptos Narrow (Body)"/>
      </rPr>
      <t>i</t>
    </r>
  </si>
  <si>
    <r>
      <t>Outer diameter, D</t>
    </r>
    <r>
      <rPr>
        <vertAlign val="subscript"/>
        <sz val="11"/>
        <color theme="1"/>
        <rFont val="Aptos Narrow (Body)"/>
      </rPr>
      <t>i</t>
    </r>
  </si>
  <si>
    <r>
      <t>Inner diameter, d</t>
    </r>
    <r>
      <rPr>
        <vertAlign val="subscript"/>
        <sz val="11"/>
        <color theme="1"/>
        <rFont val="Aptos Narrow (Body)"/>
      </rPr>
      <t>i</t>
    </r>
  </si>
  <si>
    <r>
      <t>inner radius, r</t>
    </r>
    <r>
      <rPr>
        <vertAlign val="subscript"/>
        <sz val="11"/>
        <color theme="1"/>
        <rFont val="Aptos Narrow (Body)"/>
      </rPr>
      <t>i</t>
    </r>
  </si>
  <si>
    <r>
      <t>Length, l</t>
    </r>
    <r>
      <rPr>
        <vertAlign val="subscript"/>
        <sz val="11"/>
        <color theme="1"/>
        <rFont val="Aptos Narrow (Body)"/>
      </rPr>
      <t>i</t>
    </r>
  </si>
  <si>
    <t>Assume Thin Walled Pressure Vessel</t>
  </si>
  <si>
    <r>
      <t>Outer radius, R</t>
    </r>
    <r>
      <rPr>
        <vertAlign val="subscript"/>
        <sz val="11"/>
        <color theme="1"/>
        <rFont val="Aptos Narrow (Body)"/>
      </rPr>
      <t>O</t>
    </r>
  </si>
  <si>
    <r>
      <t>Outer radius, R</t>
    </r>
    <r>
      <rPr>
        <vertAlign val="subscript"/>
        <sz val="11"/>
        <color theme="1"/>
        <rFont val="Aptos Narrow (Body)"/>
      </rPr>
      <t>i</t>
    </r>
  </si>
  <si>
    <r>
      <t>mean radius, r</t>
    </r>
    <r>
      <rPr>
        <vertAlign val="subscript"/>
        <sz val="11"/>
        <color theme="1"/>
        <rFont val="Aptos Narrow (Body)"/>
      </rPr>
      <t>meanO</t>
    </r>
  </si>
  <si>
    <r>
      <t>mean radius, r</t>
    </r>
    <r>
      <rPr>
        <vertAlign val="subscript"/>
        <sz val="11"/>
        <color theme="1"/>
        <rFont val="Aptos Narrow (Body)"/>
      </rPr>
      <t>meani</t>
    </r>
  </si>
  <si>
    <r>
      <t>t &lt; 0.1 * r</t>
    </r>
    <r>
      <rPr>
        <vertAlign val="subscript"/>
        <sz val="11"/>
        <color theme="1"/>
        <rFont val="Aptos Narrow (Body)"/>
      </rPr>
      <t>mean</t>
    </r>
  </si>
  <si>
    <t>Cannot assume Thin Walled Pressure Vessel</t>
  </si>
  <si>
    <t>Assume no outer pressure</t>
  </si>
  <si>
    <r>
      <t>Max tangential (hoop) stress, (σ</t>
    </r>
    <r>
      <rPr>
        <vertAlign val="subscript"/>
        <sz val="11"/>
        <color theme="1"/>
        <rFont val="Aptos Narrow (Body)"/>
      </rPr>
      <t>t</t>
    </r>
    <r>
      <rPr>
        <sz val="11"/>
        <color theme="1"/>
        <rFont val="Aptos Narrow (Body)"/>
      </rPr>
      <t>)</t>
    </r>
    <r>
      <rPr>
        <vertAlign val="subscript"/>
        <sz val="11"/>
        <color theme="1"/>
        <rFont val="Aptos Narrow (Body)"/>
      </rPr>
      <t>max</t>
    </r>
  </si>
  <si>
    <r>
      <t>longitudinal (axial) stress, σ</t>
    </r>
    <r>
      <rPr>
        <vertAlign val="subscript"/>
        <sz val="11"/>
        <color theme="1"/>
        <rFont val="Aptos Narrow (Body)"/>
      </rPr>
      <t>l</t>
    </r>
  </si>
  <si>
    <r>
      <t>Max radial stress, (σ</t>
    </r>
    <r>
      <rPr>
        <vertAlign val="subscript"/>
        <sz val="11"/>
        <color theme="1"/>
        <rFont val="Aptos Narrow (Body)"/>
      </rPr>
      <t>r</t>
    </r>
    <r>
      <rPr>
        <sz val="11"/>
        <color theme="1"/>
        <rFont val="Aptos Narrow (Body)"/>
      </rPr>
      <t>)</t>
    </r>
    <r>
      <rPr>
        <vertAlign val="subscript"/>
        <sz val="11"/>
        <color theme="1"/>
        <rFont val="Aptos Narrow (Body)"/>
      </rPr>
      <t>max</t>
    </r>
  </si>
  <si>
    <r>
      <t>Expected max internal pressure, (p</t>
    </r>
    <r>
      <rPr>
        <vertAlign val="subscript"/>
        <sz val="11"/>
        <color theme="1"/>
        <rFont val="Aptos Narrow (Body)"/>
      </rPr>
      <t>i</t>
    </r>
    <r>
      <rPr>
        <sz val="11"/>
        <color theme="1"/>
        <rFont val="Aptos Narrow (Body)"/>
      </rPr>
      <t>)</t>
    </r>
    <r>
      <rPr>
        <vertAlign val="subscript"/>
        <sz val="11"/>
        <color theme="1"/>
        <rFont val="Aptos Narrow (Body)"/>
      </rPr>
      <t>max O</t>
    </r>
  </si>
  <si>
    <r>
      <t>Expected max internal pressure, (p</t>
    </r>
    <r>
      <rPr>
        <vertAlign val="subscript"/>
        <sz val="11"/>
        <color theme="1"/>
        <rFont val="Aptos Narrow (Body)"/>
      </rPr>
      <t>i</t>
    </r>
    <r>
      <rPr>
        <sz val="11"/>
        <color theme="1"/>
        <rFont val="Aptos Narrow (Body)"/>
      </rPr>
      <t>)</t>
    </r>
    <r>
      <rPr>
        <vertAlign val="subscript"/>
        <sz val="11"/>
        <color theme="1"/>
        <rFont val="Aptos Narrow (Body)"/>
      </rPr>
      <t>max i</t>
    </r>
  </si>
  <si>
    <t>Top Bulkhead</t>
  </si>
  <si>
    <t>^^^ Read Note and change accordingly</t>
  </si>
  <si>
    <t>Bottom Bulkhead</t>
  </si>
  <si>
    <r>
      <t>Thickness, t</t>
    </r>
    <r>
      <rPr>
        <vertAlign val="subscript"/>
        <sz val="11"/>
        <color theme="1"/>
        <rFont val="Aptos Narrow (Body)"/>
      </rPr>
      <t>b</t>
    </r>
  </si>
  <si>
    <t>Forward Bulkhead Stress for Top Bulkhead</t>
  </si>
  <si>
    <r>
      <t>Forward bulkhead stress, σ</t>
    </r>
    <r>
      <rPr>
        <vertAlign val="subscript"/>
        <sz val="11"/>
        <color theme="1"/>
        <rFont val="Aptos Narrow (Body)"/>
      </rPr>
      <t>bulkhead</t>
    </r>
  </si>
  <si>
    <t>Forward Bulkhead Stress for Bottom Bulkhead</t>
  </si>
  <si>
    <t>Pressure Vessel Calculations</t>
  </si>
  <si>
    <t>Forward Bulkhead Stress Calculations</t>
  </si>
  <si>
    <t>Buckling Calculations</t>
  </si>
  <si>
    <t>Buckling for Outer Wall</t>
  </si>
  <si>
    <t>Outer Wall</t>
  </si>
  <si>
    <t>Inner Wall</t>
  </si>
  <si>
    <t>Pressure Vessel Calculations for Outer Wall</t>
  </si>
  <si>
    <t>Pressure Vessel Calculations for Inner Wall</t>
  </si>
  <si>
    <t>Moment of inertia of cross-section, I</t>
  </si>
  <si>
    <r>
      <t>Area of cross-section, A</t>
    </r>
    <r>
      <rPr>
        <vertAlign val="subscript"/>
        <sz val="11"/>
        <color theme="1"/>
        <rFont val="Aptos Narrow (Body)"/>
      </rPr>
      <t>c</t>
    </r>
  </si>
  <si>
    <t>Radius of gyration, k</t>
  </si>
  <si>
    <t>Slenderness ratio, l/k</t>
  </si>
  <si>
    <r>
      <t>Ultimate Tensile Strength, S</t>
    </r>
    <r>
      <rPr>
        <vertAlign val="subscript"/>
        <sz val="11"/>
        <color theme="1"/>
        <rFont val="Aptos Narrow (Body)"/>
      </rPr>
      <t>ut</t>
    </r>
  </si>
  <si>
    <r>
      <t>Yield Tensile Strength, S</t>
    </r>
    <r>
      <rPr>
        <vertAlign val="subscript"/>
        <sz val="11"/>
        <color theme="1"/>
        <rFont val="Aptos Narrow (Body)"/>
      </rPr>
      <t>y</t>
    </r>
  </si>
  <si>
    <r>
      <t>Fatigue Strength, S</t>
    </r>
    <r>
      <rPr>
        <vertAlign val="subscript"/>
        <sz val="11"/>
        <color theme="1"/>
        <rFont val="Aptos Narrow (Body)"/>
      </rPr>
      <t>e</t>
    </r>
  </si>
  <si>
    <t>Density, ρ</t>
  </si>
  <si>
    <t>Shear Strength, τ</t>
  </si>
  <si>
    <r>
      <t>Johnson slenderness ratio, (l/k)</t>
    </r>
    <r>
      <rPr>
        <vertAlign val="subscript"/>
        <sz val="11"/>
        <color theme="1"/>
        <rFont val="Aptos Narrow (Body)"/>
      </rPr>
      <t>1</t>
    </r>
  </si>
  <si>
    <t>End condition constant, C</t>
  </si>
  <si>
    <t>Compare slenderness ratios to choose formula needed:</t>
  </si>
  <si>
    <r>
      <t>Critical load, P</t>
    </r>
    <r>
      <rPr>
        <vertAlign val="subscript"/>
        <sz val="11"/>
        <color theme="1"/>
        <rFont val="Aptos Narrow (Body)"/>
      </rPr>
      <t>cr</t>
    </r>
  </si>
  <si>
    <r>
      <t xml:space="preserve">Volume, </t>
    </r>
    <r>
      <rPr>
        <strike/>
        <sz val="11"/>
        <color theme="1"/>
        <rFont val="Aptos Narrow (Body)"/>
      </rPr>
      <t>V</t>
    </r>
  </si>
  <si>
    <t>lb/in^3</t>
  </si>
  <si>
    <t>kg/(m^3)</t>
  </si>
  <si>
    <t>Mass of Top Bulkhead</t>
  </si>
  <si>
    <t>Weight of Top Bulkhead</t>
  </si>
  <si>
    <t>Gravity, g</t>
  </si>
  <si>
    <t>Weight of Other Subsystems</t>
  </si>
  <si>
    <t>Actual load on vehicle, P</t>
  </si>
  <si>
    <t>Max drag force on vehicle</t>
  </si>
  <si>
    <t>Buckling for Inner Wall</t>
  </si>
  <si>
    <t>Actual Load on Vehicle</t>
  </si>
  <si>
    <t>Johnson</t>
  </si>
  <si>
    <t>Euler</t>
  </si>
  <si>
    <t>Normal Force on Outer Wall During Landing</t>
  </si>
  <si>
    <t>Normal Force on Outer Wall (ignoring Inner Wall to be conservative)</t>
  </si>
  <si>
    <t>Distance F applied from Top Bulkhead, x</t>
  </si>
  <si>
    <t>Force applied during landing, F</t>
  </si>
  <si>
    <t>Moment caused by F, M</t>
  </si>
  <si>
    <r>
      <t>Bending Stress, σ</t>
    </r>
    <r>
      <rPr>
        <vertAlign val="subscript"/>
        <sz val="11"/>
        <color theme="1"/>
        <rFont val="Aptos Narrow (Body)"/>
      </rPr>
      <t>bending</t>
    </r>
  </si>
  <si>
    <t>Wall Calcs</t>
  </si>
  <si>
    <t>Bolt Shear</t>
  </si>
  <si>
    <t>Top/Bottom Bolts Shearing</t>
  </si>
  <si>
    <t>Bolt diameter, d</t>
  </si>
  <si>
    <t>Series</t>
  </si>
  <si>
    <t>UNC</t>
  </si>
  <si>
    <t>Bolt Length, L</t>
  </si>
  <si>
    <t>Table 8-1</t>
  </si>
  <si>
    <t>Table 8-2</t>
  </si>
  <si>
    <t>UNF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</si>
  <si>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</si>
  <si>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</si>
  <si>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</si>
  <si>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</si>
  <si>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</si>
  <si>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</si>
  <si>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</si>
  <si>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</si>
  <si>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</si>
  <si>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Bolt Properties</t>
  </si>
  <si>
    <t>Number of Bolts, N</t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</si>
  <si>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</si>
  <si>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</si>
  <si>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Bolt root diameter (minor dia.), d</t>
    </r>
    <r>
      <rPr>
        <vertAlign val="subscript"/>
        <sz val="11"/>
        <color theme="1"/>
        <rFont val="Aptos Narrow"/>
        <family val="2"/>
        <scheme val="minor"/>
      </rPr>
      <t>r</t>
    </r>
  </si>
  <si>
    <t>https://www.engineersedge.com/screw_threads_chart.htm</t>
  </si>
  <si>
    <r>
      <t>Area of root, A</t>
    </r>
    <r>
      <rPr>
        <vertAlign val="subscript"/>
        <sz val="11"/>
        <color theme="1"/>
        <rFont val="Aptos Narrow"/>
        <family val="2"/>
        <scheme val="minor"/>
      </rPr>
      <t>r</t>
    </r>
  </si>
  <si>
    <t>Adjusted N</t>
  </si>
  <si>
    <t>Material Properties of Bolt</t>
  </si>
  <si>
    <t>Estimated Shear Strength, τ</t>
  </si>
  <si>
    <r>
      <t>Cross-sectional Area within Outer Wall d</t>
    </r>
    <r>
      <rPr>
        <vertAlign val="sub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, A</t>
    </r>
  </si>
  <si>
    <r>
      <t>Bolt Shear Stress, τ</t>
    </r>
    <r>
      <rPr>
        <vertAlign val="subscript"/>
        <sz val="11"/>
        <color theme="1"/>
        <rFont val="Aptos Narrow"/>
        <family val="2"/>
        <scheme val="minor"/>
      </rPr>
      <t>bolt shear</t>
    </r>
  </si>
  <si>
    <t>Material Properties of 6061-T6 Aluminum     (for Outer Tank Material)</t>
  </si>
  <si>
    <t>Tear-out</t>
  </si>
  <si>
    <t>Tear-out for Outer Wall</t>
  </si>
  <si>
    <t>Total force from internal pressure</t>
  </si>
  <si>
    <t>Force from internal Pressure per bolt</t>
  </si>
  <si>
    <t>Edge distance to center of bolt hole</t>
  </si>
  <si>
    <r>
      <t>Min Edge distance (tip of hole to edge), E</t>
    </r>
    <r>
      <rPr>
        <vertAlign val="subscript"/>
        <sz val="11"/>
        <color theme="1"/>
        <rFont val="Aptos Narrow"/>
        <family val="2"/>
        <scheme val="minor"/>
      </rPr>
      <t>min</t>
    </r>
  </si>
  <si>
    <t>Fitting Factor</t>
  </si>
  <si>
    <t>Force per bolt w/ Fitting Factor</t>
  </si>
  <si>
    <r>
      <t>Tear-out Shear Stress, τ</t>
    </r>
    <r>
      <rPr>
        <vertAlign val="subscript"/>
        <sz val="11"/>
        <color theme="1"/>
        <rFont val="Aptos Narrow"/>
        <family val="2"/>
        <scheme val="minor"/>
      </rPr>
      <t>Tear-out</t>
    </r>
  </si>
  <si>
    <t>Tear-out for Bulk Heads</t>
  </si>
  <si>
    <t>Bearing Stress</t>
  </si>
  <si>
    <t>Bearing Stress for Outer Wall</t>
  </si>
  <si>
    <r>
      <t>Bearing Stress, σ</t>
    </r>
    <r>
      <rPr>
        <vertAlign val="subscript"/>
        <sz val="11"/>
        <color theme="1"/>
        <rFont val="Aptos Narrow (Body)"/>
      </rPr>
      <t>bearing</t>
    </r>
  </si>
  <si>
    <t>Analysis</t>
  </si>
  <si>
    <t>Load Case</t>
  </si>
  <si>
    <t>FoS_y</t>
  </si>
  <si>
    <t>FoS_u</t>
  </si>
  <si>
    <r>
      <t>σ_</t>
    </r>
    <r>
      <rPr>
        <b/>
        <sz val="10"/>
        <color theme="0"/>
        <rFont val="Calibri"/>
        <family val="2"/>
      </rPr>
      <t>y (psi)</t>
    </r>
  </si>
  <si>
    <r>
      <t>σ_</t>
    </r>
    <r>
      <rPr>
        <b/>
        <sz val="10"/>
        <color theme="0"/>
        <rFont val="Calibri"/>
        <family val="2"/>
      </rPr>
      <t>u (psi)</t>
    </r>
  </si>
  <si>
    <r>
      <t>σ</t>
    </r>
    <r>
      <rPr>
        <b/>
        <sz val="10"/>
        <color theme="0"/>
        <rFont val="Calibri"/>
        <family val="2"/>
      </rPr>
      <t xml:space="preserve"> (psi)</t>
    </r>
  </si>
  <si>
    <t>MoS_y</t>
  </si>
  <si>
    <t>MoS_u</t>
  </si>
  <si>
    <t>Component Type</t>
  </si>
  <si>
    <t>Criticality</t>
  </si>
  <si>
    <t>Hand Calcs</t>
  </si>
  <si>
    <t>Internal Pressure</t>
  </si>
  <si>
    <t>Structural</t>
  </si>
  <si>
    <t>Vehicle and Flight</t>
  </si>
  <si>
    <t>Vehicle Landing</t>
  </si>
  <si>
    <t>Tanks Bolts</t>
  </si>
  <si>
    <t>Whats left?</t>
  </si>
  <si>
    <t>Oring calcs</t>
  </si>
  <si>
    <t>Requirement</t>
  </si>
  <si>
    <t>Priority</t>
  </si>
  <si>
    <t>Data Source</t>
  </si>
  <si>
    <t>Tolerance, FoS</t>
  </si>
  <si>
    <t>The total cost of the tank subsystem shall not exceed $XXX.</t>
  </si>
  <si>
    <t>High</t>
  </si>
  <si>
    <t>Subsystem budget, allocated internally</t>
  </si>
  <si>
    <t>+/- $50</t>
  </si>
  <si>
    <t>The tank subsystem shall have the capability to withstand 1070 psi to a safety factor of 1.8</t>
  </si>
  <si>
    <t xml:space="preserve">Pressure testing tanks to validate operation </t>
  </si>
  <si>
    <t>FoSu 1.8</t>
  </si>
  <si>
    <t>The tank subsystem shall be compatible with the recovery's bolts, and integration's fiberglass outer wall.</t>
  </si>
  <si>
    <t>Hand Calcs + Assembly of complete design</t>
  </si>
  <si>
    <t>The tank subsystem shall be able to withstand the weight of the subsystems above it and the forces applied during launch in the axial direction.</t>
  </si>
  <si>
    <t>The tank subsystem shall be able to provide pressurized propellants to valve subsystem.</t>
  </si>
  <si>
    <t>Hand Calcs and/or Pressure testing tanks</t>
  </si>
  <si>
    <t>The tank subsystem shall be able to withstand 200 lb in the normal direction during expected landing.</t>
  </si>
  <si>
    <t>Low</t>
  </si>
  <si>
    <t>Ultimate Bearing Strength</t>
  </si>
  <si>
    <t>Bearing Yield Strength</t>
  </si>
  <si>
    <t>Net Section Stress</t>
  </si>
  <si>
    <t>Net Section Stress for Outer Wall</t>
  </si>
  <si>
    <r>
      <t>Net Section Stress, σ</t>
    </r>
    <r>
      <rPr>
        <vertAlign val="subscript"/>
        <sz val="11"/>
        <color theme="1"/>
        <rFont val="Aptos Narrow (Body)"/>
      </rPr>
      <t>section</t>
    </r>
  </si>
  <si>
    <t>Net Section Stress fo Top Bulkhead</t>
  </si>
  <si>
    <t>Outer diameter (Outer Wall Connection)</t>
  </si>
  <si>
    <t>Inner diameter (diameter of inner cut)</t>
  </si>
  <si>
    <r>
      <t>Bottom thickness, t</t>
    </r>
    <r>
      <rPr>
        <vertAlign val="subscript"/>
        <sz val="11"/>
        <color theme="1"/>
        <rFont val="Aptos Narrow (Body)"/>
      </rPr>
      <t>t</t>
    </r>
  </si>
  <si>
    <t>Side wall thickness</t>
  </si>
  <si>
    <t>Total outer diameter (Fiber Glass Connection)</t>
  </si>
  <si>
    <t>Von Mises Effective Tear-out Stress</t>
  </si>
  <si>
    <t>Clearnance Hole (close fit) diameter</t>
  </si>
  <si>
    <t>Same as Casing Tensile Stress from Half-Cat Rocketry</t>
  </si>
  <si>
    <t>Stress Calculation</t>
  </si>
  <si>
    <t>Forward Stress</t>
  </si>
  <si>
    <t>Tanks Bolt Net Section Tensile</t>
  </si>
  <si>
    <t>Longitudinal</t>
  </si>
  <si>
    <t>Hoop</t>
  </si>
  <si>
    <t>Buckling</t>
  </si>
  <si>
    <t>Component Group ID</t>
  </si>
  <si>
    <r>
      <t>Components</t>
    </r>
    <r>
      <rPr>
        <b/>
        <vertAlign val="subscript"/>
        <sz val="10"/>
        <color rgb="FFFFFFFF"/>
        <rFont val="Calibri"/>
        <family val="2"/>
      </rPr>
      <t>1</t>
    </r>
  </si>
  <si>
    <r>
      <t>Components</t>
    </r>
    <r>
      <rPr>
        <b/>
        <vertAlign val="subscript"/>
        <sz val="10"/>
        <color rgb="FFFFFFFF"/>
        <rFont val="Calibri"/>
        <family val="2"/>
      </rPr>
      <t>2</t>
    </r>
  </si>
  <si>
    <t>Bolt Bearing</t>
  </si>
  <si>
    <t>Bolt Tear-out</t>
  </si>
  <si>
    <t>Bolt Net Section Tensile</t>
  </si>
  <si>
    <t>Normal Force at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</si>
</sst>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#0.000E+00"/>
    <numFmt numFmtId="165" formatCode="#,##0.000"/>
    <numFmt numFmtId="166" formatCode="#,##0.00000"/>
    <numFmt numFmtId="167" formatCode="#,##0.0000"/>
    <numFmt numFmtId="168" formatCode="0.00000"/>
    <numFmt numFmtId="169" formatCode="##0E+00"/>
    <numFmt numFmtId="170" formatCode="0.0000"/>
    <numFmt numFmtId="171" formatCode="0.000"/>
    <numFmt numFmtId="172" formatCode="0.0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 (Bod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 (Body)"/>
    </font>
    <font>
      <strike/>
      <sz val="11"/>
      <color theme="1"/>
      <name val="Aptos Narrow (Body)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vertAlign val="subscript"/>
      <sz val="10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3" borderId="0" xfId="0" quotePrefix="1" applyFill="1" applyAlignment="1">
      <alignment vertical="center"/>
    </xf>
    <xf numFmtId="165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167" fontId="0" fillId="3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8" borderId="0" xfId="0" applyFill="1" applyAlignment="1">
      <alignment vertical="center"/>
    </xf>
    <xf numFmtId="164" fontId="0" fillId="8" borderId="0" xfId="0" applyNumberFormat="1" applyFill="1" applyAlignment="1">
      <alignment vertical="center"/>
    </xf>
    <xf numFmtId="0" fontId="0" fillId="8" borderId="0" xfId="0" quotePrefix="1" applyFill="1" applyAlignment="1">
      <alignment vertical="center"/>
    </xf>
    <xf numFmtId="168" fontId="0" fillId="3" borderId="0" xfId="0" applyNumberFormat="1" applyFill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5" fillId="0" borderId="0" xfId="1"/>
    <xf numFmtId="3" fontId="0" fillId="0" borderId="7" xfId="0" applyNumberFormat="1" applyBorder="1" applyAlignment="1">
      <alignment vertical="center"/>
    </xf>
    <xf numFmtId="48" fontId="0" fillId="3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2" fontId="0" fillId="11" borderId="0" xfId="0" applyNumberFormat="1" applyFill="1" applyAlignment="1">
      <alignment vertical="center"/>
    </xf>
    <xf numFmtId="164" fontId="0" fillId="11" borderId="0" xfId="0" applyNumberFormat="1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0" fillId="3" borderId="0" xfId="0" applyFill="1" applyAlignment="1">
      <alignment horizontal="right" vertical="center"/>
    </xf>
    <xf numFmtId="4" fontId="0" fillId="3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4" borderId="14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1" fillId="7" borderId="1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12" fontId="0" fillId="0" borderId="21" xfId="0" applyNumberFormat="1" applyBorder="1" applyAlignment="1">
      <alignment vertical="center" wrapText="1"/>
    </xf>
    <xf numFmtId="12" fontId="0" fillId="0" borderId="24" xfId="0" applyNumberForma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12" fontId="0" fillId="0" borderId="26" xfId="0" applyNumberForma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4" borderId="30" xfId="0" applyFill="1" applyBorder="1" applyAlignment="1">
      <alignment vertical="center"/>
    </xf>
    <xf numFmtId="12" fontId="0" fillId="0" borderId="27" xfId="0" applyNumberForma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169" fontId="0" fillId="3" borderId="0" xfId="0" applyNumberFormat="1" applyFill="1" applyAlignment="1">
      <alignment vertical="center"/>
    </xf>
    <xf numFmtId="170" fontId="0" fillId="3" borderId="0" xfId="0" applyNumberFormat="1" applyFill="1" applyAlignment="1">
      <alignment vertical="center"/>
    </xf>
    <xf numFmtId="0" fontId="0" fillId="5" borderId="2" xfId="0" applyFill="1" applyBorder="1" applyAlignment="1">
      <alignment horizontal="left" vertical="center"/>
    </xf>
    <xf numFmtId="48" fontId="0" fillId="2" borderId="0" xfId="0" applyNumberFormat="1" applyFill="1" applyAlignment="1">
      <alignment vertical="center"/>
    </xf>
    <xf numFmtId="0" fontId="16" fillId="0" borderId="0" xfId="0" applyFont="1"/>
    <xf numFmtId="0" fontId="21" fillId="11" borderId="32" xfId="0" applyFont="1" applyFill="1" applyBorder="1" applyAlignment="1">
      <alignment horizontal="center"/>
    </xf>
    <xf numFmtId="0" fontId="0" fillId="0" borderId="33" xfId="0" applyBorder="1" applyAlignment="1">
      <alignment vertical="center"/>
    </xf>
    <xf numFmtId="0" fontId="0" fillId="14" borderId="15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3" xfId="0" quotePrefix="1" applyBorder="1" applyAlignment="1">
      <alignment vertical="center"/>
    </xf>
    <xf numFmtId="0" fontId="0" fillId="0" borderId="22" xfId="0" applyBorder="1" applyAlignment="1">
      <alignment vertical="center"/>
    </xf>
    <xf numFmtId="0" fontId="0" fillId="14" borderId="0" xfId="0" applyFill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15" borderId="2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70" fontId="0" fillId="2" borderId="0" xfId="0" applyNumberFormat="1" applyFill="1" applyAlignment="1">
      <alignment vertical="center"/>
    </xf>
    <xf numFmtId="0" fontId="18" fillId="0" borderId="0" xfId="0" applyFont="1" applyAlignment="1">
      <alignment horizontal="center" vertical="center" readingOrder="1"/>
    </xf>
    <xf numFmtId="1" fontId="20" fillId="0" borderId="0" xfId="0" applyNumberFormat="1" applyFont="1" applyAlignment="1">
      <alignment horizontal="center" vertical="center" readingOrder="1"/>
    </xf>
    <xf numFmtId="0" fontId="17" fillId="0" borderId="0" xfId="0" applyFont="1" applyAlignment="1">
      <alignment horizontal="center" vertical="center" readingOrder="1"/>
    </xf>
    <xf numFmtId="0" fontId="19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left" vertical="center" readingOrder="1"/>
    </xf>
    <xf numFmtId="0" fontId="20" fillId="0" borderId="0" xfId="0" applyFont="1" applyAlignment="1">
      <alignment horizontal="center" vertical="center" readingOrder="1"/>
    </xf>
    <xf numFmtId="172" fontId="20" fillId="0" borderId="0" xfId="0" applyNumberFormat="1" applyFont="1" applyAlignment="1">
      <alignment horizontal="center" vertical="center" readingOrder="1"/>
    </xf>
    <xf numFmtId="171" fontId="20" fillId="0" borderId="0" xfId="0" applyNumberFormat="1" applyFont="1" applyAlignment="1">
      <alignment horizontal="center" vertical="center" readingOrder="1"/>
    </xf>
    <xf numFmtId="0" fontId="20" fillId="0" borderId="0" xfId="0" applyFont="1" applyAlignment="1">
      <alignment horizontal="right" vertical="center" readingOrder="1"/>
    </xf>
    <xf numFmtId="0" fontId="1" fillId="12" borderId="0" xfId="0" applyFont="1" applyFill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border>
        <top/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2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1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1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2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2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ill>
        <patternFill patternType="none">
          <fgColor indexed="64"/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theme="0" tint="-0.34998626667073579"/>
          <bgColor theme="2" tint="-9.9948118533890809E-2"/>
        </patternFill>
      </fill>
    </dxf>
    <dxf>
      <font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Medium9">
    <tableStyle name="TableStyleMedium8 2" pivot="0" count="4" xr9:uid="{07105011-6C56-4614-9388-0C05B17BBB48}">
      <tableStyleElement type="wholeTable" dxfId="26"/>
      <tableStyleElement type="headerRow" dxfId="25"/>
      <tableStyleElement type="firstRowStripe" dxfId="24"/>
      <tableStyleElement type="secondRowStripe" dxfId="23"/>
    </tableStyle>
  </tableStyles>
  <colors>
    <mruColors>
      <color rgb="FFBFBFBF"/>
      <color rgb="FFE7E7E7"/>
      <color rgb="FFCBCBCB"/>
      <color rgb="FFFF5050"/>
      <color rgb="FFCC99FF"/>
      <color rgb="FFCC66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8</xdr:col>
      <xdr:colOff>43719</xdr:colOff>
      <xdr:row>26</xdr:row>
      <xdr:rowOff>143009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EBBE8C0-AF83-F34B-AF89-7C877350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5600" y="4053840"/>
          <a:ext cx="4531360" cy="722129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7</xdr:col>
      <xdr:colOff>711200</xdr:colOff>
      <xdr:row>23</xdr:row>
      <xdr:rowOff>6737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799E23D8-8FA5-3C4A-ABC5-A99A858908C6}"/>
            </a:ext>
          </a:extLst>
        </xdr:cNvPr>
        <xdr:cNvGrpSpPr/>
      </xdr:nvGrpSpPr>
      <xdr:grpSpPr>
        <a:xfrm>
          <a:off x="5362575" y="3810000"/>
          <a:ext cx="3902075" cy="578237"/>
          <a:chOff x="5567681" y="5598159"/>
          <a:chExt cx="4475669" cy="585217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28EAD86F-09C9-BD4F-CB77-9025F43CD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567681" y="5598160"/>
            <a:ext cx="4475669" cy="585216"/>
          </a:xfrm>
          <a:prstGeom prst="rect">
            <a:avLst/>
          </a:prstGeom>
        </xdr:spPr>
      </xdr:pic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FF2ECA01-A783-5CB6-A3A4-5D664DCCCE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772401" y="5598159"/>
            <a:ext cx="1021015" cy="585216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0</xdr:colOff>
      <xdr:row>14</xdr:row>
      <xdr:rowOff>0</xdr:rowOff>
    </xdr:from>
    <xdr:to>
      <xdr:col>8</xdr:col>
      <xdr:colOff>47106</xdr:colOff>
      <xdr:row>19</xdr:row>
      <xdr:rowOff>81280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3A7F509-07E0-D244-9E58-B375CDEE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5600" y="2316480"/>
          <a:ext cx="4534747" cy="104648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41</xdr:row>
      <xdr:rowOff>0</xdr:rowOff>
    </xdr:from>
    <xdr:to>
      <xdr:col>8</xdr:col>
      <xdr:colOff>2044</xdr:colOff>
      <xdr:row>45</xdr:row>
      <xdr:rowOff>78672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FBE336C-35B5-7E48-BFD4-B38A3166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87081" y="3439115"/>
          <a:ext cx="4457507" cy="8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36</xdr:row>
      <xdr:rowOff>0</xdr:rowOff>
    </xdr:from>
    <xdr:to>
      <xdr:col>8</xdr:col>
      <xdr:colOff>5824</xdr:colOff>
      <xdr:row>41</xdr:row>
      <xdr:rowOff>65813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3C41ED7-4F0F-944B-A21A-50BFB54B2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7081" y="2483805"/>
          <a:ext cx="4451762" cy="102112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561</xdr:rowOff>
    </xdr:from>
    <xdr:to>
      <xdr:col>12</xdr:col>
      <xdr:colOff>2742</xdr:colOff>
      <xdr:row>31</xdr:row>
      <xdr:rowOff>146068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6505275-6BD8-C547-B3AD-92228FE1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44853" y="2286561"/>
          <a:ext cx="3823948" cy="37650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14</xdr:col>
      <xdr:colOff>631956</xdr:colOff>
      <xdr:row>39</xdr:row>
      <xdr:rowOff>165100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A99824-A825-3A4E-8671-944AEA11A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33700" y="7048500"/>
          <a:ext cx="4567382" cy="5461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14</xdr:col>
      <xdr:colOff>636574</xdr:colOff>
      <xdr:row>45</xdr:row>
      <xdr:rowOff>157936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960FCF-E6AC-034E-80FE-EEDABD649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33700" y="8001000"/>
          <a:ext cx="4572000" cy="729436"/>
        </a:xfrm>
        <a:prstGeom prst="rect">
          <a:avLst/>
        </a:prstGeom>
      </xdr:spPr>
    </xdr:pic>
    <xdr:clientData/>
  </xdr:twoCellAnchor>
  <xdr:twoCellAnchor editAs="oneCell">
    <xdr:from>
      <xdr:col>50</xdr:col>
      <xdr:colOff>504825</xdr:colOff>
      <xdr:row>34</xdr:row>
      <xdr:rowOff>76200</xdr:rowOff>
    </xdr:from>
    <xdr:to>
      <xdr:col>57</xdr:col>
      <xdr:colOff>708212</xdr:colOff>
      <xdr:row>86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C6B799-9022-4D23-965E-1C820129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29375" y="65532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571500</xdr:colOff>
      <xdr:row>30</xdr:row>
      <xdr:rowOff>69273</xdr:rowOff>
    </xdr:from>
    <xdr:to>
      <xdr:col>69</xdr:col>
      <xdr:colOff>327045</xdr:colOff>
      <xdr:row>77</xdr:row>
      <xdr:rowOff>69273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44C7F6-45BD-4A68-BF03-83FF5CC8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7725" y="57842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211749</xdr:colOff>
      <xdr:row>14</xdr:row>
      <xdr:rowOff>157290</xdr:rowOff>
    </xdr:from>
    <xdr:to>
      <xdr:col>35</xdr:col>
      <xdr:colOff>581026</xdr:colOff>
      <xdr:row>17</xdr:row>
      <xdr:rowOff>168378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66AAC1-4794-4797-8E07-3D1105754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740999" y="2824290"/>
          <a:ext cx="3064852" cy="582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25</xdr:row>
      <xdr:rowOff>0</xdr:rowOff>
    </xdr:from>
    <xdr:to>
      <xdr:col>18</xdr:col>
      <xdr:colOff>304800</xdr:colOff>
      <xdr:row>26</xdr:row>
      <xdr:rowOff>114300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E2178D87-8177-4948-8333-B2801D6EA7CE}"/>
            </a:ext>
          </a:extLst>
        </xdr:cNvPr>
        <xdr:cNvSpPr>
          <a:spLocks noChangeAspect="1" noChangeArrowheads="1"/>
        </xdr:cNvSpPr>
      </xdr:nvSpPr>
      <xdr:spPr bwMode="auto">
        <a:xfrm>
          <a:off x="1403032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slo.sharepoint.com/sites/CalPolyPropulsionTechnologies/Shared%20Documents/Penguin/Subsystems/Tanks/Calculations.xlsx" TargetMode="External"/><Relationship Id="rId1" Type="http://schemas.openxmlformats.org/officeDocument/2006/relationships/externalLinkPath" Target="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ll Calcs"/>
      <sheetName val="Bolt Calcs"/>
      <sheetName val="NPT PORTS"/>
      <sheetName val="CDR Calcs"/>
    </sheetNames>
    <sheetDataSet>
      <sheetData sheetId="0">
        <row r="49">
          <cell r="R49">
            <v>42128.312813968143</v>
          </cell>
        </row>
        <row r="55">
          <cell r="R55">
            <v>186.02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38827-9CB8-4821-8FCB-4BFD1E3BAB9B}" name="Table1" displayName="Table1" ref="B2:P18" totalsRowShown="0" headerRowDxfId="22" dataDxfId="21">
  <autoFilter ref="B2:P18" xr:uid="{55838827-9CB8-4821-8FCB-4BFD1E3BAB9B}"/>
  <tableColumns count="15">
    <tableColumn id="16" xr3:uid="{B93C953E-1AD0-4EFF-8D2F-A6C71E1BEC3F}" name="Component Group ID" dataDxfId="20">
      <calculatedColumnFormula>IF(C3=C2, B2, B2+1)</calculatedColumnFormula>
    </tableColumn>
    <tableColumn id="1" xr3:uid="{37EDF813-BDC8-4660-8E80-72454DAE68EE}" name="Components1" dataDxfId="19"/>
    <tableColumn id="13" xr3:uid="{E5845A9F-83DD-47EF-A05E-20A1CBE4051C}" name="Stress Calculation" dataDxfId="18"/>
    <tableColumn id="2" xr3:uid="{4EE3E390-96EA-482C-8141-F4A419E9E6FA}" name="Analysis" dataDxfId="17"/>
    <tableColumn id="3" xr3:uid="{FBE802B0-BE82-4A5F-9881-CD19CB3BC95D}" name="Load Case" dataDxfId="16"/>
    <tableColumn id="4" xr3:uid="{4E7BBCC8-3055-420D-A1E9-F0BE0A8316B1}" name="FoS_y" dataDxfId="15"/>
    <tableColumn id="5" xr3:uid="{80A9161C-EAE5-4EBF-9517-A514C2C3A366}" name="FoS_u" dataDxfId="14"/>
    <tableColumn id="6" xr3:uid="{C7325722-1C8A-4DCE-8D40-585B847D154D}" name="σ_y (psi)" dataDxfId="13"/>
    <tableColumn id="7" xr3:uid="{B49DF9A8-9D0A-44E3-B53F-26F5740E966A}" name="σ_u (psi)" dataDxfId="12"/>
    <tableColumn id="8" xr3:uid="{0D9529CF-03E5-479E-A830-479DB2B87C71}" name="σ (psi)" dataDxfId="11"/>
    <tableColumn id="9" xr3:uid="{3A3AE3B7-A9F0-4C84-9D2F-A8BF3B2BEA4E}" name="MoS_y" dataDxfId="10"/>
    <tableColumn id="10" xr3:uid="{F1863F52-2D11-40CC-8DAE-74669064073C}" name="MoS_u" dataDxfId="9"/>
    <tableColumn id="11" xr3:uid="{4BD0A19B-3646-4813-9246-BEC80B40B2C2}" name="Component Type" dataDxfId="8"/>
    <tableColumn id="12" xr3:uid="{4E1F2FC0-C9A3-496F-854B-94C74BF4AC8C}" name="Criticality" dataDxfId="7"/>
    <tableColumn id="17" xr3:uid="{F867D287-FABB-4584-B453-60F234EC2091}" name="Components2" dataDxfId="6">
      <calculatedColumnFormula>C3</calculatedColumnFormula>
    </tableColumn>
  </tableColumns>
  <tableStyleInfo name="TableStyleMedium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sedge.com/screw_threads_chart.htm" TargetMode="External"/><Relationship Id="rId2" Type="http://schemas.openxmlformats.org/officeDocument/2006/relationships/hyperlink" Target="https://asm.matweb.com/search/specificmaterial.asp?bassnum=ma6061t6" TargetMode="External"/><Relationship Id="rId1" Type="http://schemas.openxmlformats.org/officeDocument/2006/relationships/hyperlink" Target="https://www.coremarkmetals.com/6061-t6-aluminum-round-tub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437A-CCF9-6B4E-B5F7-CAC612BABE7C}">
  <dimension ref="A1:CP202"/>
  <sheetViews>
    <sheetView tabSelected="1" zoomScaleNormal="100" workbookViewId="0">
      <selection activeCell="B15" sqref="B15"/>
    </sheetView>
  </sheetViews>
  <sheetFormatPr defaultColWidth="8.85546875" defaultRowHeight="15" customHeight="1"/>
  <cols>
    <col min="2" max="2" width="37.42578125" style="1" customWidth="1"/>
    <col min="3" max="3" width="15.140625" style="1" customWidth="1"/>
    <col min="4" max="4" width="10.140625" style="1" customWidth="1"/>
    <col min="6" max="6" width="35.42578125" style="1" customWidth="1"/>
    <col min="7" max="7" width="13" style="1" customWidth="1"/>
    <col min="8" max="8" width="10.140625" style="1" customWidth="1"/>
    <col min="9" max="9" width="8.85546875" customWidth="1"/>
    <col min="10" max="10" width="34.28515625" style="1" bestFit="1" customWidth="1"/>
    <col min="11" max="11" width="13" style="1" customWidth="1"/>
    <col min="12" max="12" width="10.140625" style="1" customWidth="1"/>
    <col min="14" max="14" width="51" style="1" customWidth="1"/>
    <col min="15" max="15" width="13" style="1" customWidth="1"/>
    <col min="16" max="17" width="10.140625" style="1" customWidth="1"/>
    <col min="18" max="18" width="40.42578125" style="1" bestFit="1" customWidth="1"/>
    <col min="19" max="19" width="13" style="1" customWidth="1"/>
    <col min="20" max="21" width="10.140625" style="1" customWidth="1"/>
    <col min="22" max="22" width="40.42578125" style="1" customWidth="1"/>
    <col min="23" max="23" width="13" style="1" customWidth="1"/>
    <col min="24" max="25" width="10.140625" style="1" customWidth="1"/>
    <col min="26" max="26" width="39.28515625" style="1" bestFit="1" customWidth="1"/>
    <col min="27" max="27" width="13" style="1" customWidth="1"/>
    <col min="28" max="29" width="10.140625" style="1" customWidth="1"/>
    <col min="30" max="30" width="27.42578125" style="1" bestFit="1" customWidth="1"/>
    <col min="31" max="31" width="13" style="1" customWidth="1"/>
    <col min="32" max="33" width="10.140625" style="1" customWidth="1"/>
    <col min="34" max="34" width="27.42578125" style="1" bestFit="1" customWidth="1"/>
    <col min="35" max="35" width="13" style="1" customWidth="1"/>
    <col min="36" max="37" width="10.140625" style="1" customWidth="1"/>
    <col min="39" max="39" width="20" bestFit="1" customWidth="1"/>
    <col min="40" max="40" width="12.28515625" customWidth="1"/>
    <col min="41" max="41" width="8.85546875" customWidth="1"/>
    <col min="42" max="42" width="12.28515625" customWidth="1"/>
    <col min="43" max="43" width="8.85546875" customWidth="1"/>
    <col min="45" max="45" width="23.42578125" bestFit="1" customWidth="1"/>
    <col min="46" max="46" width="13.7109375" bestFit="1" customWidth="1"/>
    <col min="47" max="47" width="8.85546875" customWidth="1"/>
    <col min="48" max="48" width="12.28515625" customWidth="1"/>
    <col min="49" max="49" width="8.85546875" customWidth="1"/>
    <col min="51" max="51" width="16.85546875" style="1" bestFit="1" customWidth="1"/>
    <col min="52" max="52" width="7.7109375" style="1" bestFit="1" customWidth="1"/>
    <col min="53" max="54" width="22.85546875" style="1" customWidth="1"/>
    <col min="55" max="55" width="8.85546875" style="1"/>
    <col min="56" max="56" width="16.85546875" style="1" bestFit="1" customWidth="1"/>
    <col min="57" max="57" width="7.7109375" style="1" bestFit="1" customWidth="1"/>
    <col min="58" max="58" width="15.140625" style="1" customWidth="1"/>
    <col min="59" max="59" width="15.85546875" style="1" customWidth="1"/>
    <col min="60" max="60" width="8.85546875" style="1"/>
    <col min="61" max="62" width="16.85546875" style="1" bestFit="1" customWidth="1"/>
    <col min="63" max="63" width="12" style="1" bestFit="1" customWidth="1"/>
    <col min="64" max="65" width="22.85546875" style="1" customWidth="1"/>
    <col min="66" max="66" width="8.85546875" style="1"/>
    <col min="67" max="68" width="16.85546875" style="1" bestFit="1" customWidth="1"/>
    <col min="69" max="69" width="12" style="1" bestFit="1" customWidth="1"/>
    <col min="70" max="70" width="15.140625" style="1" customWidth="1"/>
    <col min="71" max="71" width="15.85546875" style="1" customWidth="1"/>
  </cols>
  <sheetData>
    <row r="1" spans="2:94" ht="15" customHeight="1">
      <c r="AN1" s="2"/>
      <c r="AU1" s="2"/>
      <c r="BU1" s="2"/>
      <c r="CB1" s="2"/>
      <c r="CI1" s="2"/>
      <c r="CP1" s="2"/>
    </row>
    <row r="2" spans="2:94" ht="15" customHeight="1">
      <c r="C2"/>
      <c r="D2"/>
      <c r="F2"/>
      <c r="G2"/>
      <c r="H2"/>
      <c r="J2"/>
      <c r="K2"/>
      <c r="L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N2" s="2"/>
      <c r="AU2" s="2"/>
      <c r="BU2" s="2"/>
      <c r="CB2" s="2"/>
      <c r="CI2" s="2"/>
      <c r="CP2" s="2"/>
    </row>
    <row r="3" spans="2:94" ht="15" customHeight="1">
      <c r="B3" s="3" t="s">
        <v>0</v>
      </c>
      <c r="C3" s="4" t="s">
        <v>1</v>
      </c>
      <c r="D3" s="5" t="s">
        <v>2</v>
      </c>
      <c r="F3" s="6" t="s">
        <v>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M3" s="36" t="s">
        <v>51</v>
      </c>
      <c r="AN3" s="37"/>
      <c r="AO3" s="36"/>
      <c r="AP3" s="36"/>
      <c r="AQ3" s="36"/>
      <c r="AR3" s="36"/>
      <c r="AS3" s="36"/>
      <c r="AT3" s="36"/>
      <c r="AU3" s="37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U3" s="2"/>
      <c r="CB3" s="2"/>
      <c r="CI3" s="2"/>
      <c r="CP3" s="2"/>
    </row>
    <row r="4" spans="2:94" ht="15" customHeight="1" thickBot="1">
      <c r="F4" s="102" t="s">
        <v>127</v>
      </c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U4" s="2"/>
      <c r="AY4" s="1" t="s">
        <v>134</v>
      </c>
      <c r="BI4" s="1" t="s">
        <v>135</v>
      </c>
      <c r="CB4" s="2"/>
      <c r="CI4" s="2"/>
      <c r="CP4" s="2"/>
    </row>
    <row r="5" spans="2:94" ht="15" customHeight="1">
      <c r="B5" s="7" t="s">
        <v>91</v>
      </c>
      <c r="C5" s="7"/>
      <c r="D5" s="7"/>
      <c r="F5" s="46" t="s">
        <v>87</v>
      </c>
      <c r="G5" s="46"/>
      <c r="H5" s="46"/>
      <c r="J5" s="46" t="s">
        <v>88</v>
      </c>
      <c r="K5" s="46"/>
      <c r="L5" s="46"/>
      <c r="N5" s="46" t="s">
        <v>89</v>
      </c>
      <c r="O5" s="46"/>
      <c r="P5" s="46"/>
      <c r="Q5"/>
      <c r="R5" s="46" t="s">
        <v>121</v>
      </c>
      <c r="S5" s="46"/>
      <c r="T5" s="46"/>
      <c r="U5"/>
      <c r="V5" s="46" t="s">
        <v>128</v>
      </c>
      <c r="W5" s="46"/>
      <c r="X5" s="46"/>
      <c r="Y5"/>
      <c r="Z5" s="46" t="s">
        <v>159</v>
      </c>
      <c r="AA5" s="46"/>
      <c r="AB5" s="46"/>
      <c r="AC5"/>
      <c r="AD5" s="46" t="s">
        <v>169</v>
      </c>
      <c r="AE5" s="46"/>
      <c r="AF5" s="46"/>
      <c r="AG5"/>
      <c r="AH5" s="46" t="s">
        <v>211</v>
      </c>
      <c r="AI5" s="46"/>
      <c r="AJ5" s="46"/>
      <c r="AK5"/>
      <c r="AM5" s="105" t="s">
        <v>32</v>
      </c>
      <c r="AN5" s="105"/>
      <c r="AO5" s="105"/>
      <c r="AP5" s="105"/>
      <c r="AQ5" s="105"/>
      <c r="AS5" s="105" t="s">
        <v>32</v>
      </c>
      <c r="AT5" s="105"/>
      <c r="AU5" s="105"/>
      <c r="AV5" s="105"/>
      <c r="AW5" s="105"/>
      <c r="AY5" s="51"/>
      <c r="AZ5" s="52"/>
      <c r="BA5" s="52"/>
      <c r="BB5" s="52"/>
      <c r="BC5" s="53" t="s">
        <v>52</v>
      </c>
      <c r="BD5" s="52"/>
      <c r="BE5" s="52"/>
      <c r="BF5" s="52"/>
      <c r="BG5" s="54"/>
      <c r="BI5" s="51"/>
      <c r="BJ5" s="52"/>
      <c r="BK5" s="52"/>
      <c r="BL5" s="52"/>
      <c r="BM5" s="52"/>
      <c r="BN5" s="53" t="s">
        <v>2</v>
      </c>
      <c r="BO5" s="52"/>
      <c r="BP5" s="52"/>
      <c r="BQ5" s="52"/>
      <c r="BR5" s="52"/>
      <c r="BS5" s="54"/>
      <c r="CB5" s="2"/>
      <c r="CI5" s="2"/>
      <c r="CP5" s="2"/>
    </row>
    <row r="6" spans="2:94" ht="15" customHeight="1">
      <c r="B6" s="9" t="s">
        <v>58</v>
      </c>
      <c r="C6" s="9">
        <f>1/8</f>
        <v>0.125</v>
      </c>
      <c r="D6" s="9" t="str">
        <f t="shared" ref="D6:D12" si="0">IF($D$3="English","in", "mm")</f>
        <v>in</v>
      </c>
      <c r="Q6"/>
      <c r="U6"/>
      <c r="Y6"/>
      <c r="AC6"/>
      <c r="AG6"/>
      <c r="AK6"/>
      <c r="AM6" s="106" t="s">
        <v>33</v>
      </c>
      <c r="AN6" s="107"/>
      <c r="AO6" s="107"/>
      <c r="AP6" s="107"/>
      <c r="AQ6" s="107"/>
      <c r="AS6" s="106" t="s">
        <v>49</v>
      </c>
      <c r="AT6" s="107"/>
      <c r="AU6" s="107"/>
      <c r="AV6" s="107"/>
      <c r="AW6" s="107"/>
      <c r="AY6" s="108" t="s">
        <v>132</v>
      </c>
      <c r="AZ6" s="109"/>
      <c r="BA6" s="109"/>
      <c r="BB6" s="109"/>
      <c r="BC6" s="55"/>
      <c r="BD6" s="109" t="s">
        <v>136</v>
      </c>
      <c r="BE6" s="109"/>
      <c r="BF6" s="109"/>
      <c r="BG6" s="110"/>
      <c r="BI6" s="108" t="s">
        <v>132</v>
      </c>
      <c r="BJ6" s="109"/>
      <c r="BK6" s="109"/>
      <c r="BL6" s="109"/>
      <c r="BM6" s="109"/>
      <c r="BN6" s="55"/>
      <c r="BO6" s="109" t="s">
        <v>136</v>
      </c>
      <c r="BP6" s="109"/>
      <c r="BQ6" s="109"/>
      <c r="BR6" s="109"/>
      <c r="BS6" s="110"/>
      <c r="CB6" s="2"/>
      <c r="CI6" s="2"/>
      <c r="CP6" s="2"/>
    </row>
    <row r="7" spans="2:94" ht="15" customHeight="1">
      <c r="B7" s="9" t="s">
        <v>57</v>
      </c>
      <c r="C7" s="9">
        <v>4</v>
      </c>
      <c r="D7" s="9" t="str">
        <f t="shared" si="0"/>
        <v>in</v>
      </c>
      <c r="F7" s="8" t="s">
        <v>93</v>
      </c>
      <c r="G7" s="8"/>
      <c r="H7" s="8"/>
      <c r="J7" s="8" t="s">
        <v>84</v>
      </c>
      <c r="K7" s="8"/>
      <c r="L7" s="8"/>
      <c r="N7" s="8" t="s">
        <v>90</v>
      </c>
      <c r="O7" s="8"/>
      <c r="P7" s="8"/>
      <c r="R7" s="111" t="s">
        <v>122</v>
      </c>
      <c r="S7" s="111"/>
      <c r="T7" s="111"/>
      <c r="V7" s="8" t="s">
        <v>129</v>
      </c>
      <c r="W7" s="8"/>
      <c r="X7" s="8"/>
      <c r="Z7" s="8" t="s">
        <v>160</v>
      </c>
      <c r="AA7" s="8"/>
      <c r="AB7" s="8"/>
      <c r="AD7" s="8" t="s">
        <v>170</v>
      </c>
      <c r="AE7" s="8"/>
      <c r="AF7" s="8"/>
      <c r="AH7" s="8" t="s">
        <v>212</v>
      </c>
      <c r="AI7" s="8"/>
      <c r="AJ7" s="8"/>
      <c r="AM7" s="1"/>
      <c r="AN7" s="1"/>
      <c r="AO7" s="1"/>
      <c r="AP7" s="1"/>
      <c r="AQ7" s="1"/>
      <c r="AS7" s="1"/>
      <c r="AT7" s="1"/>
      <c r="AU7" s="1"/>
      <c r="AV7" s="1"/>
      <c r="AW7" s="1"/>
      <c r="AY7" s="56" t="s">
        <v>137</v>
      </c>
      <c r="AZ7" s="57" t="s">
        <v>138</v>
      </c>
      <c r="BA7" s="57" t="s">
        <v>139</v>
      </c>
      <c r="BB7" s="58" t="s">
        <v>140</v>
      </c>
      <c r="BC7" s="55"/>
      <c r="BD7" s="59" t="s">
        <v>137</v>
      </c>
      <c r="BE7" s="57" t="s">
        <v>138</v>
      </c>
      <c r="BF7" s="57" t="s">
        <v>139</v>
      </c>
      <c r="BG7" s="60" t="s">
        <v>140</v>
      </c>
      <c r="BI7" s="56" t="s">
        <v>141</v>
      </c>
      <c r="BJ7" s="59" t="s">
        <v>142</v>
      </c>
      <c r="BK7" s="57" t="s">
        <v>143</v>
      </c>
      <c r="BL7" s="57" t="s">
        <v>144</v>
      </c>
      <c r="BM7" s="58" t="s">
        <v>145</v>
      </c>
      <c r="BN7" s="55"/>
      <c r="BO7" s="59" t="s">
        <v>141</v>
      </c>
      <c r="BP7" s="59" t="s">
        <v>142</v>
      </c>
      <c r="BQ7" s="57" t="s">
        <v>143</v>
      </c>
      <c r="BR7" s="57" t="s">
        <v>144</v>
      </c>
      <c r="BS7" s="60" t="s">
        <v>145</v>
      </c>
      <c r="CB7" s="2"/>
      <c r="CI7" s="2"/>
      <c r="CP7" s="2"/>
    </row>
    <row r="8" spans="2:94" ht="15" customHeight="1">
      <c r="B8" s="11" t="s">
        <v>68</v>
      </c>
      <c r="C8" s="11">
        <f>C7/2</f>
        <v>2</v>
      </c>
      <c r="D8" s="11" t="str">
        <f t="shared" si="0"/>
        <v>in</v>
      </c>
      <c r="F8" s="41" t="s">
        <v>67</v>
      </c>
      <c r="G8" s="42" t="s">
        <v>72</v>
      </c>
      <c r="H8" s="43" t="b">
        <f>C6&lt;0.1*C11</f>
        <v>1</v>
      </c>
      <c r="J8" s="11" t="s">
        <v>85</v>
      </c>
      <c r="K8" s="11">
        <f>(3*$C$14*($C$8^2))/(4*(C29^2))</f>
        <v>10611.570247933883</v>
      </c>
      <c r="L8" s="11" t="str">
        <f>IF($D$3="English","psi","Pa")</f>
        <v>psi</v>
      </c>
      <c r="N8" s="9" t="s">
        <v>105</v>
      </c>
      <c r="O8" s="9">
        <v>1</v>
      </c>
      <c r="P8" s="10" t="s">
        <v>6</v>
      </c>
      <c r="R8" s="11" t="s">
        <v>95</v>
      </c>
      <c r="S8" s="11">
        <f>IF($D$3="English",O9,O9*((10^-3)^4))</f>
        <v>2.8591484410203494</v>
      </c>
      <c r="T8" s="11" t="str">
        <f>IF($D$3="English","in^4","m^4")</f>
        <v>in^4</v>
      </c>
      <c r="V8" s="11" t="s">
        <v>156</v>
      </c>
      <c r="W8" s="11">
        <f>(PI()*(C9^2))/4</f>
        <v>11.044661672776616</v>
      </c>
      <c r="X8" s="11" t="str">
        <f>IF($D$3="English","in^2","mm^2")</f>
        <v>in^2</v>
      </c>
      <c r="Z8" s="11" t="s">
        <v>162</v>
      </c>
      <c r="AA8" s="11">
        <f>W9/C61</f>
        <v>729.49308579450496</v>
      </c>
      <c r="AB8" s="11" t="str">
        <f>IF($D$3="English","lbf","N")</f>
        <v>lbf</v>
      </c>
      <c r="AD8" s="11" t="s">
        <v>171</v>
      </c>
      <c r="AE8" s="17">
        <f>AA10/(C50*C6)</f>
        <v>26845.345557237779</v>
      </c>
      <c r="AF8" s="11" t="str">
        <f>IF($D$3="English","psi","Pa")</f>
        <v>psi</v>
      </c>
      <c r="AH8" s="11" t="s">
        <v>213</v>
      </c>
      <c r="AI8" s="17">
        <f>W9/((PI()/4)*(C7^2-C9^2)-(C60*C51*C6))</f>
        <v>12526.022563364388</v>
      </c>
      <c r="AJ8" s="11" t="str">
        <f>IF($D$3="English","psi","Pa")</f>
        <v>psi</v>
      </c>
      <c r="AN8" s="103" t="s">
        <v>52</v>
      </c>
      <c r="AO8" s="104"/>
      <c r="AP8" s="103" t="s">
        <v>53</v>
      </c>
      <c r="AQ8" s="104"/>
      <c r="AT8" s="103" t="s">
        <v>52</v>
      </c>
      <c r="AU8" s="104"/>
      <c r="AV8" s="103" t="s">
        <v>53</v>
      </c>
      <c r="AW8" s="104"/>
      <c r="AY8" s="61">
        <v>1.6</v>
      </c>
      <c r="AZ8" s="62">
        <v>0.35</v>
      </c>
      <c r="BA8" s="62">
        <v>1.27</v>
      </c>
      <c r="BB8" s="63">
        <v>1.07</v>
      </c>
      <c r="BC8" s="55"/>
      <c r="BD8" s="64">
        <v>1.6</v>
      </c>
      <c r="BE8" s="62" t="e">
        <f>NA()</f>
        <v>#N/A</v>
      </c>
      <c r="BF8" s="62" t="e">
        <f>NA()</f>
        <v>#N/A</v>
      </c>
      <c r="BG8" s="62" t="e">
        <f>NA()</f>
        <v>#N/A</v>
      </c>
      <c r="BI8" s="65">
        <f>0</f>
        <v>0</v>
      </c>
      <c r="BJ8" s="64">
        <v>0.06</v>
      </c>
      <c r="BK8" s="62" t="e">
        <f>NA()</f>
        <v>#N/A</v>
      </c>
      <c r="BL8" s="62" t="e">
        <f>NA()</f>
        <v>#N/A</v>
      </c>
      <c r="BM8" s="63" t="e">
        <f>NA()</f>
        <v>#N/A</v>
      </c>
      <c r="BN8" s="55"/>
      <c r="BO8" s="66">
        <f>0</f>
        <v>0</v>
      </c>
      <c r="BP8" s="64">
        <v>0.06</v>
      </c>
      <c r="BQ8" s="62">
        <v>80</v>
      </c>
      <c r="BR8" s="62">
        <v>1.8E-3</v>
      </c>
      <c r="BS8" s="67">
        <v>1.5100000000000001E-3</v>
      </c>
      <c r="CB8" s="2"/>
      <c r="CI8" s="2"/>
      <c r="CP8" s="2"/>
    </row>
    <row r="9" spans="2:94" ht="15" customHeight="1" thickBot="1">
      <c r="B9" s="11" t="s">
        <v>59</v>
      </c>
      <c r="C9" s="11">
        <f>C7-(2*C6)</f>
        <v>3.75</v>
      </c>
      <c r="D9" s="11" t="str">
        <f t="shared" si="0"/>
        <v>in</v>
      </c>
      <c r="F9" s="41" t="s">
        <v>74</v>
      </c>
      <c r="G9" s="42"/>
      <c r="H9" s="43"/>
      <c r="N9" s="11" t="s">
        <v>95</v>
      </c>
      <c r="O9" s="11">
        <f>(PI()/64)*((C7^4)-(C9^4))</f>
        <v>2.8591484410203494</v>
      </c>
      <c r="P9" s="11" t="str">
        <f>IF($D$3="English","in^4","mm^4")</f>
        <v>in^4</v>
      </c>
      <c r="R9" s="9" t="s">
        <v>123</v>
      </c>
      <c r="S9" s="9">
        <f>C12</f>
        <v>75.56</v>
      </c>
      <c r="T9" s="9" t="str">
        <f>IF($D$3="English","in","m")</f>
        <v>in</v>
      </c>
      <c r="V9" s="11" t="s">
        <v>161</v>
      </c>
      <c r="W9" s="11">
        <f>W8*C14</f>
        <v>11817.78798987098</v>
      </c>
      <c r="X9" s="11" t="str">
        <f>IF($D$3="English","lbf","N")</f>
        <v>lbf</v>
      </c>
      <c r="Z9" s="9" t="s">
        <v>165</v>
      </c>
      <c r="AA9" s="9">
        <v>1.1499999999999999</v>
      </c>
      <c r="AB9" s="10" t="s">
        <v>6</v>
      </c>
      <c r="AM9" s="23" t="s">
        <v>34</v>
      </c>
      <c r="AN9" s="24" t="s">
        <v>54</v>
      </c>
      <c r="AO9" s="25" t="s">
        <v>55</v>
      </c>
      <c r="AP9" s="24" t="s">
        <v>54</v>
      </c>
      <c r="AQ9" s="25" t="s">
        <v>55</v>
      </c>
      <c r="AS9" s="23" t="s">
        <v>34</v>
      </c>
      <c r="AT9" s="24" t="s">
        <v>54</v>
      </c>
      <c r="AU9" s="25" t="s">
        <v>55</v>
      </c>
      <c r="AV9" s="24" t="s">
        <v>54</v>
      </c>
      <c r="AW9" s="25" t="s">
        <v>55</v>
      </c>
      <c r="AY9" s="61">
        <v>2</v>
      </c>
      <c r="AZ9" s="62">
        <v>0.4</v>
      </c>
      <c r="BA9" s="62">
        <v>2.0699999999999998</v>
      </c>
      <c r="BB9" s="63">
        <v>1.79</v>
      </c>
      <c r="BC9" s="55"/>
      <c r="BD9" s="64">
        <v>2</v>
      </c>
      <c r="BE9" s="62" t="e">
        <f>NA()</f>
        <v>#N/A</v>
      </c>
      <c r="BF9" s="62" t="e">
        <f>NA()</f>
        <v>#N/A</v>
      </c>
      <c r="BG9" s="62" t="e">
        <f>NA()</f>
        <v>#N/A</v>
      </c>
      <c r="BI9" s="65">
        <f>1</f>
        <v>1</v>
      </c>
      <c r="BJ9" s="64">
        <v>7.2999999999999995E-2</v>
      </c>
      <c r="BK9" s="62">
        <v>64</v>
      </c>
      <c r="BL9" s="62">
        <v>2.63E-3</v>
      </c>
      <c r="BM9" s="63">
        <v>2.1800000000000001E-3</v>
      </c>
      <c r="BN9" s="55"/>
      <c r="BO9" s="66">
        <f>1</f>
        <v>1</v>
      </c>
      <c r="BP9" s="64">
        <v>7.2999999999999995E-2</v>
      </c>
      <c r="BQ9" s="62">
        <v>72</v>
      </c>
      <c r="BR9" s="62">
        <v>2.7799999999999999E-3</v>
      </c>
      <c r="BS9" s="67">
        <v>2.3700000000000001E-3</v>
      </c>
      <c r="CB9" s="2"/>
      <c r="CI9" s="2"/>
      <c r="CP9" s="2"/>
    </row>
    <row r="10" spans="2:94" ht="15" customHeight="1" thickTop="1">
      <c r="B10" s="11" t="s">
        <v>60</v>
      </c>
      <c r="C10" s="11">
        <f>C9/2</f>
        <v>1.875</v>
      </c>
      <c r="D10" s="11" t="str">
        <f t="shared" si="0"/>
        <v>in</v>
      </c>
      <c r="F10" s="11" t="s">
        <v>75</v>
      </c>
      <c r="G10" s="11">
        <f>C14*C11/C6</f>
        <v>16585</v>
      </c>
      <c r="H10" s="11" t="str">
        <f>IF($D$3="English","psi","Pa")</f>
        <v>psi</v>
      </c>
      <c r="J10" s="8" t="s">
        <v>86</v>
      </c>
      <c r="K10" s="8"/>
      <c r="L10" s="8"/>
      <c r="N10" s="11" t="s">
        <v>96</v>
      </c>
      <c r="O10" s="11">
        <f>(PI()/4)*((C7^2)-(C9^2))</f>
        <v>1.521708941582556</v>
      </c>
      <c r="P10" s="11" t="str">
        <f>IF($D$3="English","in^2","mm^2")</f>
        <v>in^2</v>
      </c>
      <c r="R10" s="9" t="s">
        <v>124</v>
      </c>
      <c r="S10" s="9">
        <v>200</v>
      </c>
      <c r="T10" s="9" t="str">
        <f>IF($D$3="English","lbf","N")</f>
        <v>lbf</v>
      </c>
      <c r="V10" s="11" t="s">
        <v>157</v>
      </c>
      <c r="W10" s="48">
        <f>(W9)/(C61*C59)</f>
        <v>26084.799222989313</v>
      </c>
      <c r="X10" s="11" t="str">
        <f>IF($D$3="English","psi","Pa")</f>
        <v>psi</v>
      </c>
      <c r="Z10" s="11" t="s">
        <v>166</v>
      </c>
      <c r="AA10" s="11">
        <f>AA8*AA9</f>
        <v>838.91704866368059</v>
      </c>
      <c r="AB10" s="11" t="str">
        <f>IF($D$3="English","lbf","N")</f>
        <v>lbf</v>
      </c>
      <c r="AH10" s="8" t="s">
        <v>214</v>
      </c>
      <c r="AI10" s="8"/>
      <c r="AJ10" s="8"/>
      <c r="AM10" s="26" t="s">
        <v>35</v>
      </c>
      <c r="AN10" s="27">
        <v>2700</v>
      </c>
      <c r="AO10" s="26" t="s">
        <v>110</v>
      </c>
      <c r="AP10" s="28">
        <v>0.1</v>
      </c>
      <c r="AQ10" s="29" t="s">
        <v>109</v>
      </c>
      <c r="AS10" s="26" t="s">
        <v>50</v>
      </c>
      <c r="AT10" s="39">
        <f>68.9*10^9</f>
        <v>68900000000</v>
      </c>
      <c r="AU10" s="29" t="s">
        <v>56</v>
      </c>
      <c r="AV10" s="39">
        <f>10000*10^3</f>
        <v>10000000</v>
      </c>
      <c r="AW10" s="29" t="s">
        <v>37</v>
      </c>
      <c r="AY10" s="61">
        <v>2.5</v>
      </c>
      <c r="AZ10" s="62">
        <v>0.45</v>
      </c>
      <c r="BA10" s="62">
        <v>3.39</v>
      </c>
      <c r="BB10" s="63">
        <v>2.98</v>
      </c>
      <c r="BC10" s="55"/>
      <c r="BD10" s="64">
        <v>2.5</v>
      </c>
      <c r="BE10" s="62" t="e">
        <f>NA()</f>
        <v>#N/A</v>
      </c>
      <c r="BF10" s="62" t="e">
        <f>NA()</f>
        <v>#N/A</v>
      </c>
      <c r="BG10" s="62" t="e">
        <f>NA()</f>
        <v>#N/A</v>
      </c>
      <c r="BI10" s="65">
        <f>2</f>
        <v>2</v>
      </c>
      <c r="BJ10" s="64">
        <v>8.5999999999999993E-2</v>
      </c>
      <c r="BK10" s="62">
        <v>56</v>
      </c>
      <c r="BL10" s="62">
        <v>3.7000000000000002E-3</v>
      </c>
      <c r="BM10" s="63">
        <v>3.0999999999999999E-3</v>
      </c>
      <c r="BN10" s="55"/>
      <c r="BO10" s="66">
        <f>2</f>
        <v>2</v>
      </c>
      <c r="BP10" s="64">
        <v>8.5999999999999993E-2</v>
      </c>
      <c r="BQ10" s="62">
        <v>64</v>
      </c>
      <c r="BR10" s="62">
        <v>3.9399999999999999E-3</v>
      </c>
      <c r="BS10" s="67">
        <v>3.3899999999999998E-3</v>
      </c>
      <c r="CB10" s="2"/>
      <c r="CI10" s="2"/>
      <c r="CP10" s="2"/>
    </row>
    <row r="11" spans="2:94" ht="15" customHeight="1">
      <c r="B11" s="11" t="s">
        <v>70</v>
      </c>
      <c r="C11" s="11">
        <f>(C8+C10)/2</f>
        <v>1.9375</v>
      </c>
      <c r="D11" s="11" t="str">
        <f t="shared" si="0"/>
        <v>in</v>
      </c>
      <c r="F11" s="11" t="s">
        <v>77</v>
      </c>
      <c r="G11" s="11">
        <f>-C14</f>
        <v>-1070</v>
      </c>
      <c r="H11" s="11" t="str">
        <f>IF($D$3="English","psi","Pa")</f>
        <v>psi</v>
      </c>
      <c r="J11" s="11" t="s">
        <v>85</v>
      </c>
      <c r="K11" s="11">
        <f>(3*$C$14*($C$8^2))/(4*(C37^2))</f>
        <v>514.83486230733592</v>
      </c>
      <c r="L11" s="11" t="str">
        <f>IF($D$3="English","psi","Pa")</f>
        <v>psi</v>
      </c>
      <c r="N11" s="11"/>
      <c r="O11" s="11">
        <f>IF($D$3="English",O10,O10*((10^-3)^2))</f>
        <v>1.521708941582556</v>
      </c>
      <c r="P11" s="11" t="str">
        <f>IF($D$3="English","in^2","m^2")</f>
        <v>in^2</v>
      </c>
      <c r="R11" s="11" t="s">
        <v>125</v>
      </c>
      <c r="S11" s="11">
        <f>S10*S9</f>
        <v>15112</v>
      </c>
      <c r="T11" s="11" t="str">
        <f>IF($D$3="English","lbf-in","N-m")</f>
        <v>lbf-in</v>
      </c>
      <c r="Z11" s="9" t="s">
        <v>163</v>
      </c>
      <c r="AA11" s="9">
        <v>0.5</v>
      </c>
      <c r="AB11" s="9" t="str">
        <f>IF($D$3="English","in","m")</f>
        <v>in</v>
      </c>
      <c r="AH11" s="11" t="s">
        <v>213</v>
      </c>
      <c r="AI11" s="17">
        <f>W9/((PI()/4)*(C32^2-C33^2)-(C60*C50*C34))</f>
        <v>6027.9464233492772</v>
      </c>
      <c r="AJ11" s="11" t="str">
        <f>IF($D$3="English","psi","Pa")</f>
        <v>psi</v>
      </c>
      <c r="AM11" s="30" t="s">
        <v>36</v>
      </c>
      <c r="AN11" s="39">
        <f>310*10^6</f>
        <v>310000000</v>
      </c>
      <c r="AO11" s="30" t="s">
        <v>56</v>
      </c>
      <c r="AP11" s="39">
        <v>45000</v>
      </c>
      <c r="AQ11" s="33" t="s">
        <v>37</v>
      </c>
      <c r="AS11" s="26" t="s">
        <v>209</v>
      </c>
      <c r="AT11" s="39">
        <f>607*10^6</f>
        <v>607000000</v>
      </c>
      <c r="AU11" s="29" t="s">
        <v>56</v>
      </c>
      <c r="AV11" s="39">
        <v>88000</v>
      </c>
      <c r="AW11" s="29" t="s">
        <v>37</v>
      </c>
      <c r="AY11" s="61">
        <v>3</v>
      </c>
      <c r="AZ11" s="62">
        <v>0.5</v>
      </c>
      <c r="BA11" s="62">
        <v>5.03</v>
      </c>
      <c r="BB11" s="63">
        <v>4.47</v>
      </c>
      <c r="BC11" s="55"/>
      <c r="BD11" s="64">
        <v>3</v>
      </c>
      <c r="BE11" s="62" t="e">
        <f>NA()</f>
        <v>#N/A</v>
      </c>
      <c r="BF11" s="62" t="e">
        <f>NA()</f>
        <v>#N/A</v>
      </c>
      <c r="BG11" s="62" t="e">
        <f>NA()</f>
        <v>#N/A</v>
      </c>
      <c r="BI11" s="65">
        <f>3</f>
        <v>3</v>
      </c>
      <c r="BJ11" s="64">
        <v>9.9000000000000005E-2</v>
      </c>
      <c r="BK11" s="62">
        <v>48</v>
      </c>
      <c r="BL11" s="62">
        <v>4.8700000000000002E-3</v>
      </c>
      <c r="BM11" s="63">
        <v>4.0600000000000002E-3</v>
      </c>
      <c r="BN11" s="55"/>
      <c r="BO11" s="66">
        <f>3</f>
        <v>3</v>
      </c>
      <c r="BP11" s="64">
        <v>9.9000000000000005E-2</v>
      </c>
      <c r="BQ11" s="62">
        <v>56</v>
      </c>
      <c r="BR11" s="62">
        <v>5.2300000000000003E-3</v>
      </c>
      <c r="BS11" s="67">
        <v>4.5100000000000001E-3</v>
      </c>
      <c r="CB11" s="2"/>
      <c r="CI11" s="2"/>
      <c r="CP11" s="2"/>
    </row>
    <row r="12" spans="2:94" ht="15" customHeight="1">
      <c r="B12" s="9" t="s">
        <v>61</v>
      </c>
      <c r="C12" s="9">
        <v>75.56</v>
      </c>
      <c r="D12" s="9" t="str">
        <f t="shared" si="0"/>
        <v>in</v>
      </c>
      <c r="F12" s="11" t="s">
        <v>76</v>
      </c>
      <c r="G12" s="11">
        <f>C14*C9/(4*C6)</f>
        <v>8025</v>
      </c>
      <c r="H12" s="11" t="str">
        <f>IF($D$3="English","psi","Pa")</f>
        <v>psi</v>
      </c>
      <c r="N12" s="11" t="s">
        <v>97</v>
      </c>
      <c r="O12" s="11">
        <f>SQRT(O9/O11)</f>
        <v>1.3707320124663318</v>
      </c>
      <c r="P12" s="11" t="str">
        <f>IF($D$3="English","in","mm")</f>
        <v>in</v>
      </c>
      <c r="R12" s="11" t="s">
        <v>126</v>
      </c>
      <c r="S12" s="48">
        <f>(S11*S9)/S8</f>
        <v>399371.61135729682</v>
      </c>
      <c r="T12" s="11" t="str">
        <f>IF($D$3="English","psi","Pa")</f>
        <v>psi</v>
      </c>
      <c r="Z12" s="11" t="s">
        <v>164</v>
      </c>
      <c r="AA12" s="11">
        <f>AA11-(C50/2)</f>
        <v>0.375</v>
      </c>
      <c r="AB12" s="11" t="str">
        <f>IF($D$3="English","in","m")</f>
        <v>in</v>
      </c>
      <c r="AM12" s="30" t="s">
        <v>38</v>
      </c>
      <c r="AN12" s="39">
        <f>276*10^6</f>
        <v>276000000</v>
      </c>
      <c r="AO12" s="30" t="s">
        <v>56</v>
      </c>
      <c r="AP12" s="39">
        <v>40000</v>
      </c>
      <c r="AQ12" s="33" t="s">
        <v>37</v>
      </c>
      <c r="AS12" s="26" t="s">
        <v>210</v>
      </c>
      <c r="AT12" s="39">
        <f>386*10^6</f>
        <v>386000000</v>
      </c>
      <c r="AU12" s="29" t="s">
        <v>56</v>
      </c>
      <c r="AV12" s="39">
        <v>56000</v>
      </c>
      <c r="AW12" s="29" t="s">
        <v>37</v>
      </c>
      <c r="AY12" s="61">
        <v>3.5</v>
      </c>
      <c r="AZ12" s="62">
        <v>0.6</v>
      </c>
      <c r="BA12" s="62">
        <v>6.78</v>
      </c>
      <c r="BB12" s="63">
        <v>6</v>
      </c>
      <c r="BC12" s="55"/>
      <c r="BD12" s="64">
        <v>3.5</v>
      </c>
      <c r="BE12" s="62" t="e">
        <f>NA()</f>
        <v>#N/A</v>
      </c>
      <c r="BF12" s="62" t="e">
        <f>NA()</f>
        <v>#N/A</v>
      </c>
      <c r="BG12" s="62" t="e">
        <f>NA()</f>
        <v>#N/A</v>
      </c>
      <c r="BI12" s="65">
        <f>4</f>
        <v>4</v>
      </c>
      <c r="BJ12" s="64">
        <v>0.112</v>
      </c>
      <c r="BK12" s="62">
        <v>40</v>
      </c>
      <c r="BL12" s="62">
        <v>6.0400000000000002E-3</v>
      </c>
      <c r="BM12" s="63">
        <v>4.96E-3</v>
      </c>
      <c r="BN12" s="55"/>
      <c r="BO12" s="66">
        <f>4</f>
        <v>4</v>
      </c>
      <c r="BP12" s="64">
        <v>0.112</v>
      </c>
      <c r="BQ12" s="62">
        <v>48</v>
      </c>
      <c r="BR12" s="62">
        <v>6.6100000000000004E-3</v>
      </c>
      <c r="BS12" s="67">
        <v>5.6600000000000001E-3</v>
      </c>
      <c r="CB12" s="2"/>
      <c r="CI12" s="2"/>
      <c r="CP12" s="2"/>
    </row>
    <row r="13" spans="2:94" ht="15" customHeight="1">
      <c r="B13" s="11"/>
      <c r="C13" s="11">
        <f>IF($D$3="English",C12/12, C12*10^-3)</f>
        <v>6.2966666666666669</v>
      </c>
      <c r="D13" s="11" t="str">
        <f>IF($D$3="English","ft", "m")</f>
        <v>ft</v>
      </c>
      <c r="N13" s="11" t="s">
        <v>98</v>
      </c>
      <c r="O13" s="11">
        <f>C12/O12</f>
        <v>55.123831144824834</v>
      </c>
      <c r="P13" s="14" t="s">
        <v>6</v>
      </c>
      <c r="Z13" s="11" t="s">
        <v>167</v>
      </c>
      <c r="AA13" s="17">
        <f>AA10/(2*AA12*C6)</f>
        <v>8948.4485190792602</v>
      </c>
      <c r="AB13" s="11" t="str">
        <f>IF($D$3="English","psi","Pa")</f>
        <v>psi</v>
      </c>
      <c r="AH13" s="1" t="s">
        <v>222</v>
      </c>
      <c r="AM13" s="30" t="s">
        <v>39</v>
      </c>
      <c r="AN13" s="39">
        <f>96.5*10^6</f>
        <v>96500000</v>
      </c>
      <c r="AO13" s="30" t="s">
        <v>56</v>
      </c>
      <c r="AP13" s="39">
        <v>14000</v>
      </c>
      <c r="AQ13" s="33" t="s">
        <v>37</v>
      </c>
      <c r="AU13" s="2"/>
      <c r="AY13" s="61">
        <v>4</v>
      </c>
      <c r="AZ13" s="62">
        <v>0.7</v>
      </c>
      <c r="BA13" s="62">
        <v>8.7799999999999994</v>
      </c>
      <c r="BB13" s="63">
        <v>7.75</v>
      </c>
      <c r="BC13" s="55"/>
      <c r="BD13" s="64">
        <v>4</v>
      </c>
      <c r="BE13" s="62" t="e">
        <f>NA()</f>
        <v>#N/A</v>
      </c>
      <c r="BF13" s="62" t="e">
        <f>NA()</f>
        <v>#N/A</v>
      </c>
      <c r="BG13" s="62" t="e">
        <f>NA()</f>
        <v>#N/A</v>
      </c>
      <c r="BI13" s="65">
        <f>5</f>
        <v>5</v>
      </c>
      <c r="BJ13" s="64">
        <v>0.125</v>
      </c>
      <c r="BK13" s="62">
        <v>40</v>
      </c>
      <c r="BL13" s="62">
        <v>7.9600000000000001E-3</v>
      </c>
      <c r="BM13" s="63">
        <v>6.7200000000000003E-3</v>
      </c>
      <c r="BN13" s="55"/>
      <c r="BO13" s="66">
        <f>5</f>
        <v>5</v>
      </c>
      <c r="BP13" s="64">
        <v>0.125</v>
      </c>
      <c r="BQ13" s="62">
        <v>44</v>
      </c>
      <c r="BR13" s="62">
        <v>8.8000000000000005E-3</v>
      </c>
      <c r="BS13" s="67">
        <v>7.1599999999999997E-3</v>
      </c>
      <c r="CB13" s="2"/>
      <c r="CI13" s="2"/>
      <c r="CP13" s="2"/>
    </row>
    <row r="14" spans="2:94" ht="15" customHeight="1">
      <c r="B14" s="9" t="s">
        <v>78</v>
      </c>
      <c r="C14" s="9">
        <v>1070</v>
      </c>
      <c r="D14" s="9" t="str">
        <f>IF($D$3="English","psi","Pa")</f>
        <v>psi</v>
      </c>
      <c r="N14" s="11" t="s">
        <v>104</v>
      </c>
      <c r="O14" s="11">
        <f>SQRT((2*(PI()^2)*O8*$C$45)/$C$42)</f>
        <v>70.248147310407262</v>
      </c>
      <c r="P14" s="14" t="s">
        <v>6</v>
      </c>
      <c r="Z14" s="11" t="s">
        <v>220</v>
      </c>
      <c r="AA14" s="17">
        <f>SQRT(3*(AA13^2))</f>
        <v>15499.167483959756</v>
      </c>
      <c r="AB14" s="11" t="str">
        <f>IF($D$3="English","psi","Pa")</f>
        <v>psi</v>
      </c>
      <c r="AM14" s="30" t="s">
        <v>40</v>
      </c>
      <c r="AN14" s="39">
        <f>207*10^6</f>
        <v>207000000</v>
      </c>
      <c r="AO14" s="30" t="s">
        <v>56</v>
      </c>
      <c r="AP14" s="39">
        <v>30000</v>
      </c>
      <c r="AQ14" s="33" t="s">
        <v>37</v>
      </c>
      <c r="AU14" s="2"/>
      <c r="AY14" s="61">
        <v>5</v>
      </c>
      <c r="AZ14" s="62">
        <v>0.8</v>
      </c>
      <c r="BA14" s="62">
        <v>14.2</v>
      </c>
      <c r="BB14" s="63">
        <v>12.7</v>
      </c>
      <c r="BC14" s="55"/>
      <c r="BD14" s="64">
        <v>5</v>
      </c>
      <c r="BE14" s="62" t="e">
        <f>NA()</f>
        <v>#N/A</v>
      </c>
      <c r="BF14" s="62" t="e">
        <f>NA()</f>
        <v>#N/A</v>
      </c>
      <c r="BG14" s="62" t="e">
        <f>NA()</f>
        <v>#N/A</v>
      </c>
      <c r="BI14" s="65">
        <f>6</f>
        <v>6</v>
      </c>
      <c r="BJ14" s="64">
        <v>0.13800000000000001</v>
      </c>
      <c r="BK14" s="62">
        <v>32</v>
      </c>
      <c r="BL14" s="62">
        <v>9.0900000000000009E-3</v>
      </c>
      <c r="BM14" s="63">
        <v>7.45E-3</v>
      </c>
      <c r="BN14" s="55"/>
      <c r="BO14" s="66">
        <f>6</f>
        <v>6</v>
      </c>
      <c r="BP14" s="64">
        <v>0.13800000000000001</v>
      </c>
      <c r="BQ14" s="62">
        <v>40</v>
      </c>
      <c r="BR14" s="62">
        <v>1.0149999999999999E-2</v>
      </c>
      <c r="BS14" s="67">
        <v>8.7399999999999995E-3</v>
      </c>
      <c r="CB14" s="2"/>
      <c r="CI14" s="2"/>
      <c r="CP14" s="2"/>
    </row>
    <row r="15" spans="2:94" ht="15" customHeight="1">
      <c r="N15" s="11" t="s">
        <v>106</v>
      </c>
      <c r="O15" s="11"/>
      <c r="P15" s="47" t="str">
        <f>IF(O13&gt;O14, "Use Euler               ", "Use Johnson               ")</f>
        <v xml:space="preserve">Use Johnson               </v>
      </c>
      <c r="AM15" s="30" t="s">
        <v>41</v>
      </c>
      <c r="AN15" s="31" t="s">
        <v>42</v>
      </c>
      <c r="AO15" s="30" t="s">
        <v>43</v>
      </c>
      <c r="AP15" s="32" t="s">
        <v>44</v>
      </c>
      <c r="AQ15" s="33" t="s">
        <v>45</v>
      </c>
      <c r="AU15" s="2"/>
      <c r="AY15" s="61">
        <v>6</v>
      </c>
      <c r="AZ15" s="62">
        <v>1</v>
      </c>
      <c r="BA15" s="62">
        <v>20.100000000000001</v>
      </c>
      <c r="BB15" s="63">
        <v>17.899999999999999</v>
      </c>
      <c r="BC15" s="55"/>
      <c r="BD15" s="64">
        <v>6</v>
      </c>
      <c r="BE15" s="62" t="e">
        <f>NA()</f>
        <v>#N/A</v>
      </c>
      <c r="BF15" s="62" t="e">
        <f>NA()</f>
        <v>#N/A</v>
      </c>
      <c r="BG15" s="62" t="e">
        <f>NA()</f>
        <v>#N/A</v>
      </c>
      <c r="BI15" s="65">
        <f>8</f>
        <v>8</v>
      </c>
      <c r="BJ15" s="64">
        <v>0.16400000000000001</v>
      </c>
      <c r="BK15" s="62">
        <v>32</v>
      </c>
      <c r="BL15" s="62">
        <v>1.4E-2</v>
      </c>
      <c r="BM15" s="63">
        <v>1.196E-2</v>
      </c>
      <c r="BN15" s="55"/>
      <c r="BO15" s="66">
        <f>8</f>
        <v>8</v>
      </c>
      <c r="BP15" s="64">
        <v>0.16400000000000001</v>
      </c>
      <c r="BQ15" s="62">
        <v>36</v>
      </c>
      <c r="BR15" s="62">
        <v>1.474E-2</v>
      </c>
      <c r="BS15" s="67">
        <v>1.285E-2</v>
      </c>
      <c r="CB15" s="2"/>
      <c r="CI15" s="2"/>
      <c r="CP15" s="2"/>
    </row>
    <row r="16" spans="2:94" ht="15" customHeight="1">
      <c r="B16" s="7" t="s">
        <v>92</v>
      </c>
      <c r="C16" s="7"/>
      <c r="D16" s="7"/>
      <c r="N16" s="11" t="s">
        <v>107</v>
      </c>
      <c r="O16" s="48">
        <f>IF(O13&gt;O14, (O8*(PI()^2)*$C$45*O11)/(O13^2), O11*($C$42-((($C$42/(2*PI()))*O13)^2)*(1/(O8*$C$45))))</f>
        <v>42128.312813968143</v>
      </c>
      <c r="P16" s="11" t="str">
        <f>IF($D$3="English","lbf","N")</f>
        <v>lbf</v>
      </c>
      <c r="Z16" s="8" t="s">
        <v>168</v>
      </c>
      <c r="AA16" s="8"/>
      <c r="AB16" s="8"/>
      <c r="AM16" s="30" t="s">
        <v>46</v>
      </c>
      <c r="AN16" s="34" t="s">
        <v>47</v>
      </c>
      <c r="AO16" s="30"/>
      <c r="AP16" s="32"/>
      <c r="AQ16" s="35"/>
      <c r="AU16" s="2"/>
      <c r="AY16" s="61">
        <v>8</v>
      </c>
      <c r="AZ16" s="62">
        <v>1.25</v>
      </c>
      <c r="BA16" s="62">
        <v>36.6</v>
      </c>
      <c r="BB16" s="63">
        <v>32.799999999999997</v>
      </c>
      <c r="BC16" s="55"/>
      <c r="BD16" s="64">
        <v>8</v>
      </c>
      <c r="BE16" s="62">
        <v>1</v>
      </c>
      <c r="BF16" s="62">
        <v>39.200000000000003</v>
      </c>
      <c r="BG16" s="67">
        <v>36</v>
      </c>
      <c r="BI16" s="65">
        <f>10</f>
        <v>10</v>
      </c>
      <c r="BJ16" s="64">
        <v>0.19</v>
      </c>
      <c r="BK16" s="62">
        <v>24</v>
      </c>
      <c r="BL16" s="62">
        <v>1.7500000000000002E-2</v>
      </c>
      <c r="BM16" s="63">
        <v>1.4500000000000001E-2</v>
      </c>
      <c r="BN16" s="55"/>
      <c r="BO16" s="66">
        <f>10</f>
        <v>10</v>
      </c>
      <c r="BP16" s="64">
        <v>0.19</v>
      </c>
      <c r="BQ16" s="62">
        <v>32</v>
      </c>
      <c r="BR16" s="62">
        <v>0.02</v>
      </c>
      <c r="BS16" s="67">
        <v>1.7500000000000002E-2</v>
      </c>
      <c r="CB16" s="2"/>
      <c r="CI16" s="2"/>
      <c r="CP16" s="2"/>
    </row>
    <row r="17" spans="2:94" ht="15" customHeight="1">
      <c r="B17" s="9" t="s">
        <v>62</v>
      </c>
      <c r="C17" s="9">
        <f>1/8</f>
        <v>0.125</v>
      </c>
      <c r="D17" s="9" t="str">
        <f t="shared" ref="D17:D23" si="1">IF($D$3="English","in", "mm")</f>
        <v>in</v>
      </c>
      <c r="Z17" s="11" t="s">
        <v>162</v>
      </c>
      <c r="AA17" s="11">
        <f>W9/C61</f>
        <v>729.49308579450496</v>
      </c>
      <c r="AB17" s="11" t="str">
        <f>IF($D$3="English","lbf","N")</f>
        <v>lbf</v>
      </c>
      <c r="AM17" s="30" t="s">
        <v>48</v>
      </c>
      <c r="AN17" s="31">
        <v>95</v>
      </c>
      <c r="AO17" s="30"/>
      <c r="AP17" s="32"/>
      <c r="AQ17" s="33"/>
      <c r="AU17" s="2"/>
      <c r="AY17" s="61">
        <v>10</v>
      </c>
      <c r="AZ17" s="62">
        <v>1.5</v>
      </c>
      <c r="BA17" s="62">
        <v>58</v>
      </c>
      <c r="BB17" s="63">
        <v>52.3</v>
      </c>
      <c r="BC17" s="55"/>
      <c r="BD17" s="64">
        <v>10</v>
      </c>
      <c r="BE17" s="62">
        <v>1.25</v>
      </c>
      <c r="BF17" s="62">
        <v>61.2</v>
      </c>
      <c r="BG17" s="67">
        <v>56.3</v>
      </c>
      <c r="BI17" s="65">
        <f>12</f>
        <v>12</v>
      </c>
      <c r="BJ17" s="64">
        <v>0.216</v>
      </c>
      <c r="BK17" s="62">
        <v>24</v>
      </c>
      <c r="BL17" s="62">
        <v>2.4199999999999999E-2</v>
      </c>
      <c r="BM17" s="63">
        <v>2.06E-2</v>
      </c>
      <c r="BN17" s="55"/>
      <c r="BO17" s="66">
        <f>12</f>
        <v>12</v>
      </c>
      <c r="BP17" s="64">
        <v>0.216</v>
      </c>
      <c r="BQ17" s="62">
        <v>28</v>
      </c>
      <c r="BR17" s="62">
        <v>2.58E-2</v>
      </c>
      <c r="BS17" s="67">
        <v>2.2599999999999999E-2</v>
      </c>
      <c r="CB17" s="2"/>
      <c r="CI17" s="2"/>
      <c r="CP17" s="2"/>
    </row>
    <row r="18" spans="2:94" ht="15" customHeight="1">
      <c r="B18" s="9" t="s">
        <v>63</v>
      </c>
      <c r="C18" s="9">
        <v>2</v>
      </c>
      <c r="D18" s="9" t="str">
        <f t="shared" si="1"/>
        <v>in</v>
      </c>
      <c r="N18" s="8" t="s">
        <v>117</v>
      </c>
      <c r="O18" s="8"/>
      <c r="P18" s="8"/>
      <c r="Z18" s="9" t="s">
        <v>165</v>
      </c>
      <c r="AA18" s="9">
        <v>1.1499999999999999</v>
      </c>
      <c r="AB18" s="10" t="s">
        <v>6</v>
      </c>
      <c r="AM18" s="1"/>
      <c r="AN18" s="1"/>
      <c r="AO18" s="1"/>
      <c r="AP18" s="1"/>
      <c r="AQ18" s="1"/>
      <c r="AU18" s="2"/>
      <c r="AY18" s="61">
        <v>12</v>
      </c>
      <c r="AZ18" s="62">
        <v>1.75</v>
      </c>
      <c r="BA18" s="62">
        <v>84.3</v>
      </c>
      <c r="BB18" s="63">
        <v>76.3</v>
      </c>
      <c r="BC18" s="55"/>
      <c r="BD18" s="64">
        <v>12</v>
      </c>
      <c r="BE18" s="62">
        <v>1.25</v>
      </c>
      <c r="BF18" s="62">
        <v>92.1</v>
      </c>
      <c r="BG18" s="67">
        <v>86</v>
      </c>
      <c r="BI18" s="65">
        <f>1/4</f>
        <v>0.25</v>
      </c>
      <c r="BJ18" s="64">
        <v>0.25</v>
      </c>
      <c r="BK18" s="62">
        <v>20</v>
      </c>
      <c r="BL18" s="62">
        <v>3.1800000000000002E-2</v>
      </c>
      <c r="BM18" s="63">
        <v>2.69E-2</v>
      </c>
      <c r="BN18" s="55"/>
      <c r="BO18" s="66">
        <f>1/4</f>
        <v>0.25</v>
      </c>
      <c r="BP18" s="64">
        <v>0.25</v>
      </c>
      <c r="BQ18" s="62">
        <v>28</v>
      </c>
      <c r="BR18" s="62">
        <v>3.6400000000000002E-2</v>
      </c>
      <c r="BS18" s="67">
        <v>3.2599999999999997E-2</v>
      </c>
      <c r="CB18" s="2"/>
      <c r="CI18" s="2"/>
      <c r="CP18" s="2"/>
    </row>
    <row r="19" spans="2:94" ht="15" customHeight="1">
      <c r="B19" s="11" t="s">
        <v>69</v>
      </c>
      <c r="C19" s="11">
        <f>C18/2</f>
        <v>1</v>
      </c>
      <c r="D19" s="11" t="str">
        <f t="shared" si="1"/>
        <v>in</v>
      </c>
      <c r="N19" s="9" t="s">
        <v>105</v>
      </c>
      <c r="O19" s="9">
        <v>1</v>
      </c>
      <c r="P19" s="10" t="s">
        <v>6</v>
      </c>
      <c r="Z19" s="11" t="s">
        <v>166</v>
      </c>
      <c r="AA19" s="11">
        <f>AA17*AA18</f>
        <v>838.91704866368059</v>
      </c>
      <c r="AB19" s="11" t="str">
        <f>IF($D$3="English","lbf","N")</f>
        <v>lbf</v>
      </c>
      <c r="AU19" s="2"/>
      <c r="AY19" s="61">
        <v>14</v>
      </c>
      <c r="AZ19" s="62">
        <v>2</v>
      </c>
      <c r="BA19" s="62">
        <v>115</v>
      </c>
      <c r="BB19" s="63">
        <v>104</v>
      </c>
      <c r="BC19" s="55"/>
      <c r="BD19" s="64">
        <v>14</v>
      </c>
      <c r="BE19" s="62">
        <v>1.5</v>
      </c>
      <c r="BF19" s="62">
        <v>125</v>
      </c>
      <c r="BG19" s="67">
        <v>116</v>
      </c>
      <c r="BI19" s="65">
        <f>5/16</f>
        <v>0.3125</v>
      </c>
      <c r="BJ19" s="64">
        <v>0.3125</v>
      </c>
      <c r="BK19" s="62">
        <v>18</v>
      </c>
      <c r="BL19" s="62">
        <v>5.2400000000000002E-2</v>
      </c>
      <c r="BM19" s="63">
        <v>4.5400000000000003E-2</v>
      </c>
      <c r="BN19" s="55"/>
      <c r="BO19" s="66">
        <f>5/16</f>
        <v>0.3125</v>
      </c>
      <c r="BP19" s="64">
        <v>0.3125</v>
      </c>
      <c r="BQ19" s="62">
        <v>24</v>
      </c>
      <c r="BR19" s="62">
        <v>5.8000000000000003E-2</v>
      </c>
      <c r="BS19" s="67">
        <v>5.2400000000000002E-2</v>
      </c>
      <c r="CB19" s="2"/>
      <c r="CI19" s="2"/>
      <c r="CP19" s="2"/>
    </row>
    <row r="20" spans="2:94" ht="15" customHeight="1">
      <c r="B20" s="11" t="s">
        <v>64</v>
      </c>
      <c r="C20" s="11">
        <f>C18-(2*C17)</f>
        <v>1.75</v>
      </c>
      <c r="D20" s="11" t="str">
        <f t="shared" si="1"/>
        <v>in</v>
      </c>
      <c r="N20" s="11" t="s">
        <v>95</v>
      </c>
      <c r="O20" s="11">
        <f>(PI()/64)*((C18^4)-(C20^4))</f>
        <v>0.32501217943327021</v>
      </c>
      <c r="P20" s="11" t="str">
        <f>IF($D$3="English","in^4","mm^4")</f>
        <v>in^4</v>
      </c>
      <c r="Z20" s="9" t="s">
        <v>163</v>
      </c>
      <c r="AA20" s="9">
        <f>AA11</f>
        <v>0.5</v>
      </c>
      <c r="AB20" s="9" t="str">
        <f>IF($D$3="English","in","m")</f>
        <v>in</v>
      </c>
      <c r="AU20" s="2"/>
      <c r="AY20" s="61">
        <v>16</v>
      </c>
      <c r="AZ20" s="62">
        <v>2</v>
      </c>
      <c r="BA20" s="62">
        <v>157</v>
      </c>
      <c r="BB20" s="63">
        <v>144</v>
      </c>
      <c r="BC20" s="55"/>
      <c r="BD20" s="64">
        <v>16</v>
      </c>
      <c r="BE20" s="62">
        <v>1.5</v>
      </c>
      <c r="BF20" s="62">
        <v>167</v>
      </c>
      <c r="BG20" s="67">
        <v>157</v>
      </c>
      <c r="BI20" s="65">
        <f>3/8</f>
        <v>0.375</v>
      </c>
      <c r="BJ20" s="64">
        <v>0.375</v>
      </c>
      <c r="BK20" s="62">
        <v>16</v>
      </c>
      <c r="BL20" s="62">
        <v>7.7499999999999999E-2</v>
      </c>
      <c r="BM20" s="63">
        <v>6.7799999999999999E-2</v>
      </c>
      <c r="BN20" s="55"/>
      <c r="BO20" s="66">
        <f>3/8</f>
        <v>0.375</v>
      </c>
      <c r="BP20" s="64">
        <v>0.375</v>
      </c>
      <c r="BQ20" s="62">
        <v>24</v>
      </c>
      <c r="BR20" s="62">
        <v>8.7800000000000003E-2</v>
      </c>
      <c r="BS20" s="67">
        <v>8.09E-2</v>
      </c>
      <c r="CB20" s="2"/>
      <c r="CI20" s="2"/>
      <c r="CP20" s="2"/>
    </row>
    <row r="21" spans="2:94" ht="15" customHeight="1">
      <c r="B21" s="11" t="s">
        <v>65</v>
      </c>
      <c r="C21" s="11">
        <f>C20/2</f>
        <v>0.875</v>
      </c>
      <c r="D21" s="11" t="str">
        <f t="shared" si="1"/>
        <v>in</v>
      </c>
      <c r="N21" s="11" t="s">
        <v>96</v>
      </c>
      <c r="O21" s="11">
        <f>(PI()/4)*((C18^2)-(C20^2))</f>
        <v>0.73631077818510771</v>
      </c>
      <c r="P21" s="11" t="str">
        <f>IF($D$3="English","in^2","mm^2")</f>
        <v>in^2</v>
      </c>
      <c r="Z21" s="11" t="s">
        <v>164</v>
      </c>
      <c r="AA21" s="11">
        <f>AA20-(C50/2)</f>
        <v>0.375</v>
      </c>
      <c r="AB21" s="11" t="str">
        <f>IF($D$3="English","in","m")</f>
        <v>in</v>
      </c>
      <c r="AU21" s="2"/>
      <c r="AY21" s="61">
        <v>20</v>
      </c>
      <c r="AZ21" s="62">
        <v>2.5</v>
      </c>
      <c r="BA21" s="62">
        <v>245</v>
      </c>
      <c r="BB21" s="63">
        <v>225</v>
      </c>
      <c r="BC21" s="55"/>
      <c r="BD21" s="64">
        <v>20</v>
      </c>
      <c r="BE21" s="62">
        <v>1.5</v>
      </c>
      <c r="BF21" s="62">
        <v>272</v>
      </c>
      <c r="BG21" s="67">
        <v>259</v>
      </c>
      <c r="BI21" s="65">
        <f>7/16</f>
        <v>0.4375</v>
      </c>
      <c r="BJ21" s="64">
        <v>0.4375</v>
      </c>
      <c r="BK21" s="62">
        <v>14</v>
      </c>
      <c r="BL21" s="62">
        <v>0.10630000000000001</v>
      </c>
      <c r="BM21" s="63">
        <v>9.3299999999999994E-2</v>
      </c>
      <c r="BN21" s="55"/>
      <c r="BO21" s="66">
        <f>7/16</f>
        <v>0.4375</v>
      </c>
      <c r="BP21" s="64">
        <v>0.4375</v>
      </c>
      <c r="BQ21" s="62">
        <v>20</v>
      </c>
      <c r="BR21" s="62">
        <v>0.1187</v>
      </c>
      <c r="BS21" s="67">
        <v>0.109</v>
      </c>
      <c r="CB21" s="2"/>
      <c r="CI21" s="2"/>
      <c r="CP21" s="2"/>
    </row>
    <row r="22" spans="2:94" ht="15" customHeight="1">
      <c r="B22" s="11" t="s">
        <v>71</v>
      </c>
      <c r="C22" s="11">
        <f>(C19+C21)/2</f>
        <v>0.9375</v>
      </c>
      <c r="D22" s="11" t="str">
        <f t="shared" si="1"/>
        <v>in</v>
      </c>
      <c r="N22" s="11"/>
      <c r="O22" s="11">
        <f>IF($D$3="English",O21,O21*((10^-3)^2))</f>
        <v>0.73631077818510771</v>
      </c>
      <c r="P22" s="11" t="str">
        <f>IF($D$3="English","in^2","m^2")</f>
        <v>in^2</v>
      </c>
      <c r="Z22" s="11" t="s">
        <v>167</v>
      </c>
      <c r="AA22" s="17">
        <f>AA19/(2*AA21*C29)</f>
        <v>2033.7382997907407</v>
      </c>
      <c r="AB22" s="11" t="str">
        <f>IF($D$3="English","psi","Pa")</f>
        <v>psi</v>
      </c>
      <c r="AU22" s="2"/>
      <c r="AY22" s="61">
        <v>24</v>
      </c>
      <c r="AZ22" s="62">
        <v>3</v>
      </c>
      <c r="BA22" s="62">
        <v>353</v>
      </c>
      <c r="BB22" s="63">
        <v>324</v>
      </c>
      <c r="BC22" s="55"/>
      <c r="BD22" s="64">
        <v>24</v>
      </c>
      <c r="BE22" s="62">
        <v>2</v>
      </c>
      <c r="BF22" s="62">
        <v>384</v>
      </c>
      <c r="BG22" s="67">
        <v>365</v>
      </c>
      <c r="BI22" s="65">
        <f>1/2</f>
        <v>0.5</v>
      </c>
      <c r="BJ22" s="64">
        <v>0.5</v>
      </c>
      <c r="BK22" s="62">
        <v>13</v>
      </c>
      <c r="BL22" s="62">
        <v>0.1419</v>
      </c>
      <c r="BM22" s="63">
        <v>0.12570000000000001</v>
      </c>
      <c r="BN22" s="55"/>
      <c r="BO22" s="66">
        <f>1/2</f>
        <v>0.5</v>
      </c>
      <c r="BP22" s="64">
        <v>0.5</v>
      </c>
      <c r="BQ22" s="62">
        <v>20</v>
      </c>
      <c r="BR22" s="62">
        <v>0.15989999999999999</v>
      </c>
      <c r="BS22" s="67">
        <v>0.14860000000000001</v>
      </c>
      <c r="CB22" s="2"/>
      <c r="CI22" s="2"/>
      <c r="CP22" s="2"/>
    </row>
    <row r="23" spans="2:94" ht="15" customHeight="1">
      <c r="B23" s="9" t="s">
        <v>66</v>
      </c>
      <c r="C23" s="9">
        <f>6*12</f>
        <v>72</v>
      </c>
      <c r="D23" s="9" t="str">
        <f t="shared" si="1"/>
        <v>in</v>
      </c>
      <c r="N23" s="11" t="s">
        <v>97</v>
      </c>
      <c r="O23" s="11">
        <f>SQRT(O20/O22)</f>
        <v>0.66438411329591562</v>
      </c>
      <c r="P23" s="11" t="str">
        <f>IF($D$3="English","in","mm")</f>
        <v>in</v>
      </c>
      <c r="Z23" s="11" t="s">
        <v>220</v>
      </c>
      <c r="AA23" s="17">
        <f>SQRT(3*(AA22^2))</f>
        <v>3522.538064536308</v>
      </c>
      <c r="AB23" s="11" t="str">
        <f>IF($D$3="English","psi","Pa")</f>
        <v>psi</v>
      </c>
      <c r="AU23" s="2"/>
      <c r="AY23" s="61">
        <v>30</v>
      </c>
      <c r="AZ23" s="62">
        <v>3.5</v>
      </c>
      <c r="BA23" s="62">
        <v>561</v>
      </c>
      <c r="BB23" s="63">
        <v>519</v>
      </c>
      <c r="BC23" s="55"/>
      <c r="BD23" s="64">
        <v>30</v>
      </c>
      <c r="BE23" s="62">
        <v>2</v>
      </c>
      <c r="BF23" s="62">
        <v>621</v>
      </c>
      <c r="BG23" s="67">
        <v>596</v>
      </c>
      <c r="BI23" s="65">
        <f>9/16</f>
        <v>0.5625</v>
      </c>
      <c r="BJ23" s="64">
        <v>0.5625</v>
      </c>
      <c r="BK23" s="62">
        <v>12</v>
      </c>
      <c r="BL23" s="62">
        <v>0.182</v>
      </c>
      <c r="BM23" s="63">
        <v>0.16200000000000001</v>
      </c>
      <c r="BN23" s="55"/>
      <c r="BO23" s="66">
        <f>9/16</f>
        <v>0.5625</v>
      </c>
      <c r="BP23" s="64">
        <v>0.5625</v>
      </c>
      <c r="BQ23" s="62">
        <v>18</v>
      </c>
      <c r="BR23" s="62">
        <v>0.20300000000000001</v>
      </c>
      <c r="BS23" s="67">
        <v>0.189</v>
      </c>
      <c r="CB23" s="2"/>
      <c r="CI23" s="2"/>
      <c r="CP23" s="2"/>
    </row>
    <row r="24" spans="2:94" ht="15" customHeight="1">
      <c r="B24" s="11"/>
      <c r="C24" s="11">
        <f>IF($D$3="English",C23/12, C23*10^-3)</f>
        <v>6</v>
      </c>
      <c r="D24" s="11" t="str">
        <f>IF($D$3="English","ft", "m")</f>
        <v>ft</v>
      </c>
      <c r="N24" s="11" t="s">
        <v>98</v>
      </c>
      <c r="O24" s="11">
        <f>C23/O23</f>
        <v>108.3710440377904</v>
      </c>
      <c r="P24" s="14" t="s">
        <v>6</v>
      </c>
      <c r="AU24" s="2"/>
      <c r="AY24" s="61">
        <v>36</v>
      </c>
      <c r="AZ24" s="62">
        <v>4</v>
      </c>
      <c r="BA24" s="62">
        <v>817</v>
      </c>
      <c r="BB24" s="63">
        <v>759</v>
      </c>
      <c r="BC24" s="55"/>
      <c r="BD24" s="64">
        <v>36</v>
      </c>
      <c r="BE24" s="62">
        <v>2</v>
      </c>
      <c r="BF24" s="62">
        <v>915</v>
      </c>
      <c r="BG24" s="67">
        <v>884</v>
      </c>
      <c r="BI24" s="65">
        <f>5/8</f>
        <v>0.625</v>
      </c>
      <c r="BJ24" s="64">
        <v>0.625</v>
      </c>
      <c r="BK24" s="62">
        <v>11</v>
      </c>
      <c r="BL24" s="62">
        <v>0.22600000000000001</v>
      </c>
      <c r="BM24" s="63">
        <v>0.20200000000000001</v>
      </c>
      <c r="BN24" s="55"/>
      <c r="BO24" s="66">
        <f>5/8</f>
        <v>0.625</v>
      </c>
      <c r="BP24" s="64">
        <v>0.625</v>
      </c>
      <c r="BQ24" s="62">
        <v>18</v>
      </c>
      <c r="BR24" s="62">
        <v>0.25600000000000001</v>
      </c>
      <c r="BS24" s="67">
        <v>0.24</v>
      </c>
      <c r="CB24" s="2"/>
      <c r="CI24" s="2"/>
      <c r="CP24" s="2"/>
    </row>
    <row r="25" spans="2:94" ht="15" customHeight="1">
      <c r="B25" s="9" t="s">
        <v>79</v>
      </c>
      <c r="C25" s="9">
        <v>10</v>
      </c>
      <c r="D25" s="9" t="str">
        <f>IF($D$3="English","psi","Pa")</f>
        <v>psi</v>
      </c>
      <c r="N25" s="11" t="s">
        <v>104</v>
      </c>
      <c r="O25" s="11">
        <f>SQRT((2*(PI()^2)*O19*$C$45)/$C$42)</f>
        <v>70.248147310407262</v>
      </c>
      <c r="P25" s="14" t="s">
        <v>6</v>
      </c>
      <c r="AP25" s="1"/>
      <c r="AQ25" s="1"/>
      <c r="AU25" s="2"/>
      <c r="AY25" s="61">
        <v>42</v>
      </c>
      <c r="AZ25" s="62">
        <v>4.5</v>
      </c>
      <c r="BA25" s="62">
        <v>1120</v>
      </c>
      <c r="BB25" s="63">
        <v>1050</v>
      </c>
      <c r="BC25" s="55"/>
      <c r="BD25" s="64">
        <v>42</v>
      </c>
      <c r="BE25" s="62">
        <v>2</v>
      </c>
      <c r="BF25" s="62">
        <v>1260</v>
      </c>
      <c r="BG25" s="67">
        <v>1230</v>
      </c>
      <c r="BI25" s="65">
        <f>3/4</f>
        <v>0.75</v>
      </c>
      <c r="BJ25" s="64">
        <v>0.75</v>
      </c>
      <c r="BK25" s="62">
        <v>10</v>
      </c>
      <c r="BL25" s="62">
        <v>0.33400000000000002</v>
      </c>
      <c r="BM25" s="63">
        <v>0.30199999999999999</v>
      </c>
      <c r="BN25" s="55"/>
      <c r="BO25" s="66">
        <f>3/4</f>
        <v>0.75</v>
      </c>
      <c r="BP25" s="64">
        <v>0.75</v>
      </c>
      <c r="BQ25" s="62">
        <v>16</v>
      </c>
      <c r="BR25" s="62">
        <v>0.373</v>
      </c>
      <c r="BS25" s="67">
        <v>0.35099999999999998</v>
      </c>
      <c r="CB25" s="2"/>
      <c r="CI25" s="2"/>
      <c r="CP25" s="2"/>
    </row>
    <row r="26" spans="2:94" ht="15" customHeight="1">
      <c r="B26" s="44"/>
      <c r="C26" s="45" t="s">
        <v>81</v>
      </c>
      <c r="D26" s="44"/>
      <c r="N26" s="11" t="s">
        <v>106</v>
      </c>
      <c r="O26" s="11"/>
      <c r="P26" s="47" t="str">
        <f>IF(O24&gt;O25, "Use Euler               ", "Use Johnson               ")</f>
        <v xml:space="preserve">Use Euler               </v>
      </c>
      <c r="AU26" s="2"/>
      <c r="AY26" s="61">
        <v>48</v>
      </c>
      <c r="AZ26" s="62">
        <v>5</v>
      </c>
      <c r="BA26" s="62">
        <v>1470</v>
      </c>
      <c r="BB26" s="63">
        <v>1380</v>
      </c>
      <c r="BC26" s="55"/>
      <c r="BD26" s="64">
        <v>48</v>
      </c>
      <c r="BE26" s="62">
        <v>2</v>
      </c>
      <c r="BF26" s="62">
        <v>1670</v>
      </c>
      <c r="BG26" s="67">
        <v>1630</v>
      </c>
      <c r="BI26" s="65">
        <f>7/8</f>
        <v>0.875</v>
      </c>
      <c r="BJ26" s="64">
        <v>0.875</v>
      </c>
      <c r="BK26" s="62">
        <v>9</v>
      </c>
      <c r="BL26" s="62">
        <v>0.46200000000000002</v>
      </c>
      <c r="BM26" s="63">
        <v>0.41899999999999998</v>
      </c>
      <c r="BN26" s="55"/>
      <c r="BO26" s="66">
        <f>7/8</f>
        <v>0.875</v>
      </c>
      <c r="BP26" s="64">
        <v>0.875</v>
      </c>
      <c r="BQ26" s="62">
        <v>14</v>
      </c>
      <c r="BR26" s="62">
        <v>0.50900000000000001</v>
      </c>
      <c r="BS26" s="67">
        <v>0.48</v>
      </c>
      <c r="CB26" s="2"/>
      <c r="CI26" s="2"/>
      <c r="CP26" s="2"/>
    </row>
    <row r="27" spans="2:94" ht="15" customHeight="1">
      <c r="N27" s="11" t="s">
        <v>107</v>
      </c>
      <c r="O27" s="48">
        <f>IF(O24&gt;O25, (O19*(PI()^2)*$C$45*O22)/(O24^2), O22*($C$42-((($C$42/(2*PI()))*O24)^2)*(1/(O19*$C$45))))</f>
        <v>6187.7732186385965</v>
      </c>
      <c r="P27" s="11" t="str">
        <f>IF($D$3="English","lbf","N")</f>
        <v>lbf</v>
      </c>
      <c r="AU27" s="2"/>
      <c r="AY27" s="61">
        <v>56</v>
      </c>
      <c r="AZ27" s="62">
        <v>5.5</v>
      </c>
      <c r="BA27" s="62">
        <v>2030</v>
      </c>
      <c r="BB27" s="63">
        <v>1910</v>
      </c>
      <c r="BC27" s="55"/>
      <c r="BD27" s="64">
        <v>56</v>
      </c>
      <c r="BE27" s="62">
        <v>2</v>
      </c>
      <c r="BF27" s="62">
        <v>2300</v>
      </c>
      <c r="BG27" s="67">
        <v>2250</v>
      </c>
      <c r="BI27" s="65">
        <f>1</f>
        <v>1</v>
      </c>
      <c r="BJ27" s="64">
        <v>1</v>
      </c>
      <c r="BK27" s="62">
        <v>8</v>
      </c>
      <c r="BL27" s="62">
        <v>0.60599999999999998</v>
      </c>
      <c r="BM27" s="63">
        <v>0.55100000000000005</v>
      </c>
      <c r="BN27" s="55"/>
      <c r="BO27" s="66">
        <f>1</f>
        <v>1</v>
      </c>
      <c r="BP27" s="64">
        <v>1</v>
      </c>
      <c r="BQ27" s="62">
        <v>12</v>
      </c>
      <c r="BR27" s="62">
        <v>0.66300000000000003</v>
      </c>
      <c r="BS27" s="67">
        <v>0.625</v>
      </c>
      <c r="CB27" s="2"/>
      <c r="CI27" s="2"/>
      <c r="CP27" s="2"/>
    </row>
    <row r="28" spans="2:94" ht="15" customHeight="1">
      <c r="B28" s="7" t="s">
        <v>80</v>
      </c>
      <c r="C28" s="7"/>
      <c r="D28" s="7"/>
      <c r="N28"/>
      <c r="O28"/>
      <c r="P28"/>
      <c r="AN28" s="38"/>
      <c r="AU28" s="2"/>
      <c r="AY28" s="61">
        <v>64</v>
      </c>
      <c r="AZ28" s="62">
        <v>6</v>
      </c>
      <c r="BA28" s="62">
        <v>2680</v>
      </c>
      <c r="BB28" s="63">
        <v>2520</v>
      </c>
      <c r="BC28" s="55"/>
      <c r="BD28" s="64">
        <v>64</v>
      </c>
      <c r="BE28" s="62">
        <v>2</v>
      </c>
      <c r="BF28" s="62">
        <v>3030</v>
      </c>
      <c r="BG28" s="67">
        <v>2980</v>
      </c>
      <c r="BI28" s="65">
        <f>1.25</f>
        <v>1.25</v>
      </c>
      <c r="BJ28" s="64">
        <v>1.25</v>
      </c>
      <c r="BK28" s="62">
        <v>7</v>
      </c>
      <c r="BL28" s="62">
        <v>0.96899999999999997</v>
      </c>
      <c r="BM28" s="63">
        <v>0.89</v>
      </c>
      <c r="BN28" s="55"/>
      <c r="BO28" s="66">
        <f>1.25</f>
        <v>1.25</v>
      </c>
      <c r="BP28" s="64">
        <v>1.25</v>
      </c>
      <c r="BQ28" s="62">
        <v>12</v>
      </c>
      <c r="BR28" s="62">
        <v>1.073</v>
      </c>
      <c r="BS28" s="67">
        <v>1.024</v>
      </c>
      <c r="CB28" s="2"/>
      <c r="CI28" s="2"/>
      <c r="CP28" s="2"/>
    </row>
    <row r="29" spans="2:94" ht="15" customHeight="1" thickBot="1">
      <c r="B29" s="9" t="s">
        <v>217</v>
      </c>
      <c r="C29" s="9">
        <v>0.55000000000000004</v>
      </c>
      <c r="D29" s="9" t="str">
        <f>IF($D$3="English","in", "mm")</f>
        <v>in</v>
      </c>
      <c r="F29" s="8" t="s">
        <v>94</v>
      </c>
      <c r="G29" s="8"/>
      <c r="H29" s="8"/>
      <c r="N29" s="8" t="s">
        <v>118</v>
      </c>
      <c r="O29" s="8"/>
      <c r="P29" s="8"/>
      <c r="AU29" s="2"/>
      <c r="AY29" s="61">
        <v>72</v>
      </c>
      <c r="AZ29" s="62">
        <v>6</v>
      </c>
      <c r="BA29" s="62">
        <v>3460</v>
      </c>
      <c r="BB29" s="63">
        <v>3280</v>
      </c>
      <c r="BC29" s="55"/>
      <c r="BD29" s="64">
        <v>72</v>
      </c>
      <c r="BE29" s="62">
        <v>2</v>
      </c>
      <c r="BF29" s="62">
        <v>3860</v>
      </c>
      <c r="BG29" s="67">
        <v>3800</v>
      </c>
      <c r="BI29" s="68">
        <f>1.5</f>
        <v>1.5</v>
      </c>
      <c r="BJ29" s="69">
        <v>1.5</v>
      </c>
      <c r="BK29" s="70">
        <v>6</v>
      </c>
      <c r="BL29" s="70">
        <v>1.405</v>
      </c>
      <c r="BM29" s="71">
        <v>1.294</v>
      </c>
      <c r="BN29" s="72"/>
      <c r="BO29" s="73">
        <f>1.5</f>
        <v>1.5</v>
      </c>
      <c r="BP29" s="69">
        <v>1.5</v>
      </c>
      <c r="BQ29" s="70">
        <v>12</v>
      </c>
      <c r="BR29" s="70">
        <v>1.581</v>
      </c>
      <c r="BS29" s="74">
        <v>1.5209999999999999</v>
      </c>
      <c r="CB29" s="2"/>
      <c r="CI29" s="2"/>
      <c r="CP29" s="2"/>
    </row>
    <row r="30" spans="2:94" ht="15" customHeight="1">
      <c r="B30" s="9" t="s">
        <v>108</v>
      </c>
      <c r="C30" s="9">
        <v>12.67</v>
      </c>
      <c r="D30" s="9" t="str">
        <f>IF($D$3="English","in^3", "mm^3")</f>
        <v>in^3</v>
      </c>
      <c r="F30" s="41" t="s">
        <v>73</v>
      </c>
      <c r="G30" s="42" t="s">
        <v>72</v>
      </c>
      <c r="H30" s="43" t="b">
        <f>C17&lt;0.1*C22</f>
        <v>0</v>
      </c>
      <c r="N30" s="11" t="s">
        <v>111</v>
      </c>
      <c r="O30" s="11">
        <f>$C$30*$C$40</f>
        <v>1.2670000000000001</v>
      </c>
      <c r="P30" s="11" t="str">
        <f>IF($D$3="English","lbm","kg")</f>
        <v>lbm</v>
      </c>
      <c r="AU30" s="2"/>
      <c r="AY30" s="61">
        <v>80</v>
      </c>
      <c r="AZ30" s="62">
        <v>6</v>
      </c>
      <c r="BA30" s="62">
        <v>4340</v>
      </c>
      <c r="BB30" s="63">
        <v>4140</v>
      </c>
      <c r="BC30" s="55"/>
      <c r="BD30" s="64">
        <v>80</v>
      </c>
      <c r="BE30" s="62">
        <v>1.5</v>
      </c>
      <c r="BF30" s="62">
        <v>4850</v>
      </c>
      <c r="BG30" s="67">
        <v>4800</v>
      </c>
      <c r="CB30" s="2"/>
      <c r="CI30" s="2"/>
      <c r="CP30" s="2"/>
    </row>
    <row r="31" spans="2:94" ht="15" customHeight="1">
      <c r="B31" s="9" t="s">
        <v>219</v>
      </c>
      <c r="C31" s="9">
        <v>3.8980000000000001</v>
      </c>
      <c r="D31" s="9" t="str">
        <f>IF($D$3="English","in", "mm")</f>
        <v>in</v>
      </c>
      <c r="F31" s="41" t="s">
        <v>74</v>
      </c>
      <c r="G31" s="42"/>
      <c r="H31" s="41"/>
      <c r="N31" s="11" t="s">
        <v>113</v>
      </c>
      <c r="O31" s="11">
        <f>IF($D$3="English",32.174,9.81)</f>
        <v>32.173999999999999</v>
      </c>
      <c r="P31" s="11" t="str">
        <f>IF($D$3="English","ft/s^2","m/s^2")</f>
        <v>ft/s^2</v>
      </c>
      <c r="AU31" s="2"/>
      <c r="AY31" s="61">
        <v>90</v>
      </c>
      <c r="AZ31" s="62">
        <v>6</v>
      </c>
      <c r="BA31" s="62">
        <v>5590</v>
      </c>
      <c r="BB31" s="63">
        <v>5360</v>
      </c>
      <c r="BC31" s="55"/>
      <c r="BD31" s="64">
        <v>90</v>
      </c>
      <c r="BE31" s="62">
        <v>2</v>
      </c>
      <c r="BF31" s="62">
        <v>6100</v>
      </c>
      <c r="BG31" s="67">
        <v>6020</v>
      </c>
      <c r="CB31" s="2"/>
      <c r="CI31" s="2"/>
      <c r="CP31" s="2"/>
    </row>
    <row r="32" spans="2:94" ht="15" customHeight="1">
      <c r="B32" s="11" t="s">
        <v>215</v>
      </c>
      <c r="C32" s="11">
        <f>C9</f>
        <v>3.75</v>
      </c>
      <c r="D32" s="11" t="str">
        <f t="shared" ref="D32" si="2">IF($D$3="English","in", "mm")</f>
        <v>in</v>
      </c>
      <c r="F32" s="11" t="s">
        <v>75</v>
      </c>
      <c r="G32" s="11">
        <f>C25*C22/C17</f>
        <v>75</v>
      </c>
      <c r="H32" s="11" t="str">
        <f>IF($D$3="English","psi","Pa")</f>
        <v>psi</v>
      </c>
      <c r="N32" s="11" t="s">
        <v>112</v>
      </c>
      <c r="O32" s="11">
        <f>IF($D$3="English", O30,O30*O31)</f>
        <v>1.2670000000000001</v>
      </c>
      <c r="P32" s="11" t="str">
        <f>IF($D$3="English","lbf","N")</f>
        <v>lbf</v>
      </c>
      <c r="Q32"/>
      <c r="U32"/>
      <c r="Y32"/>
      <c r="AC32"/>
      <c r="AG32"/>
      <c r="AK32"/>
      <c r="AY32" s="61">
        <v>100</v>
      </c>
      <c r="AZ32" s="62">
        <v>6</v>
      </c>
      <c r="BA32" s="62">
        <v>6990</v>
      </c>
      <c r="BB32" s="63">
        <v>6740</v>
      </c>
      <c r="BC32" s="55"/>
      <c r="BD32" s="64">
        <v>100</v>
      </c>
      <c r="BE32" s="62">
        <v>2</v>
      </c>
      <c r="BF32" s="62">
        <v>7560</v>
      </c>
      <c r="BG32" s="67">
        <v>7470</v>
      </c>
      <c r="CB32" s="2"/>
      <c r="CI32" s="2"/>
      <c r="CP32" s="2"/>
    </row>
    <row r="33" spans="1:94" ht="15" customHeight="1" thickBot="1">
      <c r="B33" s="11" t="s">
        <v>216</v>
      </c>
      <c r="C33" s="11">
        <f>C31-2*C34</f>
        <v>2.9980000000000002</v>
      </c>
      <c r="D33" s="11" t="str">
        <f>IF($D$3="English","in", "mm")</f>
        <v>in</v>
      </c>
      <c r="F33" s="11" t="s">
        <v>77</v>
      </c>
      <c r="G33" s="11">
        <f>-C25</f>
        <v>-10</v>
      </c>
      <c r="H33" s="11" t="str">
        <f>IF($D$3="English","psi","Pa")</f>
        <v>psi</v>
      </c>
      <c r="N33" s="9" t="s">
        <v>114</v>
      </c>
      <c r="O33" s="9">
        <v>15</v>
      </c>
      <c r="P33" s="9" t="str">
        <f>IF($D$3="English","lbf","N")</f>
        <v>lbf</v>
      </c>
      <c r="Q33"/>
      <c r="U33"/>
      <c r="Y33"/>
      <c r="AC33"/>
      <c r="AG33"/>
      <c r="AK33"/>
      <c r="AY33" s="75">
        <v>110</v>
      </c>
      <c r="AZ33" s="70">
        <v>6</v>
      </c>
      <c r="BA33" s="70" t="e">
        <f>NA()</f>
        <v>#N/A</v>
      </c>
      <c r="BB33" s="71" t="e">
        <f>NA()</f>
        <v>#N/A</v>
      </c>
      <c r="BC33" s="72"/>
      <c r="BD33" s="69">
        <v>110</v>
      </c>
      <c r="BE33" s="70">
        <v>2</v>
      </c>
      <c r="BF33" s="70">
        <v>9180</v>
      </c>
      <c r="BG33" s="74">
        <v>9080</v>
      </c>
      <c r="CB33" s="2"/>
      <c r="CI33" s="2"/>
      <c r="CP33" s="2"/>
    </row>
    <row r="34" spans="1:94" ht="15" customHeight="1">
      <c r="B34" s="9" t="s">
        <v>218</v>
      </c>
      <c r="C34" s="9">
        <v>0.45</v>
      </c>
      <c r="D34" s="9" t="str">
        <f>IF($D$3="English","in", "mm")</f>
        <v>in</v>
      </c>
      <c r="F34" s="11" t="s">
        <v>76</v>
      </c>
      <c r="G34" s="11">
        <f>C25*C20/(4*C17)</f>
        <v>35</v>
      </c>
      <c r="H34" s="11" t="str">
        <f>IF($D$3="English","psi","Pa")</f>
        <v>psi</v>
      </c>
      <c r="J34"/>
      <c r="K34"/>
      <c r="L34"/>
      <c r="N34" s="9" t="s">
        <v>116</v>
      </c>
      <c r="O34" s="9">
        <v>130</v>
      </c>
      <c r="P34" s="9" t="str">
        <f>IF($D$3="English","lbf","N")</f>
        <v>lbf</v>
      </c>
      <c r="Q34"/>
      <c r="U34"/>
      <c r="Y34"/>
      <c r="AC34"/>
      <c r="AG34"/>
      <c r="AK34"/>
      <c r="CB34" s="2"/>
      <c r="CI34" s="2"/>
      <c r="CP34" s="2"/>
    </row>
    <row r="35" spans="1:94" ht="15" customHeight="1">
      <c r="J35"/>
      <c r="K35"/>
      <c r="L35"/>
      <c r="N35" s="11" t="s">
        <v>115</v>
      </c>
      <c r="O35" s="11">
        <f>SUM(O32:O34)</f>
        <v>146.267</v>
      </c>
      <c r="P35" s="11" t="str">
        <f>IF($D$3="English","lbf","N")</f>
        <v>lbf</v>
      </c>
      <c r="Q35"/>
      <c r="U35"/>
      <c r="Y35"/>
      <c r="AC35"/>
      <c r="AG35"/>
      <c r="AK35"/>
      <c r="CB35" s="2"/>
      <c r="CI35" s="2"/>
      <c r="CP35" s="2"/>
    </row>
    <row r="36" spans="1:94" ht="15" customHeight="1">
      <c r="B36" s="7" t="s">
        <v>82</v>
      </c>
      <c r="C36" s="7"/>
      <c r="D36" s="7"/>
      <c r="J36"/>
      <c r="K36"/>
      <c r="L36"/>
      <c r="Q36"/>
      <c r="U36"/>
      <c r="Y36"/>
      <c r="AC36"/>
      <c r="AG36"/>
      <c r="AK36"/>
      <c r="CB36" s="2"/>
      <c r="CI36" s="2"/>
      <c r="CP36" s="2"/>
    </row>
    <row r="37" spans="1:94" ht="15" customHeight="1">
      <c r="B37" s="9" t="s">
        <v>83</v>
      </c>
      <c r="C37" s="9">
        <v>2.4969999999999999</v>
      </c>
      <c r="D37" s="9" t="str">
        <f>IF($D$3="English","in", "mm")</f>
        <v>in</v>
      </c>
      <c r="J37"/>
      <c r="K37"/>
      <c r="L37"/>
      <c r="N37" s="1" t="s">
        <v>119</v>
      </c>
      <c r="Q37"/>
      <c r="U37"/>
      <c r="Y37"/>
      <c r="AC37"/>
      <c r="AG37"/>
      <c r="AK37"/>
      <c r="CB37" s="2"/>
      <c r="CI37" s="2"/>
      <c r="CP37" s="2"/>
    </row>
    <row r="38" spans="1:94" ht="15" customHeight="1">
      <c r="B38"/>
      <c r="C38"/>
      <c r="D38"/>
      <c r="J38"/>
      <c r="K38"/>
      <c r="L38"/>
      <c r="Q38"/>
      <c r="U38"/>
      <c r="Y38"/>
      <c r="AC38"/>
      <c r="AG38"/>
      <c r="AK38"/>
      <c r="CB38" s="2"/>
      <c r="CI38" s="2"/>
      <c r="CP38" s="2"/>
    </row>
    <row r="39" spans="1:94" ht="15" customHeight="1">
      <c r="B39" s="111" t="s">
        <v>158</v>
      </c>
      <c r="C39" s="111"/>
      <c r="D39" s="111"/>
      <c r="J39"/>
      <c r="K39"/>
      <c r="L39"/>
      <c r="Q39"/>
      <c r="U39"/>
      <c r="Y39"/>
      <c r="AC39"/>
      <c r="AG39"/>
      <c r="AK39"/>
      <c r="CB39" s="2"/>
      <c r="CI39" s="2"/>
      <c r="CP39" s="2"/>
    </row>
    <row r="40" spans="1:94" ht="15" customHeight="1">
      <c r="B40" s="11" t="s">
        <v>102</v>
      </c>
      <c r="C40" s="11">
        <f t="shared" ref="C40:D44" si="3">IF($D$3="English",AP10, AN10)</f>
        <v>0.1</v>
      </c>
      <c r="D40" s="11" t="str">
        <f t="shared" si="3"/>
        <v>lb/in^3</v>
      </c>
      <c r="J40"/>
      <c r="K40"/>
      <c r="L40"/>
      <c r="Q40"/>
      <c r="U40"/>
      <c r="Y40"/>
      <c r="AC40"/>
      <c r="AG40"/>
      <c r="AK40"/>
      <c r="CB40" s="2"/>
      <c r="CI40" s="2"/>
      <c r="CP40" s="2"/>
    </row>
    <row r="41" spans="1:94" ht="15" customHeight="1">
      <c r="B41" s="11" t="s">
        <v>99</v>
      </c>
      <c r="C41" s="40">
        <f t="shared" si="3"/>
        <v>45000</v>
      </c>
      <c r="D41" s="11" t="str">
        <f t="shared" si="3"/>
        <v>psi</v>
      </c>
      <c r="J41"/>
      <c r="K41"/>
      <c r="L41"/>
      <c r="Q41"/>
      <c r="U41"/>
      <c r="Y41"/>
      <c r="AC41"/>
      <c r="AG41"/>
      <c r="AK41"/>
      <c r="CB41" s="2"/>
      <c r="CI41" s="2"/>
      <c r="CP41" s="2"/>
    </row>
    <row r="42" spans="1:94" ht="15" customHeight="1">
      <c r="B42" s="11" t="s">
        <v>100</v>
      </c>
      <c r="C42" s="40">
        <f t="shared" si="3"/>
        <v>40000</v>
      </c>
      <c r="D42" s="11" t="str">
        <f t="shared" si="3"/>
        <v>psi</v>
      </c>
      <c r="J42"/>
      <c r="K42"/>
      <c r="L42"/>
      <c r="N42" s="1" t="s">
        <v>120</v>
      </c>
      <c r="Q42"/>
      <c r="U42"/>
      <c r="Y42"/>
      <c r="AC42"/>
      <c r="AG42"/>
      <c r="AK42"/>
      <c r="CB42" s="2"/>
      <c r="CI42" s="2"/>
      <c r="CP42" s="2"/>
    </row>
    <row r="43" spans="1:94" ht="15" customHeight="1">
      <c r="B43" s="11" t="s">
        <v>101</v>
      </c>
      <c r="C43" s="40">
        <f t="shared" si="3"/>
        <v>14000</v>
      </c>
      <c r="D43" s="11" t="str">
        <f t="shared" si="3"/>
        <v>psi</v>
      </c>
      <c r="J43"/>
      <c r="K43"/>
      <c r="L43"/>
      <c r="Q43"/>
      <c r="U43"/>
      <c r="Y43"/>
      <c r="AC43"/>
      <c r="AG43"/>
      <c r="AK43"/>
      <c r="CB43" s="2"/>
      <c r="CI43" s="2"/>
      <c r="CP43" s="2"/>
    </row>
    <row r="44" spans="1:94" ht="15" customHeight="1">
      <c r="B44" s="11" t="s">
        <v>103</v>
      </c>
      <c r="C44" s="40">
        <f t="shared" si="3"/>
        <v>30000</v>
      </c>
      <c r="D44" s="11" t="str">
        <f t="shared" si="3"/>
        <v>psi</v>
      </c>
      <c r="J44"/>
      <c r="K44"/>
      <c r="L44"/>
      <c r="Q44"/>
      <c r="U44"/>
      <c r="Y44"/>
      <c r="AC44"/>
      <c r="AG44"/>
      <c r="AK44"/>
      <c r="CB44" s="2"/>
      <c r="CI44" s="2"/>
      <c r="CP44" s="2"/>
    </row>
    <row r="45" spans="1:94" ht="15" customHeight="1">
      <c r="B45" s="11" t="s">
        <v>50</v>
      </c>
      <c r="C45" s="40">
        <f t="shared" ref="C45:D47" si="4">IF($D$3="English",AV10, AT10)</f>
        <v>10000000</v>
      </c>
      <c r="D45" s="40" t="str">
        <f t="shared" si="4"/>
        <v>psi</v>
      </c>
      <c r="J45"/>
      <c r="K45"/>
      <c r="L45"/>
      <c r="Q45"/>
      <c r="U45"/>
      <c r="Y45"/>
      <c r="AC45"/>
      <c r="AG45"/>
      <c r="AK45"/>
      <c r="CB45" s="2"/>
      <c r="CI45" s="2"/>
      <c r="CP45" s="2"/>
    </row>
    <row r="46" spans="1:94" ht="15" customHeight="1">
      <c r="B46" s="11" t="s">
        <v>209</v>
      </c>
      <c r="C46" s="40">
        <f t="shared" si="4"/>
        <v>88000</v>
      </c>
      <c r="D46" s="40" t="str">
        <f t="shared" si="4"/>
        <v>psi</v>
      </c>
      <c r="J46"/>
      <c r="K46"/>
      <c r="L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CB46" s="2"/>
      <c r="CI46" s="2"/>
      <c r="CP46" s="2"/>
    </row>
    <row r="47" spans="1:94" ht="15" customHeight="1">
      <c r="A47" s="38" t="s">
        <v>151</v>
      </c>
      <c r="B47" s="11" t="s">
        <v>210</v>
      </c>
      <c r="C47" s="40">
        <f t="shared" si="4"/>
        <v>56000</v>
      </c>
      <c r="D47" s="40" t="str">
        <f t="shared" si="4"/>
        <v>psi</v>
      </c>
      <c r="J47"/>
      <c r="K47"/>
      <c r="L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CB47" s="2"/>
      <c r="CI47" s="2"/>
      <c r="CP47" s="2"/>
    </row>
    <row r="48" spans="1:94" ht="15" customHeight="1">
      <c r="J48"/>
      <c r="K48"/>
      <c r="L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N48" s="2"/>
      <c r="CB48" s="2"/>
      <c r="CI48" s="2"/>
      <c r="CP48" s="2"/>
    </row>
    <row r="49" spans="2:94" ht="15" customHeight="1">
      <c r="B49" s="7" t="s">
        <v>146</v>
      </c>
      <c r="C49" s="78" t="str">
        <f xml:space="preserve"> _xlfn.CONCAT(IF($D$3="English",_xlfn.CONCAT(TEXT(C50, "# ?/?"),"""-",C55,"-", C54, " ",C53),_xlfn.CONCAT("M",C50,"-", C55,"-", C54," ",C53)))</f>
        <v xml:space="preserve"> 1/4"-20-0.625 UNC</v>
      </c>
      <c r="D49" s="7"/>
      <c r="J49"/>
      <c r="K49"/>
      <c r="L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N49" s="2"/>
      <c r="CB49" s="2"/>
      <c r="CI49" s="2"/>
      <c r="CP49" s="2"/>
    </row>
    <row r="50" spans="2:94" ht="15" customHeight="1">
      <c r="B50" s="9" t="s">
        <v>130</v>
      </c>
      <c r="C50" s="9">
        <f>1/4</f>
        <v>0.25</v>
      </c>
      <c r="D50" s="9" t="str">
        <f t="shared" ref="D50:D52" si="5">IF($D$3="English","in", "mm")</f>
        <v>in</v>
      </c>
      <c r="J50"/>
      <c r="K50"/>
      <c r="L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N50" s="2"/>
      <c r="CB50" s="2"/>
      <c r="CI50" s="2"/>
      <c r="CP50" s="2"/>
    </row>
    <row r="51" spans="2:94" ht="15" customHeight="1">
      <c r="B51" s="9" t="s">
        <v>221</v>
      </c>
      <c r="C51" s="92">
        <v>0.25700000000000001</v>
      </c>
      <c r="D51" s="9" t="str">
        <f t="shared" si="5"/>
        <v>in</v>
      </c>
      <c r="J51"/>
      <c r="K51"/>
      <c r="L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N51" s="2"/>
      <c r="CB51" s="2"/>
      <c r="CI51" s="2"/>
      <c r="CP51" s="2"/>
    </row>
    <row r="52" spans="2:94" ht="15" customHeight="1">
      <c r="B52" s="9" t="s">
        <v>150</v>
      </c>
      <c r="C52" s="9">
        <v>0.18870000000000001</v>
      </c>
      <c r="D52" s="9" t="str">
        <f t="shared" si="5"/>
        <v>in</v>
      </c>
      <c r="J52"/>
      <c r="K52"/>
      <c r="L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N52" s="2"/>
      <c r="AU52" s="2"/>
      <c r="CB52" s="2"/>
      <c r="CI52" s="2"/>
      <c r="CP52" s="2"/>
    </row>
    <row r="53" spans="2:94" ht="15" customHeight="1">
      <c r="B53" s="9" t="s">
        <v>131</v>
      </c>
      <c r="C53" s="50" t="s">
        <v>132</v>
      </c>
      <c r="D53" s="9"/>
      <c r="AN53" s="2"/>
      <c r="AU53" s="2"/>
      <c r="CB53" s="2"/>
      <c r="CI53" s="2"/>
      <c r="CP53" s="2"/>
    </row>
    <row r="54" spans="2:94" ht="15" customHeight="1">
      <c r="B54" s="9" t="s">
        <v>133</v>
      </c>
      <c r="C54" s="9">
        <f>5/8</f>
        <v>0.625</v>
      </c>
      <c r="D54" s="9" t="str">
        <f t="shared" ref="D54" si="6">IF($D$3="English","in", "mm")</f>
        <v>in</v>
      </c>
      <c r="AN54" s="2"/>
      <c r="AU54" s="2"/>
      <c r="CB54" s="2"/>
      <c r="CI54" s="2"/>
      <c r="CP54" s="2"/>
    </row>
    <row r="55" spans="2:94" ht="15" customHeight="1">
      <c r="B55" s="11" t="str">
        <f>IF($D$3="English","Bolt threads per inch, p","Bolt pitch, p")</f>
        <v>Bolt threads per inch, p</v>
      </c>
      <c r="C55" s="11">
        <f>IF($D$3="English",IF($C$53="UNC",VLOOKUP($C$50,$BJ$8:$BM$29,2,FALSE),VLOOKUP($C$50,$BP$8:$BS$29,2,FALSE)), IF($C$53="UNC",VLOOKUP($C$50,$AY$8:$BB$33,2,FALSE),VLOOKUP($C$50,$BD$8:$BG$33,2,FALSE)))</f>
        <v>20</v>
      </c>
      <c r="D55" s="11" t="str">
        <f>IF($D$3="English","threads/in","mm")</f>
        <v>threads/in</v>
      </c>
      <c r="AN55" s="2"/>
      <c r="AU55" s="2"/>
      <c r="CB55" s="2"/>
      <c r="CI55" s="2"/>
      <c r="CP55" s="2"/>
    </row>
    <row r="56" spans="2:94" ht="15" customHeight="1">
      <c r="B56" s="11" t="s">
        <v>148</v>
      </c>
      <c r="C56" s="77">
        <f>(PI()*(C50^2))/4</f>
        <v>4.9087385212340517E-2</v>
      </c>
      <c r="D56" s="11" t="str">
        <f>IF($D$3="English","in^2","mm^2")</f>
        <v>in^2</v>
      </c>
      <c r="AN56" s="2"/>
      <c r="AU56" s="2"/>
      <c r="CB56" s="2"/>
      <c r="CI56" s="2"/>
      <c r="CP56" s="2"/>
    </row>
    <row r="57" spans="2:94" ht="15" customHeight="1">
      <c r="B57" s="11" t="s">
        <v>149</v>
      </c>
      <c r="C57" s="11">
        <f>IF($D$3="English",IF($C$53="UNC",VLOOKUP($C$50,$BJ$8:$BM$29,3,FALSE),VLOOKUP($C$50,$BP$8:$BS$29,3,FALSE)), IF($C$53="UNC",VLOOKUP($C$50,$AY$8:$BB$33,3,FALSE),VLOOKUP($C$50,$BD$8:$BG$33,3,FALSE)))</f>
        <v>3.1800000000000002E-2</v>
      </c>
      <c r="D57" s="11" t="str">
        <f>IF($D$3="English","in^2","mm^2")</f>
        <v>in^2</v>
      </c>
      <c r="AN57" s="2"/>
      <c r="AU57" s="2"/>
      <c r="CB57" s="2"/>
      <c r="CI57" s="2"/>
      <c r="CP57" s="2"/>
    </row>
    <row r="58" spans="2:94" ht="15" customHeight="1">
      <c r="B58" s="11"/>
      <c r="C58" s="76">
        <f>IF($D$3="English",C57,C57*10^-6)</f>
        <v>3.1800000000000002E-2</v>
      </c>
      <c r="D58" s="11" t="str">
        <f>IF($D$3="English","in^2","m^2")</f>
        <v>in^2</v>
      </c>
      <c r="AN58" s="2"/>
      <c r="AU58" s="2"/>
      <c r="CB58" s="2"/>
      <c r="CI58" s="2"/>
      <c r="CP58" s="2"/>
    </row>
    <row r="59" spans="2:94" ht="15" customHeight="1">
      <c r="B59" s="11" t="s">
        <v>152</v>
      </c>
      <c r="C59" s="11">
        <f>(PI()*(C52^2))/4</f>
        <v>2.7966214328825689E-2</v>
      </c>
      <c r="D59" s="11" t="str">
        <f>IF($D$3="English","in^2","mm^2")</f>
        <v>in^2</v>
      </c>
      <c r="AN59" s="2"/>
      <c r="AU59" s="2"/>
      <c r="CB59" s="2"/>
      <c r="CI59" s="2"/>
      <c r="CP59" s="2"/>
    </row>
    <row r="60" spans="2:94" ht="15" customHeight="1">
      <c r="B60" s="9" t="s">
        <v>147</v>
      </c>
      <c r="C60" s="9">
        <v>18</v>
      </c>
      <c r="D60" s="10" t="s">
        <v>6</v>
      </c>
      <c r="AN60" s="2"/>
      <c r="AU60" s="2"/>
      <c r="CB60" s="2"/>
      <c r="CI60" s="2"/>
      <c r="CP60" s="2"/>
    </row>
    <row r="61" spans="2:94" ht="15" customHeight="1">
      <c r="B61" s="11" t="s">
        <v>153</v>
      </c>
      <c r="C61" s="11">
        <f>C60*0.9</f>
        <v>16.2</v>
      </c>
      <c r="D61" s="14" t="s">
        <v>6</v>
      </c>
      <c r="AN61" s="2"/>
      <c r="AU61" s="2"/>
      <c r="CB61" s="2"/>
      <c r="CI61" s="2"/>
      <c r="CP61" s="2"/>
    </row>
    <row r="62" spans="2:94" ht="15" customHeight="1">
      <c r="AN62" s="2"/>
      <c r="AU62" s="2"/>
      <c r="CB62" s="2"/>
      <c r="CI62" s="2"/>
      <c r="CP62" s="2"/>
    </row>
    <row r="63" spans="2:94" ht="15" customHeight="1">
      <c r="B63" s="7" t="s">
        <v>154</v>
      </c>
      <c r="C63" s="7"/>
      <c r="D63" s="7"/>
      <c r="AN63" s="2"/>
      <c r="AU63" s="2"/>
      <c r="CB63" s="2"/>
      <c r="CI63" s="2"/>
      <c r="CP63" s="2"/>
    </row>
    <row r="64" spans="2:94" ht="15" customHeight="1">
      <c r="B64" s="9" t="s">
        <v>99</v>
      </c>
      <c r="C64" s="79">
        <f>120000</f>
        <v>120000</v>
      </c>
      <c r="D64" s="9" t="str">
        <f t="shared" ref="D64:D65" si="7">IF($D$3="English","psi","Pa")</f>
        <v>psi</v>
      </c>
      <c r="AN64" s="2"/>
      <c r="AU64" s="2"/>
      <c r="CB64" s="2"/>
      <c r="CI64" s="2"/>
      <c r="CP64" s="2"/>
    </row>
    <row r="65" spans="2:37" ht="15" customHeight="1">
      <c r="B65" s="11" t="s">
        <v>155</v>
      </c>
      <c r="C65" s="40">
        <f>C64*SQRT(1/3)</f>
        <v>69282.032302755091</v>
      </c>
      <c r="D65" s="11" t="str">
        <f t="shared" si="7"/>
        <v>psi</v>
      </c>
    </row>
    <row r="75" spans="2:37" ht="15" customHeight="1">
      <c r="P75"/>
      <c r="Q75"/>
      <c r="T75"/>
      <c r="U75"/>
      <c r="X75"/>
      <c r="Y75"/>
      <c r="AB75"/>
      <c r="AC75"/>
      <c r="AF75"/>
      <c r="AG75"/>
      <c r="AJ75"/>
      <c r="AK75"/>
    </row>
    <row r="83" spans="6:40" ht="15" customHeight="1">
      <c r="I83" s="1"/>
      <c r="M83" s="1"/>
      <c r="AL83" s="1"/>
      <c r="AM83" s="1"/>
      <c r="AN83" s="1"/>
    </row>
    <row r="84" spans="6:40" ht="15" customHeight="1">
      <c r="I84" s="1"/>
      <c r="M84" s="1"/>
      <c r="AL84" s="1"/>
      <c r="AM84" s="1"/>
      <c r="AN84" s="1"/>
    </row>
    <row r="85" spans="6:40" ht="15" customHeight="1">
      <c r="I85" s="1"/>
      <c r="M85" s="1"/>
      <c r="AL85" s="1"/>
      <c r="AM85" s="1"/>
      <c r="AN85" s="1"/>
    </row>
    <row r="93" spans="6:40" ht="15" customHeight="1">
      <c r="F93" s="8"/>
      <c r="G93" s="8"/>
      <c r="H93" s="8"/>
      <c r="J93" s="8"/>
      <c r="K93" s="8"/>
      <c r="L93" s="8"/>
    </row>
    <row r="94" spans="6:40" ht="15" customHeight="1">
      <c r="F94" s="11" t="s">
        <v>4</v>
      </c>
      <c r="G94" s="12" t="e">
        <f>#REF!/C16</f>
        <v>#REF!</v>
      </c>
      <c r="H94" s="11" t="str">
        <f>IF($D$3="English","psi","Pa")</f>
        <v>psi</v>
      </c>
      <c r="J94" s="11" t="s">
        <v>4</v>
      </c>
      <c r="K94" s="12" t="e">
        <f>#REF!/#REF!</f>
        <v>#REF!</v>
      </c>
      <c r="L94" s="11" t="str">
        <f>IF($D$3="English","psi","Pa")</f>
        <v>psi</v>
      </c>
    </row>
    <row r="95" spans="6:40" ht="15" customHeight="1">
      <c r="F95" s="11"/>
      <c r="G95" s="13" t="e">
        <f>IF($D$3="English",G94*10^-3,G94*10^-6)</f>
        <v>#REF!</v>
      </c>
      <c r="H95" s="11" t="str">
        <f>IF($D$3="English","kpsi","MPa")</f>
        <v>kpsi</v>
      </c>
      <c r="J95" s="11"/>
      <c r="K95" s="13" t="e">
        <f>IF($D$3="English",K94*10^-3,K94*10^-6)</f>
        <v>#REF!</v>
      </c>
      <c r="L95" s="11" t="str">
        <f>IF($D$3="English","kpsi","MPa")</f>
        <v>kpsi</v>
      </c>
    </row>
    <row r="96" spans="6:40" ht="15" customHeight="1">
      <c r="F96" s="11" t="s">
        <v>5</v>
      </c>
      <c r="G96" s="11" t="e">
        <f>IF(C12&lt;=MIN(#REF!), INDEX(#REF!, MATCH(MIN(#REF!),#REF!, 0)),
   IF(C12&gt;=MAX(#REF!), INDEX(#REF!, MATCH(MAX(#REF!),#REF!, 0)),
      INDEX(#REF!, MATCH(LARGE(#REF!, COUNTIF(#REF!, "&gt;"&amp;C12)),#REF!, 0)) +
      (C12 - LARGE(#REF!, COUNTIF(#REF!, "&gt;"&amp;C12))) *
      (INDEX(#REF!, MATCH(SMALL(#REF!, COUNTIF(#REF!, "&lt;="&amp;C12)),#REF!, 0)) -
       INDEX(#REF!, MATCH(LARGE(#REF!, COUNTIF(#REF!, "&gt;"&amp;C12)),#REF!, 0))) /
      (SMALL(#REF!, COUNTIF(#REF!, "&lt;="&amp;C12)) - LARGE(#REF!, COUNTIF(#REF!, "&gt;"&amp;C12)))
   )
)</f>
        <v>#REF!</v>
      </c>
      <c r="H96" s="14" t="s">
        <v>6</v>
      </c>
      <c r="J96" s="11" t="s">
        <v>5</v>
      </c>
      <c r="K96" s="11" t="e">
        <f>IF(G36&lt;=MIN(BC7:BC32), INDEX(BD7:BD32, MATCH(MIN(BC7:BC32), BC7:BC32, 0)),
   IF(G36&gt;=MAX(BC7:BC32), INDEX(BD7:BD32, MATCH(MAX(BC7:BC32), BC7:BC32, 0)),
      INDEX(BD7:BD32, MATCH(LARGE(BC7:BC32, COUNTIF(BC7:BC32, "&gt;"&amp;G36)), BC7:BC32, 0)) +
      (G36 - LARGE(BC7:BC32, COUNTIF(BC7:BC32, "&gt;"&amp;G36))) *
      (INDEX(BD7:BD32, MATCH(SMALL(BC7:BC32, COUNTIF(BC7:BC32, "&lt;="&amp;G36)), BC7:BC32, 0)) -
       INDEX(BD7:BD32, MATCH(LARGE(BC7:BC32, COUNTIF(BC7:BC32, "&gt;"&amp;G36)), BC7:BC32, 0))) /
      (SMALL(BC7:BC32, COUNTIF(BC7:BC32, "&lt;="&amp;G36)) - LARGE(BC7:BC32, COUNTIF(BC7:BC32, "&gt;"&amp;G36)))
   )
)</f>
        <v>#N/A</v>
      </c>
      <c r="L96" s="14" t="s">
        <v>6</v>
      </c>
    </row>
    <row r="97" spans="6:12" ht="15" customHeight="1">
      <c r="F97" s="11" t="s">
        <v>7</v>
      </c>
      <c r="G97" s="11" t="e">
        <f>IF($D$3="English",(#REF!^-1)*C12,#REF!* C12)</f>
        <v>#REF!</v>
      </c>
      <c r="H97" s="11" t="str">
        <f>IF($D$3="English","in", "mm")</f>
        <v>in</v>
      </c>
      <c r="J97" s="11" t="s">
        <v>7</v>
      </c>
      <c r="K97" s="11" t="e">
        <f>IF($D$3="English",(#REF!^-1)*G36,#REF!* G36)</f>
        <v>#REF!</v>
      </c>
      <c r="L97" s="11" t="str">
        <f>IF($D$3="English","in", "mm")</f>
        <v>in</v>
      </c>
    </row>
    <row r="98" spans="6:12" ht="15" customHeight="1">
      <c r="F98" s="11" t="s">
        <v>8</v>
      </c>
      <c r="G98" s="15" t="e">
        <f>C18*G97/2</f>
        <v>#REF!</v>
      </c>
      <c r="H98" s="11" t="str">
        <f>IF($D$3="English","in/s", "mm/s")</f>
        <v>in/s</v>
      </c>
      <c r="J98" s="11" t="s">
        <v>8</v>
      </c>
      <c r="K98" s="15" t="e">
        <f>#REF!*K97/2</f>
        <v>#REF!</v>
      </c>
      <c r="L98" s="11" t="str">
        <f>IF($D$3="English","in/s", "mm/s")</f>
        <v>in/s</v>
      </c>
    </row>
    <row r="99" spans="6:12" ht="15" customHeight="1">
      <c r="F99" s="11"/>
      <c r="G99" s="15" t="e">
        <f>IF($D$3="English",G98*(1/12)*60, G98*10^-3)</f>
        <v>#REF!</v>
      </c>
      <c r="H99" s="11" t="str">
        <f>IF($D$3="English","ft/min", "m/s")</f>
        <v>ft/min</v>
      </c>
      <c r="J99" s="11"/>
      <c r="K99" s="15" t="e">
        <f>IF($D$3="English",K98*(1/12)*60, K98*10^-3)</f>
        <v>#REF!</v>
      </c>
      <c r="L99" s="11" t="str">
        <f>IF($D$3="English","ft/min", "m/s")</f>
        <v>ft/min</v>
      </c>
    </row>
    <row r="100" spans="6:12" ht="15" customHeight="1">
      <c r="F100" s="11" t="s">
        <v>9</v>
      </c>
      <c r="G100" s="17" t="e">
        <f>IF($D$3="English",
   IF(#REF!="Cast Profile",((600+G99)/600),
     IF(#REF!="Cut or Milled Profile",((1200+G99)/1200),
       IF(#REF!="Hobbed or Shaped Profile",((50+SQRT(G99))/50),
         IF(#REF!="Shaped or Ground Profile",SQRT((78+SQRT(G99))/78),NA())))),
   IF(#REF!="Cast Profile",((3.05+G99)/3.05),
     IF(#REF!="Cut or Milled Profile",((6.1+G99)/6.1),
       IF(#REF!="Hobbed or Shaped Profile",((3.56+SQRT(G99))/3.56),
         IF(#REF!="Shaped or Ground Profile",SQRT((5.56+SQRT(G99))/5.56),NA()))))
)</f>
        <v>#REF!</v>
      </c>
      <c r="H100" s="11" t="str">
        <f>IF($D$3="English","ft/min", "m/s")</f>
        <v>ft/min</v>
      </c>
      <c r="J100" s="11" t="s">
        <v>9</v>
      </c>
      <c r="K100" s="17" t="e">
        <f>IF($D$3="English",
   IF(#REF!="Cast Profile",((600+K99)/600),
     IF(#REF!="Cut or Milled Profile",((1200+K99)/1200),
       IF(#REF!="Hobbed or Shaped Profile",((50+SQRT(K99))/50),
         IF(#REF!="Shaped or Ground Profile",SQRT((78+SQRT(K99))/78),NA())))),
   IF(#REF!="Cast Profile",((3.05+K99)/3.05),
     IF(#REF!="Cut or Milled Profile",((6.1+K99)/6.1),
       IF(#REF!="Hobbed or Shaped Profile",((3.56+SQRT(K99))/3.56),
         IF(#REF!="Shaped or Ground Profile",SQRT((5.56+SQRT(K99))/5.56),NA()))))
)</f>
        <v>#REF!</v>
      </c>
      <c r="L100" s="11" t="str">
        <f>IF($D$3="English","ft/min", "m/s")</f>
        <v>ft/min</v>
      </c>
    </row>
    <row r="101" spans="6:12" ht="15" customHeight="1">
      <c r="F101" s="11" t="s">
        <v>10</v>
      </c>
      <c r="G101" s="16" t="e">
        <f>IF($D$3="English",33000/G99, 60000/(G98*60))</f>
        <v>#REF!</v>
      </c>
      <c r="H101" s="11" t="str">
        <f>IF($D$3="English","lbf/HP", "kN/kW")</f>
        <v>lbf/HP</v>
      </c>
      <c r="J101" s="11" t="s">
        <v>10</v>
      </c>
      <c r="K101" s="16" t="e">
        <f>IF($D$3="English",33000/K99, 60000/(K98*60))</f>
        <v>#REF!</v>
      </c>
      <c r="L101" s="11" t="str">
        <f>IF($D$3="English","lbf/HP", "kN/kW")</f>
        <v>lbf/HP</v>
      </c>
    </row>
    <row r="102" spans="6:12" ht="15" customHeight="1">
      <c r="F102" s="11" t="s">
        <v>11</v>
      </c>
      <c r="G102" s="16" t="e">
        <f>(G94*C6*G96)/(G100*G101*IF($D$3="English",#REF!,#REF!^ -1))</f>
        <v>#REF!</v>
      </c>
      <c r="H102" s="11" t="str">
        <f>IF($D$3="English","HP", "kW")</f>
        <v>HP</v>
      </c>
      <c r="J102" s="11" t="s">
        <v>11</v>
      </c>
      <c r="K102" s="16" t="e">
        <f>(K94*G30*K96)/(K100*K101*IF($D$3="English",#REF!,#REF!^ -1))</f>
        <v>#REF!</v>
      </c>
      <c r="L102" s="11" t="str">
        <f>IF($D$3="English","HP", "kW")</f>
        <v>HP</v>
      </c>
    </row>
    <row r="103" spans="6:12" ht="15" customHeight="1">
      <c r="F103" s="1" t="s">
        <v>12</v>
      </c>
      <c r="G103" s="18"/>
      <c r="J103" s="1" t="s">
        <v>12</v>
      </c>
      <c r="K103" s="18"/>
    </row>
    <row r="105" spans="6:12" ht="15" customHeight="1">
      <c r="F105" s="8"/>
      <c r="G105" s="8"/>
      <c r="H105" s="8"/>
      <c r="J105" s="8"/>
      <c r="K105" s="8"/>
      <c r="L105" s="8"/>
    </row>
    <row r="106" spans="6:12" ht="15" customHeight="1">
      <c r="F106" s="19" t="s">
        <v>13</v>
      </c>
      <c r="G106" s="20">
        <f>0.5*C38</f>
        <v>0</v>
      </c>
      <c r="H106" s="19" t="str">
        <f>IF($D$3="English","psi","Pa")</f>
        <v>psi</v>
      </c>
      <c r="J106" s="19" t="s">
        <v>13</v>
      </c>
      <c r="K106" s="20">
        <f>0.5*O34</f>
        <v>65</v>
      </c>
      <c r="L106" s="19" t="str">
        <f>IF($D$3="English","psi","Pa")</f>
        <v>psi</v>
      </c>
    </row>
    <row r="107" spans="6:12" ht="15" customHeight="1">
      <c r="F107" s="19" t="s">
        <v>14</v>
      </c>
      <c r="G107" s="19">
        <v>2.7</v>
      </c>
      <c r="H107" s="19"/>
      <c r="J107" s="19" t="s">
        <v>14</v>
      </c>
      <c r="K107" s="19">
        <v>2.7</v>
      </c>
      <c r="L107" s="19"/>
    </row>
    <row r="108" spans="6:12" ht="15" customHeight="1">
      <c r="F108" s="19" t="s">
        <v>15</v>
      </c>
      <c r="G108" s="19">
        <v>-0.26500000000000001</v>
      </c>
      <c r="H108" s="19"/>
      <c r="J108" s="19" t="s">
        <v>15</v>
      </c>
      <c r="K108" s="19">
        <v>-0.26500000000000001</v>
      </c>
      <c r="L108" s="19"/>
    </row>
    <row r="109" spans="6:12" ht="15" customHeight="1">
      <c r="F109" s="11" t="s">
        <v>16</v>
      </c>
      <c r="G109" s="11" t="e">
        <f>G107*(#REF!^G108)</f>
        <v>#REF!</v>
      </c>
      <c r="H109" s="14" t="s">
        <v>6</v>
      </c>
      <c r="J109" s="11" t="s">
        <v>16</v>
      </c>
      <c r="K109" s="11" t="e">
        <f>K107*(#REF!^K108)</f>
        <v>#REF!</v>
      </c>
      <c r="L109" s="14" t="s">
        <v>6</v>
      </c>
    </row>
    <row r="110" spans="6:12" ht="15" customHeight="1">
      <c r="F110" s="11" t="s">
        <v>17</v>
      </c>
      <c r="G110" s="11" t="e">
        <f>(3*G96)/(2*IF($D$3="English",#REF!,#REF!^ -1))</f>
        <v>#REF!</v>
      </c>
      <c r="H110" s="11" t="str">
        <f>IF($D$3="English","in", "mm")</f>
        <v>in</v>
      </c>
      <c r="J110" s="11" t="s">
        <v>17</v>
      </c>
      <c r="K110" s="11" t="e">
        <f>(3*K96)/(2*IF($D$3="English",#REF!,#REF!^ -1))</f>
        <v>#N/A</v>
      </c>
      <c r="L110" s="11" t="str">
        <f>IF($D$3="English","in", "mm")</f>
        <v>in</v>
      </c>
    </row>
    <row r="111" spans="6:12" ht="15" customHeight="1">
      <c r="F111" s="11" t="s">
        <v>18</v>
      </c>
      <c r="G111" s="11" t="e">
        <f>1*(IF($D$3="English",#REF!,#REF!^ -1))^-1 + 1.25*(IF($D$3="English",#REF!,#REF!^ -1))^-1</f>
        <v>#REF!</v>
      </c>
      <c r="H111" s="11" t="str">
        <f>IF($D$3="English","in", "mm")</f>
        <v>in</v>
      </c>
      <c r="J111" s="11" t="s">
        <v>18</v>
      </c>
      <c r="K111" s="11" t="e">
        <f>1*(IF($D$3="English",#REF!,#REF!^ -1))^-1 + 1.25*(IF($D$3="English",#REF!,#REF!^ -1))^-1</f>
        <v>#REF!</v>
      </c>
      <c r="L111" s="11" t="str">
        <f>IF($D$3="English","in", "mm")</f>
        <v>in</v>
      </c>
    </row>
    <row r="112" spans="6:12" ht="15" customHeight="1">
      <c r="F112" s="11" t="s">
        <v>19</v>
      </c>
      <c r="G112" s="11" t="e">
        <f>SQRT(4*G111*G110)</f>
        <v>#REF!</v>
      </c>
      <c r="H112" s="11" t="str">
        <f>IF($D$3="English","in", "mm")</f>
        <v>in</v>
      </c>
      <c r="J112" s="11" t="s">
        <v>19</v>
      </c>
      <c r="K112" s="11" t="e">
        <f>SQRT(4*K111*K110)</f>
        <v>#REF!</v>
      </c>
      <c r="L112" s="11" t="str">
        <f>IF($D$3="English","in", "mm")</f>
        <v>in</v>
      </c>
    </row>
    <row r="113" spans="6:12" ht="15" customHeight="1">
      <c r="F113" s="11" t="s">
        <v>20</v>
      </c>
      <c r="G113" s="11" t="e">
        <f>0.808*SQRT(G112*C6)</f>
        <v>#REF!</v>
      </c>
      <c r="H113" s="11" t="str">
        <f>IF($D$3="English","in", "mm")</f>
        <v>in</v>
      </c>
      <c r="J113" s="11" t="s">
        <v>20</v>
      </c>
      <c r="K113" s="11" t="e">
        <f>0.808*SQRT(K112*G30)</f>
        <v>#REF!</v>
      </c>
      <c r="L113" s="11" t="str">
        <f>IF($D$3="English","in", "mm")</f>
        <v>in</v>
      </c>
    </row>
    <row r="114" spans="6:12" ht="15" customHeight="1">
      <c r="F114" s="19" t="s">
        <v>21</v>
      </c>
      <c r="G114" s="19" t="e">
        <f>0.879*(G113^-0.107)</f>
        <v>#REF!</v>
      </c>
      <c r="H114" s="21" t="s">
        <v>6</v>
      </c>
      <c r="J114" s="19" t="s">
        <v>21</v>
      </c>
      <c r="K114" s="19" t="e">
        <f>0.879*(K113^-0.107)</f>
        <v>#REF!</v>
      </c>
      <c r="L114" s="21" t="s">
        <v>6</v>
      </c>
    </row>
    <row r="115" spans="6:12" ht="15" customHeight="1">
      <c r="F115" s="11" t="s">
        <v>22</v>
      </c>
      <c r="G115" s="11">
        <v>1</v>
      </c>
      <c r="H115" s="14" t="s">
        <v>6</v>
      </c>
      <c r="J115" s="11" t="s">
        <v>22</v>
      </c>
      <c r="K115" s="11">
        <v>1</v>
      </c>
      <c r="L115" s="14" t="s">
        <v>6</v>
      </c>
    </row>
    <row r="116" spans="6:12" ht="15" customHeight="1">
      <c r="F116" s="11" t="s">
        <v>23</v>
      </c>
      <c r="G116" s="12" t="e">
        <f>G109*G114*G115*G106</f>
        <v>#REF!</v>
      </c>
      <c r="H116" s="11" t="str">
        <f>IF($D$3="English","psi","Pa")</f>
        <v>psi</v>
      </c>
      <c r="J116" s="11" t="s">
        <v>23</v>
      </c>
      <c r="K116" s="12" t="e">
        <f>K109*K114*K115*K106</f>
        <v>#REF!</v>
      </c>
      <c r="L116" s="11" t="str">
        <f>IF($D$3="English","psi","Pa")</f>
        <v>psi</v>
      </c>
    </row>
    <row r="118" spans="6:12" ht="15" customHeight="1">
      <c r="F118" s="9" t="s">
        <v>24</v>
      </c>
      <c r="G118" s="9">
        <v>3.7499999999999999E-2</v>
      </c>
      <c r="H118" s="9" t="str">
        <f>IF($D$3="English","in", "mm")</f>
        <v>in</v>
      </c>
      <c r="J118" s="9" t="s">
        <v>24</v>
      </c>
      <c r="K118" s="9">
        <v>3.7499999999999999E-2</v>
      </c>
      <c r="L118" s="9" t="str">
        <f>IF($D$3="English","in", "mm")</f>
        <v>in</v>
      </c>
    </row>
    <row r="119" spans="6:12" ht="15" customHeight="1">
      <c r="F119" s="11" t="s">
        <v>25</v>
      </c>
      <c r="G119" s="22" t="e">
        <f>PI()*G97/C12</f>
        <v>#REF!</v>
      </c>
      <c r="H119" s="11" t="str">
        <f>IF($D$3="English","in", "mm")</f>
        <v>in</v>
      </c>
      <c r="J119" s="11" t="s">
        <v>25</v>
      </c>
      <c r="K119" s="22" t="e">
        <f>PI()*K97/G36</f>
        <v>#REF!</v>
      </c>
      <c r="L119" s="11" t="str">
        <f>IF($D$3="English","in", "mm")</f>
        <v>in</v>
      </c>
    </row>
    <row r="120" spans="6:12" ht="15" customHeight="1">
      <c r="F120" s="9" t="s">
        <v>26</v>
      </c>
      <c r="G120" s="9">
        <v>1.7</v>
      </c>
      <c r="H120" s="10" t="s">
        <v>6</v>
      </c>
      <c r="J120" s="9" t="s">
        <v>26</v>
      </c>
      <c r="K120" s="9">
        <v>1.7</v>
      </c>
      <c r="L120" s="10" t="s">
        <v>6</v>
      </c>
    </row>
    <row r="121" spans="6:12" ht="15" customHeight="1">
      <c r="F121" s="9" t="s">
        <v>27</v>
      </c>
      <c r="G121" s="9">
        <v>0.62</v>
      </c>
      <c r="H121" s="10" t="s">
        <v>6</v>
      </c>
      <c r="J121" s="9" t="s">
        <v>27</v>
      </c>
      <c r="K121" s="9">
        <v>0.62</v>
      </c>
      <c r="L121" s="10" t="s">
        <v>6</v>
      </c>
    </row>
    <row r="122" spans="6:12" ht="15" customHeight="1">
      <c r="F122" s="11" t="s">
        <v>28</v>
      </c>
      <c r="G122" s="11">
        <f>1+G121*(G120-1)</f>
        <v>1.4339999999999999</v>
      </c>
      <c r="H122" s="14" t="s">
        <v>6</v>
      </c>
      <c r="J122" s="11" t="s">
        <v>28</v>
      </c>
      <c r="K122" s="11">
        <f>1+K121*(K120-1)</f>
        <v>1.4339999999999999</v>
      </c>
      <c r="L122" s="14" t="s">
        <v>6</v>
      </c>
    </row>
    <row r="124" spans="6:12" ht="15" customHeight="1">
      <c r="F124" s="11" t="s">
        <v>29</v>
      </c>
      <c r="G124" s="12" t="e">
        <f>(G100*G101*IF($D$3="English",#REF!,#REF!^ -1))/(C6*G96)</f>
        <v>#REF!</v>
      </c>
      <c r="H124" s="11" t="str">
        <f>IF($D$3="English","psi","Pa")</f>
        <v>psi</v>
      </c>
      <c r="J124" s="11" t="s">
        <v>29</v>
      </c>
      <c r="K124" s="12" t="e">
        <f>(K100*K101*IF($D$3="English",#REF!,#REF!^ -1))/(G30*K96)</f>
        <v>#REF!</v>
      </c>
      <c r="L124" s="11" t="str">
        <f>IF($D$3="English","psi","Pa")</f>
        <v>psi</v>
      </c>
    </row>
    <row r="125" spans="6:12" ht="15" customHeight="1">
      <c r="F125" s="11"/>
      <c r="G125" s="13" t="e">
        <f>IF($D$3="English",G124*10^-3,G124*10^-6)</f>
        <v>#REF!</v>
      </c>
      <c r="H125" s="11" t="str">
        <f>IF($D$3="English","kpsi","MPa")</f>
        <v>kpsi</v>
      </c>
      <c r="J125" s="11"/>
      <c r="K125" s="13" t="e">
        <f>IF($D$3="English",K124*10^-3,K124*10^-6)</f>
        <v>#REF!</v>
      </c>
      <c r="L125" s="11" t="str">
        <f>IF($D$3="English","kpsi","MPa")</f>
        <v>kpsi</v>
      </c>
    </row>
    <row r="126" spans="6:12" ht="15" customHeight="1">
      <c r="F126" s="11" t="s">
        <v>30</v>
      </c>
      <c r="G126" s="12" t="e">
        <f>(G122/2)*G124</f>
        <v>#REF!</v>
      </c>
      <c r="H126" s="11" t="str">
        <f>IF($D$3="English","psi","Pa")</f>
        <v>psi</v>
      </c>
      <c r="J126" s="11" t="s">
        <v>30</v>
      </c>
      <c r="K126" s="12" t="e">
        <f>(K122/2)*K124</f>
        <v>#REF!</v>
      </c>
      <c r="L126" s="11" t="str">
        <f>IF($D$3="English","psi","Pa")</f>
        <v>psi</v>
      </c>
    </row>
    <row r="127" spans="6:12" ht="15" customHeight="1">
      <c r="F127" s="11"/>
      <c r="G127" s="13" t="e">
        <f>IF($D$3="English",G126*10^-3,G126*10^-6)</f>
        <v>#REF!</v>
      </c>
      <c r="H127" s="11" t="str">
        <f>IF($D$3="English","kpsi","MPa")</f>
        <v>kpsi</v>
      </c>
      <c r="J127" s="11"/>
      <c r="K127" s="13" t="e">
        <f>IF($D$3="English",K126*10^-3,K126*10^-6)</f>
        <v>#REF!</v>
      </c>
      <c r="L127" s="11" t="str">
        <f>IF($D$3="English","kpsi","MPa")</f>
        <v>kpsi</v>
      </c>
    </row>
    <row r="128" spans="6:12" ht="15" customHeight="1">
      <c r="F128" s="11" t="s">
        <v>11</v>
      </c>
      <c r="G128" s="16" t="e">
        <f>(C16*((G126/G116) + (G126/C38)))^-1</f>
        <v>#REF!</v>
      </c>
      <c r="H128" s="11" t="str">
        <f>IF($D$3="English","HP", "kN")</f>
        <v>HP</v>
      </c>
      <c r="J128" s="11" t="s">
        <v>11</v>
      </c>
      <c r="K128" s="16" t="e">
        <f>(#REF!*((K126/K116) + (K126/O34)))^-1</f>
        <v>#REF!</v>
      </c>
      <c r="L128" s="11" t="str">
        <f>IF($D$3="English","HP", "kN")</f>
        <v>HP</v>
      </c>
    </row>
    <row r="129" spans="6:10" ht="15" customHeight="1">
      <c r="F129" s="1" t="s">
        <v>31</v>
      </c>
      <c r="J129" s="1" t="s">
        <v>31</v>
      </c>
    </row>
    <row r="202" spans="2:2" ht="15" customHeight="1">
      <c r="B202"/>
    </row>
  </sheetData>
  <mergeCells count="15">
    <mergeCell ref="AY6:BB6"/>
    <mergeCell ref="BD6:BG6"/>
    <mergeCell ref="BI6:BM6"/>
    <mergeCell ref="BO6:BS6"/>
    <mergeCell ref="B39:D39"/>
    <mergeCell ref="R7:T7"/>
    <mergeCell ref="F4:T4"/>
    <mergeCell ref="AV8:AW8"/>
    <mergeCell ref="AT8:AU8"/>
    <mergeCell ref="AM5:AQ5"/>
    <mergeCell ref="AM6:AQ6"/>
    <mergeCell ref="AN8:AO8"/>
    <mergeCell ref="AP8:AQ8"/>
    <mergeCell ref="AS5:AW5"/>
    <mergeCell ref="AS6:AW6"/>
  </mergeCells>
  <conditionalFormatting sqref="B7:C7 B8:B13 C9 B14:C14 B18:C18 B19:B24 C20 B25:C25">
    <cfRule type="expression" dxfId="5" priority="45">
      <formula>$I$54</formula>
    </cfRule>
    <cfRule type="expression" dxfId="4" priority="46">
      <formula>$M$29</formula>
    </cfRule>
  </conditionalFormatting>
  <dataValidations count="2">
    <dataValidation type="list" allowBlank="1" showInputMessage="1" showErrorMessage="1" sqref="D3" xr:uid="{6F196BB9-4CF4-784F-B694-CE7D2715697B}">
      <formula1>"English, Metric"</formula1>
    </dataValidation>
    <dataValidation type="list" allowBlank="1" showInputMessage="1" showErrorMessage="1" sqref="C53" xr:uid="{D5B64E82-C592-4B3F-B075-1CBCE6708348}">
      <formula1>"UNC, UNF"</formula1>
    </dataValidation>
  </dataValidations>
  <hyperlinks>
    <hyperlink ref="AM6" r:id="rId1" xr:uid="{D359208B-2118-084E-AF57-5C88CA492651}"/>
    <hyperlink ref="AS6" r:id="rId2" xr:uid="{FCFA06C8-FF4B-014B-A3AA-3974359E80F5}"/>
    <hyperlink ref="A47" r:id="rId3" xr:uid="{0FA7BA99-804D-413A-891E-5F471C3EC0FA}"/>
  </hyperlinks>
  <pageMargins left="0.7" right="0.7" top="0.75" bottom="0.75" header="0.3" footer="0.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CB79-BAC8-4020-9BD6-6F846F69393E}">
  <sheetPr>
    <tabColor rgb="FFC00000"/>
  </sheetPr>
  <dimension ref="B1:V29"/>
  <sheetViews>
    <sheetView zoomScale="130" zoomScaleNormal="130" workbookViewId="0">
      <selection activeCell="I21" sqref="I21"/>
    </sheetView>
  </sheetViews>
  <sheetFormatPr defaultColWidth="10.85546875" defaultRowHeight="15" customHeight="1"/>
  <cols>
    <col min="1" max="1" width="10.85546875" style="80"/>
    <col min="2" max="2" width="22.42578125" hidden="1" customWidth="1"/>
    <col min="3" max="3" width="16.28515625" style="80" bestFit="1" customWidth="1"/>
    <col min="4" max="4" width="24.7109375" style="80" bestFit="1" customWidth="1"/>
    <col min="5" max="5" width="11.7109375" style="80" bestFit="1" customWidth="1"/>
    <col min="6" max="6" width="15.140625" style="80" bestFit="1" customWidth="1"/>
    <col min="7" max="7" width="10" style="80" bestFit="1" customWidth="1"/>
    <col min="8" max="8" width="10.140625" style="80" bestFit="1" customWidth="1"/>
    <col min="9" max="9" width="12" style="80" bestFit="1" customWidth="1"/>
    <col min="10" max="10" width="12.140625" style="80" bestFit="1" customWidth="1"/>
    <col min="11" max="11" width="10.28515625" style="80" bestFit="1" customWidth="1"/>
    <col min="12" max="12" width="10.7109375" style="80" bestFit="1" customWidth="1"/>
    <col min="13" max="13" width="10.85546875" style="80" bestFit="1" customWidth="1"/>
    <col min="14" max="14" width="19.140625" style="80" bestFit="1" customWidth="1"/>
    <col min="15" max="15" width="12.85546875" style="80" bestFit="1" customWidth="1"/>
    <col min="16" max="16" width="16.28515625" style="80" bestFit="1" customWidth="1"/>
    <col min="17" max="17" width="14.42578125" style="80" bestFit="1" customWidth="1"/>
    <col min="18" max="18" width="10.85546875" style="80"/>
    <col min="19" max="19" width="88.85546875" style="80" customWidth="1"/>
    <col min="20" max="20" width="7.7109375" style="80" bestFit="1" customWidth="1"/>
    <col min="21" max="21" width="39.85546875" style="80" bestFit="1" customWidth="1"/>
    <col min="22" max="22" width="14.85546875" style="80" bestFit="1" customWidth="1"/>
    <col min="23" max="16384" width="10.85546875" style="80"/>
  </cols>
  <sheetData>
    <row r="1" spans="2:16" ht="15" customHeight="1">
      <c r="B1" s="80"/>
    </row>
    <row r="2" spans="2:16" ht="15" customHeight="1">
      <c r="B2" s="95" t="s">
        <v>229</v>
      </c>
      <c r="C2" s="95" t="s">
        <v>230</v>
      </c>
      <c r="D2" s="95" t="s">
        <v>223</v>
      </c>
      <c r="E2" s="95" t="s">
        <v>172</v>
      </c>
      <c r="F2" s="95" t="s">
        <v>173</v>
      </c>
      <c r="G2" s="93" t="s">
        <v>174</v>
      </c>
      <c r="H2" s="93" t="s">
        <v>175</v>
      </c>
      <c r="I2" s="96" t="s">
        <v>176</v>
      </c>
      <c r="J2" s="96" t="s">
        <v>177</v>
      </c>
      <c r="K2" s="96" t="s">
        <v>178</v>
      </c>
      <c r="L2" s="93" t="s">
        <v>179</v>
      </c>
      <c r="M2" s="93" t="s">
        <v>180</v>
      </c>
      <c r="N2" s="93" t="s">
        <v>181</v>
      </c>
      <c r="O2" s="93" t="s">
        <v>182</v>
      </c>
      <c r="P2" s="95" t="s">
        <v>231</v>
      </c>
    </row>
    <row r="3" spans="2:16" ht="15" customHeight="1">
      <c r="B3" s="101">
        <v>1</v>
      </c>
      <c r="C3" s="97" t="s">
        <v>80</v>
      </c>
      <c r="D3" s="97" t="s">
        <v>224</v>
      </c>
      <c r="E3" s="98" t="s">
        <v>183</v>
      </c>
      <c r="F3" s="98" t="s">
        <v>184</v>
      </c>
      <c r="G3" s="99">
        <v>1.8</v>
      </c>
      <c r="H3" s="99">
        <v>2</v>
      </c>
      <c r="I3" s="94">
        <f>'Penguin - Tank Calculations'!$C$42</f>
        <v>40000</v>
      </c>
      <c r="J3" s="94">
        <f>'Penguin - Tank Calculations'!$C$41</f>
        <v>45000</v>
      </c>
      <c r="K3" s="94">
        <f>'Penguin - Tank Calculations'!K8</f>
        <v>10611.570247933883</v>
      </c>
      <c r="L3" s="100">
        <f t="shared" ref="L3:M7" si="0">(I3/($K3 * G3)) - 1</f>
        <v>1.0941502249913468</v>
      </c>
      <c r="M3" s="100">
        <f t="shared" si="0"/>
        <v>1.1203271028037385</v>
      </c>
      <c r="N3" s="99" t="s">
        <v>185</v>
      </c>
      <c r="O3" s="94">
        <v>1</v>
      </c>
      <c r="P3" s="97" t="str">
        <f t="shared" ref="P3:P18" si="1">C3</f>
        <v>Top Bulkhead</v>
      </c>
    </row>
    <row r="4" spans="2:16" ht="15" customHeight="1">
      <c r="B4" s="101">
        <f>IF(C4=C3, B3, B3+1)</f>
        <v>1</v>
      </c>
      <c r="C4" s="97" t="s">
        <v>80</v>
      </c>
      <c r="D4" s="97" t="s">
        <v>233</v>
      </c>
      <c r="E4" s="98" t="s">
        <v>183</v>
      </c>
      <c r="F4" s="98" t="s">
        <v>184</v>
      </c>
      <c r="G4" s="99">
        <v>1.8</v>
      </c>
      <c r="H4" s="99">
        <v>2</v>
      </c>
      <c r="I4" s="94">
        <f>'Penguin - Tank Calculations'!$C$42</f>
        <v>40000</v>
      </c>
      <c r="J4" s="94">
        <f>'Penguin - Tank Calculations'!$C$41</f>
        <v>45000</v>
      </c>
      <c r="K4" s="94">
        <f>'Penguin - Tank Calculations'!AA23</f>
        <v>3522.538064536308</v>
      </c>
      <c r="L4" s="100">
        <f t="shared" si="0"/>
        <v>5.3085825660616281</v>
      </c>
      <c r="M4" s="100">
        <f t="shared" si="0"/>
        <v>5.3874398481373982</v>
      </c>
      <c r="N4" s="99" t="s">
        <v>185</v>
      </c>
      <c r="O4" s="94">
        <v>1</v>
      </c>
      <c r="P4" s="97" t="str">
        <f t="shared" si="1"/>
        <v>Top Bulkhead</v>
      </c>
    </row>
    <row r="5" spans="2:16" ht="15" customHeight="1">
      <c r="B5" s="101">
        <f t="shared" ref="B5:B17" si="2">IF(C5=C4, B4, B4+1)</f>
        <v>1</v>
      </c>
      <c r="C5" s="97" t="s">
        <v>80</v>
      </c>
      <c r="D5" s="97" t="s">
        <v>225</v>
      </c>
      <c r="E5" s="98" t="s">
        <v>183</v>
      </c>
      <c r="F5" s="98" t="s">
        <v>184</v>
      </c>
      <c r="G5" s="99">
        <v>1.8</v>
      </c>
      <c r="H5" s="99">
        <v>2</v>
      </c>
      <c r="I5" s="94">
        <f>'Penguin - Tank Calculations'!$C$42</f>
        <v>40000</v>
      </c>
      <c r="J5" s="94">
        <f>'Penguin - Tank Calculations'!$C$41</f>
        <v>45000</v>
      </c>
      <c r="K5" s="94">
        <f>'Penguin - Tank Calculations'!AI11</f>
        <v>6027.9464233492772</v>
      </c>
      <c r="L5" s="100">
        <f t="shared" si="0"/>
        <v>2.6865328026381166</v>
      </c>
      <c r="M5" s="100">
        <f t="shared" si="0"/>
        <v>2.7326144626710933</v>
      </c>
      <c r="N5" s="99" t="s">
        <v>185</v>
      </c>
      <c r="O5" s="94">
        <v>1</v>
      </c>
      <c r="P5" s="97" t="str">
        <f t="shared" si="1"/>
        <v>Top Bulkhead</v>
      </c>
    </row>
    <row r="6" spans="2:16" ht="15" customHeight="1">
      <c r="B6" s="101">
        <f t="shared" si="2"/>
        <v>2</v>
      </c>
      <c r="C6" s="97" t="s">
        <v>91</v>
      </c>
      <c r="D6" s="97" t="s">
        <v>226</v>
      </c>
      <c r="E6" s="98" t="s">
        <v>183</v>
      </c>
      <c r="F6" s="98" t="s">
        <v>184</v>
      </c>
      <c r="G6" s="99">
        <v>1.7</v>
      </c>
      <c r="H6" s="99">
        <v>1.8</v>
      </c>
      <c r="I6" s="94">
        <f>'Penguin - Tank Calculations'!$C$42</f>
        <v>40000</v>
      </c>
      <c r="J6" s="94">
        <f>'Penguin - Tank Calculations'!$C$41</f>
        <v>45000</v>
      </c>
      <c r="K6" s="94">
        <f>'Penguin - Tank Calculations'!G12</f>
        <v>8025</v>
      </c>
      <c r="L6" s="100">
        <f t="shared" si="0"/>
        <v>1.9320139270661536</v>
      </c>
      <c r="M6" s="100">
        <f t="shared" si="0"/>
        <v>2.1152647975077881</v>
      </c>
      <c r="N6" s="99" t="s">
        <v>185</v>
      </c>
      <c r="O6" s="94">
        <v>2</v>
      </c>
      <c r="P6" s="97" t="str">
        <f t="shared" si="1"/>
        <v>Outer Wall</v>
      </c>
    </row>
    <row r="7" spans="2:16" ht="15" customHeight="1">
      <c r="B7" s="101">
        <f>IF(C7=C6, B6, B6+1)</f>
        <v>2</v>
      </c>
      <c r="C7" s="97" t="s">
        <v>91</v>
      </c>
      <c r="D7" s="97" t="s">
        <v>227</v>
      </c>
      <c r="E7" s="98" t="s">
        <v>183</v>
      </c>
      <c r="F7" s="98" t="s">
        <v>184</v>
      </c>
      <c r="G7" s="99">
        <v>1.7</v>
      </c>
      <c r="H7" s="99">
        <v>1.8</v>
      </c>
      <c r="I7" s="94">
        <f>'Penguin - Tank Calculations'!$C$42</f>
        <v>40000</v>
      </c>
      <c r="J7" s="94">
        <f>'Penguin - Tank Calculations'!$C$41</f>
        <v>45000</v>
      </c>
      <c r="K7" s="94">
        <f>'Penguin - Tank Calculations'!G10</f>
        <v>16585</v>
      </c>
      <c r="L7" s="100">
        <f t="shared" si="0"/>
        <v>0.41871641632233247</v>
      </c>
      <c r="M7" s="100">
        <f t="shared" si="0"/>
        <v>0.50738619234247806</v>
      </c>
      <c r="N7" s="99" t="s">
        <v>185</v>
      </c>
      <c r="O7" s="94">
        <v>2</v>
      </c>
      <c r="P7" s="97" t="str">
        <f t="shared" si="1"/>
        <v>Outer Wall</v>
      </c>
    </row>
    <row r="8" spans="2:16" ht="15" customHeight="1">
      <c r="B8" s="101">
        <f t="shared" si="2"/>
        <v>2</v>
      </c>
      <c r="C8" s="97" t="s">
        <v>91</v>
      </c>
      <c r="D8" s="97" t="s">
        <v>228</v>
      </c>
      <c r="E8" s="98" t="s">
        <v>183</v>
      </c>
      <c r="F8" s="98" t="s">
        <v>186</v>
      </c>
      <c r="G8" s="99">
        <v>1.7</v>
      </c>
      <c r="H8" s="99">
        <v>1.8</v>
      </c>
      <c r="I8" s="94" t="str">
        <f>_xlfn.CONCAT(_xlfn.VALUETOTEXT(ROUND('Penguin - Tank Calculations'!O16,0),0), " [lbf]")</f>
        <v>42128 [lbf]</v>
      </c>
      <c r="J8" s="94" t="s">
        <v>6</v>
      </c>
      <c r="K8" s="94" t="str">
        <f>_xlfn.CONCAT(_xlfn.VALUETOTEXT(ROUND('Penguin - Tank Calculations'!O35,0),0), " [lbf]")</f>
        <v>146 [lbf]</v>
      </c>
      <c r="L8" s="100">
        <f>('[1]Wall Calcs'!$R$49/('[1]Wall Calcs'!$R$55 * G8)) - 1</f>
        <v>132.21879625204164</v>
      </c>
      <c r="M8" s="100" t="s">
        <v>6</v>
      </c>
      <c r="N8" s="99" t="s">
        <v>185</v>
      </c>
      <c r="O8" s="94">
        <v>2</v>
      </c>
      <c r="P8" s="97" t="str">
        <f t="shared" si="1"/>
        <v>Outer Wall</v>
      </c>
    </row>
    <row r="9" spans="2:16" ht="15" customHeight="1">
      <c r="B9" s="101">
        <f t="shared" si="2"/>
        <v>2</v>
      </c>
      <c r="C9" s="97" t="s">
        <v>91</v>
      </c>
      <c r="D9" s="97" t="s">
        <v>233</v>
      </c>
      <c r="E9" s="98" t="s">
        <v>183</v>
      </c>
      <c r="F9" s="98" t="s">
        <v>184</v>
      </c>
      <c r="G9" s="99">
        <v>1.7</v>
      </c>
      <c r="H9" s="99">
        <v>1.8</v>
      </c>
      <c r="I9" s="94">
        <f>'Penguin - Tank Calculations'!$C$42</f>
        <v>40000</v>
      </c>
      <c r="J9" s="94">
        <f>'Penguin - Tank Calculations'!$C$41</f>
        <v>45000</v>
      </c>
      <c r="K9" s="94">
        <f>'Penguin - Tank Calculations'!AA14</f>
        <v>15499.167483959756</v>
      </c>
      <c r="L9" s="100">
        <f t="shared" ref="L9:M12" si="3">(I9/($K9 * G9)) - 1</f>
        <v>0.5181081041324771</v>
      </c>
      <c r="M9" s="100">
        <f t="shared" si="3"/>
        <v>0.61298986064075711</v>
      </c>
      <c r="N9" s="99" t="s">
        <v>185</v>
      </c>
      <c r="O9" s="94">
        <v>2</v>
      </c>
      <c r="P9" s="97" t="str">
        <f t="shared" si="1"/>
        <v>Outer Wall</v>
      </c>
    </row>
    <row r="10" spans="2:16" ht="15" customHeight="1">
      <c r="B10" s="101">
        <f>IF(C10=C9, B9, B9+1)</f>
        <v>2</v>
      </c>
      <c r="C10" s="97" t="s">
        <v>91</v>
      </c>
      <c r="D10" s="97" t="s">
        <v>232</v>
      </c>
      <c r="E10" s="98" t="s">
        <v>183</v>
      </c>
      <c r="F10" s="98" t="s">
        <v>184</v>
      </c>
      <c r="G10" s="99">
        <v>1.7</v>
      </c>
      <c r="H10" s="99">
        <v>1.8</v>
      </c>
      <c r="I10" s="94">
        <f>'Penguin - Tank Calculations'!C47</f>
        <v>56000</v>
      </c>
      <c r="J10" s="94">
        <f>'Penguin - Tank Calculations'!C46</f>
        <v>88000</v>
      </c>
      <c r="K10" s="94">
        <f>'Penguin - Tank Calculations'!AE8</f>
        <v>26845.345557237779</v>
      </c>
      <c r="L10" s="100">
        <f t="shared" si="3"/>
        <v>0.22707217161177362</v>
      </c>
      <c r="M10" s="100">
        <f t="shared" si="3"/>
        <v>0.82113092136033039</v>
      </c>
      <c r="N10" s="99" t="s">
        <v>185</v>
      </c>
      <c r="O10" s="94">
        <v>2</v>
      </c>
      <c r="P10" s="97" t="str">
        <f t="shared" si="1"/>
        <v>Outer Wall</v>
      </c>
    </row>
    <row r="11" spans="2:16" ht="15" customHeight="1">
      <c r="B11" s="101">
        <f>IF(C11=C10, B10, B10+1)</f>
        <v>2</v>
      </c>
      <c r="C11" s="97" t="s">
        <v>91</v>
      </c>
      <c r="D11" s="97" t="s">
        <v>234</v>
      </c>
      <c r="E11" s="98" t="s">
        <v>183</v>
      </c>
      <c r="F11" s="98" t="s">
        <v>184</v>
      </c>
      <c r="G11" s="99">
        <v>1.7</v>
      </c>
      <c r="H11" s="99">
        <v>1.8</v>
      </c>
      <c r="I11" s="94">
        <f>'Penguin - Tank Calculations'!$C$42</f>
        <v>40000</v>
      </c>
      <c r="J11" s="94">
        <f>'Penguin - Tank Calculations'!$C$41</f>
        <v>45000</v>
      </c>
      <c r="K11" s="94">
        <f>'Penguin - Tank Calculations'!AI8</f>
        <v>12526.022563364388</v>
      </c>
      <c r="L11" s="100">
        <f t="shared" si="3"/>
        <v>0.87844239028626436</v>
      </c>
      <c r="M11" s="100">
        <f t="shared" si="3"/>
        <v>0.99584503967915605</v>
      </c>
      <c r="N11" s="99" t="s">
        <v>185</v>
      </c>
      <c r="O11" s="94">
        <v>2</v>
      </c>
      <c r="P11" s="97" t="str">
        <f t="shared" si="1"/>
        <v>Outer Wall</v>
      </c>
    </row>
    <row r="12" spans="2:16" ht="15" customHeight="1">
      <c r="B12" s="101">
        <f>IF(C12=C11, B11, B11+1)</f>
        <v>2</v>
      </c>
      <c r="C12" s="97" t="s">
        <v>91</v>
      </c>
      <c r="D12" s="97" t="s">
        <v>235</v>
      </c>
      <c r="E12" s="98" t="s">
        <v>183</v>
      </c>
      <c r="F12" s="98" t="s">
        <v>187</v>
      </c>
      <c r="G12" s="99">
        <v>1.7</v>
      </c>
      <c r="H12" s="99">
        <v>1.8</v>
      </c>
      <c r="I12" s="94">
        <f>'Penguin - Tank Calculations'!$C$42</f>
        <v>40000</v>
      </c>
      <c r="J12" s="94">
        <f>'Penguin - Tank Calculations'!$C$41</f>
        <v>45000</v>
      </c>
      <c r="K12" s="94">
        <f>'Penguin - Tank Calculations'!S12</f>
        <v>399371.61135729682</v>
      </c>
      <c r="L12" s="100">
        <f t="shared" si="3"/>
        <v>-0.941083915091663</v>
      </c>
      <c r="M12" s="100">
        <f t="shared" si="3"/>
        <v>-0.93740165978489187</v>
      </c>
      <c r="N12" s="99" t="s">
        <v>185</v>
      </c>
      <c r="O12" s="94">
        <v>2</v>
      </c>
      <c r="P12" s="97" t="str">
        <f>C12</f>
        <v>Outer Wall</v>
      </c>
    </row>
    <row r="13" spans="2:16" ht="15" customHeight="1">
      <c r="B13" s="101">
        <f t="shared" si="2"/>
        <v>3</v>
      </c>
      <c r="C13" s="97" t="s">
        <v>92</v>
      </c>
      <c r="D13" s="97" t="s">
        <v>226</v>
      </c>
      <c r="E13" s="98" t="s">
        <v>183</v>
      </c>
      <c r="F13" s="98" t="s">
        <v>184</v>
      </c>
      <c r="G13" s="99">
        <v>1.8</v>
      </c>
      <c r="H13" s="99">
        <v>2</v>
      </c>
      <c r="I13" s="94">
        <f>'Penguin - Tank Calculations'!$C$42</f>
        <v>40000</v>
      </c>
      <c r="J13" s="94">
        <f>'Penguin - Tank Calculations'!$C$41</f>
        <v>45000</v>
      </c>
      <c r="K13" s="94">
        <f>'Penguin - Tank Calculations'!G34</f>
        <v>35</v>
      </c>
      <c r="L13" s="100" t="s">
        <v>6</v>
      </c>
      <c r="M13" s="100" t="s">
        <v>6</v>
      </c>
      <c r="N13" s="99" t="s">
        <v>185</v>
      </c>
      <c r="O13" s="94">
        <v>1</v>
      </c>
      <c r="P13" s="97" t="str">
        <f t="shared" si="1"/>
        <v>Inner Wall</v>
      </c>
    </row>
    <row r="14" spans="2:16" ht="15" customHeight="1">
      <c r="B14" s="101">
        <f t="shared" si="2"/>
        <v>3</v>
      </c>
      <c r="C14" s="97" t="s">
        <v>92</v>
      </c>
      <c r="D14" s="97" t="s">
        <v>227</v>
      </c>
      <c r="E14" s="98" t="s">
        <v>183</v>
      </c>
      <c r="F14" s="98" t="s">
        <v>184</v>
      </c>
      <c r="G14" s="99">
        <v>1.8</v>
      </c>
      <c r="H14" s="99">
        <v>2</v>
      </c>
      <c r="I14" s="94">
        <f>'Penguin - Tank Calculations'!$C$42</f>
        <v>40000</v>
      </c>
      <c r="J14" s="94">
        <f>'Penguin - Tank Calculations'!$C$41</f>
        <v>45000</v>
      </c>
      <c r="K14" s="94">
        <f>'Penguin - Tank Calculations'!G32</f>
        <v>75</v>
      </c>
      <c r="L14" s="100" t="s">
        <v>6</v>
      </c>
      <c r="M14" s="100" t="s">
        <v>6</v>
      </c>
      <c r="N14" s="99" t="s">
        <v>185</v>
      </c>
      <c r="O14" s="94">
        <v>1</v>
      </c>
      <c r="P14" s="97" t="str">
        <f t="shared" si="1"/>
        <v>Inner Wall</v>
      </c>
    </row>
    <row r="15" spans="2:16" ht="15" customHeight="1">
      <c r="B15" s="101">
        <f t="shared" si="2"/>
        <v>3</v>
      </c>
      <c r="C15" s="97" t="s">
        <v>92</v>
      </c>
      <c r="D15" s="97" t="s">
        <v>228</v>
      </c>
      <c r="E15" s="98" t="s">
        <v>183</v>
      </c>
      <c r="F15" s="98" t="s">
        <v>184</v>
      </c>
      <c r="G15" s="99">
        <v>1.8</v>
      </c>
      <c r="H15" s="99">
        <v>2</v>
      </c>
      <c r="I15" s="94">
        <f>'Penguin - Tank Calculations'!$C$42</f>
        <v>40000</v>
      </c>
      <c r="J15" s="94">
        <f>'Penguin - Tank Calculations'!$C$41</f>
        <v>45000</v>
      </c>
      <c r="K15" s="94">
        <f>'Penguin - Tank Calculations'!O27</f>
        <v>6187.7732186385965</v>
      </c>
      <c r="L15" s="100" t="s">
        <v>6</v>
      </c>
      <c r="M15" s="100" t="s">
        <v>6</v>
      </c>
      <c r="N15" s="99" t="s">
        <v>185</v>
      </c>
      <c r="O15" s="94">
        <v>1</v>
      </c>
      <c r="P15" s="97" t="str">
        <f t="shared" si="1"/>
        <v>Inner Wall</v>
      </c>
    </row>
    <row r="16" spans="2:16" ht="15" customHeight="1">
      <c r="B16" s="101">
        <f t="shared" si="2"/>
        <v>4</v>
      </c>
      <c r="C16" s="97" t="s">
        <v>82</v>
      </c>
      <c r="D16" s="97" t="s">
        <v>224</v>
      </c>
      <c r="E16" s="98" t="s">
        <v>183</v>
      </c>
      <c r="F16" s="98" t="s">
        <v>184</v>
      </c>
      <c r="G16" s="99">
        <v>1.8</v>
      </c>
      <c r="H16" s="99">
        <v>2</v>
      </c>
      <c r="I16" s="94">
        <f>'Penguin - Tank Calculations'!$C$42</f>
        <v>40000</v>
      </c>
      <c r="J16" s="94">
        <f>'Penguin - Tank Calculations'!$C$41</f>
        <v>45000</v>
      </c>
      <c r="K16" s="94">
        <f>'Penguin - Tank Calculations'!K11</f>
        <v>514.83486230733592</v>
      </c>
      <c r="L16" s="100">
        <f>(I16/($K16 * G16)) - 1</f>
        <v>42.163786777431632</v>
      </c>
      <c r="M16" s="100">
        <f>(J16/($K16 * H16)) - 1</f>
        <v>42.703334112149527</v>
      </c>
      <c r="N16" s="99" t="s">
        <v>185</v>
      </c>
      <c r="O16" s="94">
        <v>1</v>
      </c>
      <c r="P16" s="97" t="str">
        <f t="shared" si="1"/>
        <v>Bottom Bulkhead</v>
      </c>
    </row>
    <row r="17" spans="2:22" ht="15" customHeight="1">
      <c r="B17" s="101">
        <f t="shared" si="2"/>
        <v>4</v>
      </c>
      <c r="C17" s="97" t="s">
        <v>82</v>
      </c>
      <c r="D17" s="97" t="s">
        <v>233</v>
      </c>
      <c r="E17" s="98" t="s">
        <v>183</v>
      </c>
      <c r="F17" s="98" t="s">
        <v>184</v>
      </c>
      <c r="G17" s="99">
        <v>1.8</v>
      </c>
      <c r="H17" s="99">
        <v>2</v>
      </c>
      <c r="I17" s="94">
        <f>'Penguin - Tank Calculations'!$C$42</f>
        <v>40000</v>
      </c>
      <c r="J17" s="94">
        <f>'Penguin - Tank Calculations'!$C$41</f>
        <v>45000</v>
      </c>
      <c r="K17" s="94">
        <f>'Penguin - Tank Calculations'!AA23</f>
        <v>3522.538064536308</v>
      </c>
      <c r="L17" s="100">
        <f>(I17/($K17 * G17)) - 1</f>
        <v>5.3085825660616281</v>
      </c>
      <c r="M17" s="100">
        <f>(J17/($K17 * H17)) - 1</f>
        <v>5.3874398481373982</v>
      </c>
      <c r="N17" s="99" t="s">
        <v>185</v>
      </c>
      <c r="O17" s="94">
        <v>1</v>
      </c>
      <c r="P17" s="97" t="str">
        <f t="shared" si="1"/>
        <v>Bottom Bulkhead</v>
      </c>
    </row>
    <row r="18" spans="2:22" ht="15" customHeight="1">
      <c r="B18" s="101">
        <f t="shared" ref="B18" si="4">IF(C18=C17, B17, B17+1)</f>
        <v>5</v>
      </c>
      <c r="C18" s="97" t="s">
        <v>188</v>
      </c>
      <c r="D18" s="97" t="s">
        <v>128</v>
      </c>
      <c r="E18" s="98" t="s">
        <v>183</v>
      </c>
      <c r="F18" s="98" t="s">
        <v>184</v>
      </c>
      <c r="G18" s="99">
        <v>1.8</v>
      </c>
      <c r="H18" s="99">
        <v>2</v>
      </c>
      <c r="I18" s="94" t="s">
        <v>6</v>
      </c>
      <c r="J18" s="94">
        <f>'Penguin - Tank Calculations'!C65</f>
        <v>69282.032302755091</v>
      </c>
      <c r="K18" s="94">
        <f>'Penguin - Tank Calculations'!W10</f>
        <v>26084.799222989313</v>
      </c>
      <c r="L18" s="100" t="s">
        <v>6</v>
      </c>
      <c r="M18" s="100">
        <f>(J18/($K18 * H18)) - 1</f>
        <v>0.32801544130143734</v>
      </c>
      <c r="N18" s="99" t="s">
        <v>185</v>
      </c>
      <c r="O18" s="94">
        <v>1</v>
      </c>
      <c r="P18" s="97" t="str">
        <f t="shared" si="1"/>
        <v>Tanks Bolts</v>
      </c>
    </row>
    <row r="20" spans="2:22" ht="15" customHeight="1">
      <c r="C20" s="80" t="s">
        <v>189</v>
      </c>
      <c r="D20" s="80" t="s">
        <v>190</v>
      </c>
    </row>
    <row r="23" spans="2:22" ht="15" customHeight="1" thickBot="1">
      <c r="S23" s="81" t="s">
        <v>191</v>
      </c>
      <c r="T23" s="81" t="s">
        <v>192</v>
      </c>
      <c r="U23" s="81" t="s">
        <v>193</v>
      </c>
      <c r="V23" s="81" t="s">
        <v>194</v>
      </c>
    </row>
    <row r="24" spans="2:22" ht="15" customHeight="1">
      <c r="S24" s="82" t="s">
        <v>195</v>
      </c>
      <c r="T24" s="83" t="s">
        <v>196</v>
      </c>
      <c r="U24" s="84" t="s">
        <v>197</v>
      </c>
      <c r="V24" s="85" t="s">
        <v>198</v>
      </c>
    </row>
    <row r="25" spans="2:22" ht="15" customHeight="1">
      <c r="S25" s="86" t="s">
        <v>199</v>
      </c>
      <c r="T25" s="87" t="s">
        <v>196</v>
      </c>
      <c r="U25" s="88" t="s">
        <v>200</v>
      </c>
      <c r="V25" s="86" t="s">
        <v>201</v>
      </c>
    </row>
    <row r="26" spans="2:22" ht="15" customHeight="1">
      <c r="S26" s="86" t="s">
        <v>202</v>
      </c>
      <c r="T26" s="87" t="s">
        <v>196</v>
      </c>
      <c r="U26" s="89" t="s">
        <v>203</v>
      </c>
      <c r="V26" s="86"/>
    </row>
    <row r="27" spans="2:22" ht="30" customHeight="1">
      <c r="S27" s="62" t="s">
        <v>204</v>
      </c>
      <c r="T27" s="87" t="s">
        <v>196</v>
      </c>
      <c r="U27" s="89" t="s">
        <v>203</v>
      </c>
      <c r="V27" s="86"/>
    </row>
    <row r="28" spans="2:22" ht="15" customHeight="1">
      <c r="S28" s="86" t="s">
        <v>205</v>
      </c>
      <c r="T28" s="87" t="s">
        <v>196</v>
      </c>
      <c r="U28" s="89" t="s">
        <v>206</v>
      </c>
      <c r="V28" s="86"/>
    </row>
    <row r="29" spans="2:22" ht="15" customHeight="1">
      <c r="S29" s="29" t="s">
        <v>207</v>
      </c>
      <c r="T29" s="90" t="s">
        <v>208</v>
      </c>
      <c r="U29" s="91" t="s">
        <v>183</v>
      </c>
      <c r="V29" s="29"/>
    </row>
  </sheetData>
  <conditionalFormatting sqref="C3:C18 P3:P18">
    <cfRule type="expression" dxfId="3" priority="1">
      <formula>ISODD($B3)</formula>
    </cfRule>
    <cfRule type="expression" dxfId="2" priority="2">
      <formula>ISEVEN($B3)</formula>
    </cfRule>
    <cfRule type="expression" dxfId="1" priority="3">
      <formula>$B3=$B2</formula>
    </cfRule>
  </conditionalFormatting>
  <conditionalFormatting sqref="L3:M18">
    <cfRule type="cellIs" dxfId="0" priority="11" operator="lessThan">
      <formula>0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e63b9-3c3b-46fb-8743-c98554b1959f">
      <Terms xmlns="http://schemas.microsoft.com/office/infopath/2007/PartnerControls"/>
    </lcf76f155ced4ddcb4097134ff3c332f>
    <TaxCatchAll xmlns="52b6c8c0-abee-431c-a651-19e8735a4a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8058AE69133C4DAA82659413642138" ma:contentTypeVersion="16" ma:contentTypeDescription="Create a new document." ma:contentTypeScope="" ma:versionID="33f68b79b46bf072261726b4655ebc83">
  <xsd:schema xmlns:xsd="http://www.w3.org/2001/XMLSchema" xmlns:xs="http://www.w3.org/2001/XMLSchema" xmlns:p="http://schemas.microsoft.com/office/2006/metadata/properties" xmlns:ns2="37de63b9-3c3b-46fb-8743-c98554b1959f" xmlns:ns3="52b6c8c0-abee-431c-a651-19e8735a4a5c" targetNamespace="http://schemas.microsoft.com/office/2006/metadata/properties" ma:root="true" ma:fieldsID="a27a88820c56b317ea7fc9ace5f6f4ee" ns2:_="" ns3:_="">
    <xsd:import namespace="37de63b9-3c3b-46fb-8743-c98554b1959f"/>
    <xsd:import namespace="52b6c8c0-abee-431c-a651-19e8735a4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e63b9-3c3b-46fb-8743-c98554b19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6c8c0-abee-431c-a651-19e8735a4a5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e0243ba-d3a5-4ece-ab12-db6165ad3991}" ma:internalName="TaxCatchAll" ma:showField="CatchAllData" ma:web="52b6c8c0-abee-431c-a651-19e8735a4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20A23-ACEE-4D73-BE09-F947E9914619}">
  <ds:schemaRefs>
    <ds:schemaRef ds:uri="http://purl.org/dc/dcmitype/"/>
    <ds:schemaRef ds:uri="52b6c8c0-abee-431c-a651-19e8735a4a5c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37de63b9-3c3b-46fb-8743-c98554b1959f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133A28D-28B7-40A8-AF54-D2DE91600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e63b9-3c3b-46fb-8743-c98554b1959f"/>
    <ds:schemaRef ds:uri="52b6c8c0-abee-431c-a651-19e8735a4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FED4EB-D655-4B5C-9215-1A0E1FD278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Penguin - Tank Calculations</vt:lpstr>
      <vt:lpstr>CDR 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2025-03-28T06:04:21Z</dcterms:created>
  <dcterms:modified xsi:type="dcterms:W3CDTF">2025-10-13T02:02:19Z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0x0101002F8058AE69133C4DAA82659413642138</vt:lpwstr>
  </property>
  <property fmtid="{D5CDD505-2E9C-101B-9397-08002B2CF9AE}" pid="3" name="MediaServiceImageTags">
    <vt:lpwstr/>
  </property>
</Properties>
</file>