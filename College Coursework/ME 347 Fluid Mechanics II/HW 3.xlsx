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Past Classes/ME 347 Fluid Mechanics II/Homework/"/>
    </mc:Choice>
  </mc:AlternateContent>
  <xr:revisionPtr revIDLastSave="1984" documentId="11_F25DC773A252ABDACC10481C915C758A5ADE58EE" xr6:coauthVersionLast="47" xr6:coauthVersionMax="47" xr10:uidLastSave="{7ACA3EC8-223D-1144-9EAD-6DE936EC3E47}"/>
  <bookViews>
    <workbookView xWindow="0" yWindow="500" windowWidth="25760" windowHeight="17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 a="1"/>
  <c r="M19" i="1" s="1"/>
  <c r="AX41" i="1" a="1"/>
  <c r="AX41" i="1" s="1"/>
  <c r="AX44" i="1" s="1"/>
  <c r="AZ44" i="1"/>
  <c r="AY44" i="1"/>
  <c r="AY46" i="1" s="1"/>
  <c r="AY47" i="1" s="1"/>
  <c r="AY5" i="1" s="1"/>
  <c r="AY32" i="1"/>
  <c r="R64" i="1"/>
  <c r="AV40" i="1"/>
  <c r="AV38" i="1"/>
  <c r="AC20" i="1"/>
  <c r="AN40" i="1"/>
  <c r="M20" i="1" a="1"/>
  <c r="M20" i="1" s="1"/>
  <c r="M6" i="1" a="1"/>
  <c r="M6" i="1" s="1"/>
  <c r="M5" i="1" a="1"/>
  <c r="M5" i="1" s="1"/>
  <c r="R62" i="1"/>
  <c r="AO9" i="1"/>
  <c r="AN9" i="1"/>
  <c r="AO8" i="1"/>
  <c r="AN8" i="1"/>
  <c r="AO7" i="1"/>
  <c r="AN7" i="1"/>
  <c r="AO6" i="1"/>
  <c r="AN6" i="1"/>
  <c r="AO16" i="1"/>
  <c r="AQ16" i="1"/>
  <c r="AD20" i="1"/>
  <c r="AO40" i="1" s="1"/>
  <c r="AC14" i="1"/>
  <c r="AD14" i="1" s="1"/>
  <c r="N40" i="1"/>
  <c r="N39" i="1"/>
  <c r="L40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66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" i="1"/>
  <c r="C7" i="1"/>
  <c r="AY15" i="1" l="1"/>
  <c r="AY14" i="1"/>
  <c r="AX13" i="1"/>
  <c r="AW28" i="1" s="1"/>
  <c r="AY12" i="1"/>
  <c r="AX11" i="1"/>
  <c r="AW26" i="1" s="1"/>
  <c r="AY11" i="1"/>
  <c r="AX15" i="1"/>
  <c r="AW30" i="1" s="1"/>
  <c r="AX12" i="1"/>
  <c r="AW27" i="1" s="1"/>
  <c r="AY16" i="1"/>
  <c r="AX16" i="1"/>
  <c r="AW31" i="1" s="1"/>
  <c r="AX10" i="1"/>
  <c r="AX14" i="1"/>
  <c r="AW29" i="1" s="1"/>
  <c r="AY13" i="1"/>
  <c r="AY10" i="1"/>
  <c r="AX46" i="1"/>
  <c r="AX47" i="1" s="1"/>
  <c r="N28" i="1"/>
  <c r="N27" i="1"/>
  <c r="N26" i="1"/>
  <c r="N29" i="1"/>
  <c r="N25" i="1"/>
  <c r="N24" i="1"/>
  <c r="N15" i="1"/>
  <c r="N14" i="1"/>
  <c r="N13" i="1"/>
  <c r="O13" i="1" s="1"/>
  <c r="N12" i="1"/>
  <c r="N11" i="1"/>
  <c r="O11" i="1" s="1"/>
  <c r="N10" i="1"/>
  <c r="M11" i="1"/>
  <c r="M14" i="1"/>
  <c r="M15" i="1"/>
  <c r="M10" i="1"/>
  <c r="M13" i="1"/>
  <c r="M12" i="1"/>
  <c r="M27" i="1"/>
  <c r="M29" i="1"/>
  <c r="M28" i="1"/>
  <c r="M24" i="1"/>
  <c r="M25" i="1"/>
  <c r="M26" i="1"/>
  <c r="AX17" i="1"/>
  <c r="AW32" i="1" s="1"/>
  <c r="S5" i="1"/>
  <c r="AX20" i="1" l="1" a="1"/>
  <c r="AX20" i="1" s="1"/>
  <c r="AW25" i="1"/>
  <c r="O26" i="1"/>
  <c r="O24" i="1"/>
  <c r="O28" i="1"/>
  <c r="S62" i="1"/>
  <c r="O25" i="1"/>
  <c r="O27" i="1"/>
  <c r="O12" i="1"/>
  <c r="O10" i="1"/>
  <c r="O14" i="1"/>
  <c r="AE14" i="1"/>
  <c r="O15" i="1"/>
  <c r="O29" i="1"/>
  <c r="M40" i="1"/>
  <c r="M39" i="1"/>
  <c r="O40" i="1"/>
  <c r="AE20" i="1"/>
  <c r="AG20" i="1" s="1"/>
  <c r="AH20" i="1" s="1"/>
  <c r="BB6" i="1" s="1"/>
  <c r="AQ40" i="1"/>
  <c r="R63" i="1"/>
  <c r="AP40" i="1"/>
  <c r="E296" i="1"/>
  <c r="E264" i="1"/>
  <c r="E232" i="1"/>
  <c r="E200" i="1"/>
  <c r="E168" i="1"/>
  <c r="E136" i="1"/>
  <c r="E104" i="1"/>
  <c r="E72" i="1"/>
  <c r="E40" i="1"/>
  <c r="E8" i="1"/>
  <c r="E226" i="1"/>
  <c r="E225" i="1"/>
  <c r="E256" i="1"/>
  <c r="E32" i="1"/>
  <c r="E287" i="1"/>
  <c r="E31" i="1"/>
  <c r="E190" i="1"/>
  <c r="E156" i="1"/>
  <c r="E17" i="1"/>
  <c r="E111" i="1"/>
  <c r="E78" i="1"/>
  <c r="E204" i="1"/>
  <c r="E298" i="1"/>
  <c r="E105" i="1"/>
  <c r="E295" i="1"/>
  <c r="E263" i="1"/>
  <c r="E231" i="1"/>
  <c r="E199" i="1"/>
  <c r="E167" i="1"/>
  <c r="E135" i="1"/>
  <c r="E103" i="1"/>
  <c r="E71" i="1"/>
  <c r="E39" i="1"/>
  <c r="E7" i="1"/>
  <c r="E290" i="1"/>
  <c r="E66" i="1"/>
  <c r="E289" i="1"/>
  <c r="E33" i="1"/>
  <c r="E288" i="1"/>
  <c r="E127" i="1"/>
  <c r="E221" i="1"/>
  <c r="E284" i="1"/>
  <c r="E146" i="1"/>
  <c r="E206" i="1"/>
  <c r="E10" i="1"/>
  <c r="E137" i="1"/>
  <c r="E294" i="1"/>
  <c r="E262" i="1"/>
  <c r="E230" i="1"/>
  <c r="E198" i="1"/>
  <c r="E166" i="1"/>
  <c r="E134" i="1"/>
  <c r="E102" i="1"/>
  <c r="E70" i="1"/>
  <c r="E38" i="1"/>
  <c r="E6" i="1"/>
  <c r="E194" i="1"/>
  <c r="E97" i="1"/>
  <c r="E192" i="1"/>
  <c r="E223" i="1"/>
  <c r="E30" i="1"/>
  <c r="E93" i="1"/>
  <c r="E92" i="1"/>
  <c r="E177" i="1"/>
  <c r="E141" i="1"/>
  <c r="E107" i="1"/>
  <c r="E293" i="1"/>
  <c r="E261" i="1"/>
  <c r="E229" i="1"/>
  <c r="E197" i="1"/>
  <c r="E165" i="1"/>
  <c r="E133" i="1"/>
  <c r="E101" i="1"/>
  <c r="E69" i="1"/>
  <c r="E37" i="1"/>
  <c r="E130" i="1"/>
  <c r="E257" i="1"/>
  <c r="E161" i="1"/>
  <c r="E128" i="1"/>
  <c r="E255" i="1"/>
  <c r="E62" i="1"/>
  <c r="E124" i="1"/>
  <c r="E16" i="1"/>
  <c r="E45" i="1"/>
  <c r="E235" i="1"/>
  <c r="E42" i="1"/>
  <c r="E265" i="1"/>
  <c r="E292" i="1"/>
  <c r="E260" i="1"/>
  <c r="E228" i="1"/>
  <c r="E196" i="1"/>
  <c r="E164" i="1"/>
  <c r="E132" i="1"/>
  <c r="E100" i="1"/>
  <c r="E68" i="1"/>
  <c r="E36" i="1"/>
  <c r="E98" i="1"/>
  <c r="E193" i="1"/>
  <c r="E65" i="1"/>
  <c r="E160" i="1"/>
  <c r="E95" i="1"/>
  <c r="E126" i="1"/>
  <c r="E253" i="1"/>
  <c r="E188" i="1"/>
  <c r="E81" i="1"/>
  <c r="E175" i="1"/>
  <c r="E46" i="1"/>
  <c r="E108" i="1"/>
  <c r="E74" i="1"/>
  <c r="E73" i="1"/>
  <c r="E291" i="1"/>
  <c r="E259" i="1"/>
  <c r="E227" i="1"/>
  <c r="E195" i="1"/>
  <c r="E163" i="1"/>
  <c r="E131" i="1"/>
  <c r="E99" i="1"/>
  <c r="E67" i="1"/>
  <c r="E35" i="1"/>
  <c r="E258" i="1"/>
  <c r="E162" i="1"/>
  <c r="E34" i="1"/>
  <c r="E129" i="1"/>
  <c r="E224" i="1"/>
  <c r="E64" i="1"/>
  <c r="E94" i="1"/>
  <c r="E285" i="1"/>
  <c r="E252" i="1"/>
  <c r="E18" i="1"/>
  <c r="E176" i="1"/>
  <c r="E110" i="1"/>
  <c r="E268" i="1"/>
  <c r="E159" i="1"/>
  <c r="E222" i="1"/>
  <c r="E157" i="1"/>
  <c r="E144" i="1"/>
  <c r="E170" i="1"/>
  <c r="E41" i="1"/>
  <c r="E63" i="1"/>
  <c r="E158" i="1"/>
  <c r="E61" i="1"/>
  <c r="E47" i="1"/>
  <c r="E96" i="1"/>
  <c r="E286" i="1"/>
  <c r="E29" i="1"/>
  <c r="E28" i="1"/>
  <c r="E112" i="1"/>
  <c r="E191" i="1"/>
  <c r="E189" i="1"/>
  <c r="E80" i="1"/>
  <c r="E254" i="1"/>
  <c r="E60" i="1"/>
  <c r="E114" i="1"/>
  <c r="E205" i="1"/>
  <c r="E125" i="1"/>
  <c r="E241" i="1"/>
  <c r="E76" i="1"/>
  <c r="E138" i="1"/>
  <c r="E220" i="1"/>
  <c r="E77" i="1"/>
  <c r="E75" i="1"/>
  <c r="E283" i="1"/>
  <c r="E251" i="1"/>
  <c r="E219" i="1"/>
  <c r="E187" i="1"/>
  <c r="E155" i="1"/>
  <c r="E123" i="1"/>
  <c r="E91" i="1"/>
  <c r="E59" i="1"/>
  <c r="E27" i="1"/>
  <c r="E54" i="1"/>
  <c r="E82" i="1"/>
  <c r="E240" i="1"/>
  <c r="E142" i="1"/>
  <c r="E234" i="1"/>
  <c r="E282" i="1"/>
  <c r="E250" i="1"/>
  <c r="E218" i="1"/>
  <c r="E186" i="1"/>
  <c r="E154" i="1"/>
  <c r="E122" i="1"/>
  <c r="E90" i="1"/>
  <c r="E58" i="1"/>
  <c r="E26" i="1"/>
  <c r="E48" i="1"/>
  <c r="E270" i="1"/>
  <c r="E281" i="1"/>
  <c r="E249" i="1"/>
  <c r="E217" i="1"/>
  <c r="E185" i="1"/>
  <c r="E153" i="1"/>
  <c r="E121" i="1"/>
  <c r="E89" i="1"/>
  <c r="E57" i="1"/>
  <c r="E25" i="1"/>
  <c r="E88" i="1"/>
  <c r="E22" i="1"/>
  <c r="E209" i="1"/>
  <c r="E303" i="1"/>
  <c r="E301" i="1"/>
  <c r="E299" i="1"/>
  <c r="E297" i="1"/>
  <c r="E280" i="1"/>
  <c r="E248" i="1"/>
  <c r="E216" i="1"/>
  <c r="E184" i="1"/>
  <c r="E152" i="1"/>
  <c r="E120" i="1"/>
  <c r="E56" i="1"/>
  <c r="E24" i="1"/>
  <c r="E113" i="1"/>
  <c r="E13" i="1"/>
  <c r="E139" i="1"/>
  <c r="E279" i="1"/>
  <c r="E247" i="1"/>
  <c r="E215" i="1"/>
  <c r="E183" i="1"/>
  <c r="E151" i="1"/>
  <c r="E119" i="1"/>
  <c r="E87" i="1"/>
  <c r="E55" i="1"/>
  <c r="E23" i="1"/>
  <c r="E15" i="1"/>
  <c r="E174" i="1"/>
  <c r="E236" i="1"/>
  <c r="E278" i="1"/>
  <c r="E246" i="1"/>
  <c r="E214" i="1"/>
  <c r="E182" i="1"/>
  <c r="E150" i="1"/>
  <c r="E118" i="1"/>
  <c r="E86" i="1"/>
  <c r="E50" i="1"/>
  <c r="E208" i="1"/>
  <c r="E238" i="1"/>
  <c r="E172" i="1"/>
  <c r="E266" i="1"/>
  <c r="E169" i="1"/>
  <c r="E277" i="1"/>
  <c r="E245" i="1"/>
  <c r="E213" i="1"/>
  <c r="E181" i="1"/>
  <c r="E149" i="1"/>
  <c r="E117" i="1"/>
  <c r="E85" i="1"/>
  <c r="E53" i="1"/>
  <c r="E21" i="1"/>
  <c r="E305" i="1"/>
  <c r="E239" i="1"/>
  <c r="E173" i="1"/>
  <c r="E267" i="1"/>
  <c r="E276" i="1"/>
  <c r="E244" i="1"/>
  <c r="E212" i="1"/>
  <c r="E180" i="1"/>
  <c r="E148" i="1"/>
  <c r="E116" i="1"/>
  <c r="E84" i="1"/>
  <c r="E52" i="1"/>
  <c r="E20" i="1"/>
  <c r="E49" i="1"/>
  <c r="E207" i="1"/>
  <c r="E109" i="1"/>
  <c r="E171" i="1"/>
  <c r="E275" i="1"/>
  <c r="E243" i="1"/>
  <c r="E211" i="1"/>
  <c r="E179" i="1"/>
  <c r="E147" i="1"/>
  <c r="E115" i="1"/>
  <c r="E83" i="1"/>
  <c r="E51" i="1"/>
  <c r="E19" i="1"/>
  <c r="E273" i="1"/>
  <c r="E143" i="1"/>
  <c r="E12" i="1"/>
  <c r="E11" i="1"/>
  <c r="E106" i="1"/>
  <c r="E306" i="1"/>
  <c r="E274" i="1"/>
  <c r="E242" i="1"/>
  <c r="E210" i="1"/>
  <c r="E178" i="1"/>
  <c r="E272" i="1"/>
  <c r="E140" i="1"/>
  <c r="E202" i="1"/>
  <c r="E145" i="1"/>
  <c r="E79" i="1"/>
  <c r="E269" i="1"/>
  <c r="E201" i="1"/>
  <c r="E304" i="1"/>
  <c r="E14" i="1"/>
  <c r="E300" i="1"/>
  <c r="E233" i="1"/>
  <c r="E271" i="1"/>
  <c r="E302" i="1"/>
  <c r="E237" i="1"/>
  <c r="E43" i="1"/>
  <c r="E44" i="1"/>
  <c r="E9" i="1"/>
  <c r="E203" i="1"/>
  <c r="AF14" i="1"/>
  <c r="AH14" i="1" s="1"/>
  <c r="S10" i="1"/>
  <c r="AS40" i="1" l="1"/>
  <c r="AT40" i="1" s="1"/>
  <c r="BD6" i="1" s="1"/>
  <c r="S63" i="1"/>
  <c r="AR40" i="1"/>
  <c r="AD9" i="1"/>
  <c r="AE9" i="1" s="1"/>
  <c r="AF9" i="1" s="1"/>
  <c r="AG9" i="1" s="1"/>
  <c r="AH9" i="1" s="1"/>
  <c r="AI9" i="1" s="1"/>
  <c r="AJ9" i="1" s="1"/>
  <c r="AK9" i="1" s="1"/>
  <c r="AL9" i="1" s="1"/>
  <c r="AA5" i="1" s="1"/>
  <c r="AV37" i="1" l="1"/>
  <c r="F190" i="1"/>
  <c r="F240" i="1"/>
  <c r="F221" i="1"/>
  <c r="F257" i="1"/>
  <c r="F297" i="1"/>
  <c r="F199" i="1"/>
  <c r="F101" i="1"/>
  <c r="F28" i="1"/>
  <c r="F285" i="1"/>
  <c r="F30" i="1"/>
  <c r="F226" i="1"/>
  <c r="F276" i="1"/>
  <c r="F188" i="1"/>
  <c r="F208" i="1"/>
  <c r="F187" i="1"/>
  <c r="F94" i="1"/>
  <c r="F265" i="1"/>
  <c r="F167" i="1"/>
  <c r="F69" i="1"/>
  <c r="F218" i="1"/>
  <c r="F284" i="1"/>
  <c r="F281" i="1"/>
  <c r="F105" i="1"/>
  <c r="F295" i="1"/>
  <c r="F244" i="1"/>
  <c r="F90" i="1"/>
  <c r="F176" i="1"/>
  <c r="F121" i="1"/>
  <c r="F220" i="1"/>
  <c r="F233" i="1"/>
  <c r="F135" i="1"/>
  <c r="F37" i="1"/>
  <c r="F248" i="1"/>
  <c r="F283" i="1"/>
  <c r="F250" i="1"/>
  <c r="F103" i="1"/>
  <c r="F214" i="1"/>
  <c r="F282" i="1"/>
  <c r="F290" i="1"/>
  <c r="F48" i="1"/>
  <c r="F22" i="1"/>
  <c r="F35" i="1"/>
  <c r="F212" i="1"/>
  <c r="F120" i="1"/>
  <c r="F144" i="1"/>
  <c r="F55" i="1"/>
  <c r="F201" i="1"/>
  <c r="F97" i="1"/>
  <c r="F261" i="1"/>
  <c r="F286" i="1"/>
  <c r="F180" i="1"/>
  <c r="F54" i="1"/>
  <c r="F112" i="1"/>
  <c r="F303" i="1"/>
  <c r="F86" i="1"/>
  <c r="F169" i="1"/>
  <c r="F71" i="1"/>
  <c r="F154" i="1"/>
  <c r="F148" i="1"/>
  <c r="F306" i="1"/>
  <c r="F80" i="1"/>
  <c r="F129" i="1"/>
  <c r="F299" i="1"/>
  <c r="F137" i="1"/>
  <c r="F39" i="1"/>
  <c r="F184" i="1"/>
  <c r="F258" i="1"/>
  <c r="F280" i="1"/>
  <c r="F116" i="1"/>
  <c r="F274" i="1"/>
  <c r="F267" i="1"/>
  <c r="F6" i="1"/>
  <c r="F279" i="1"/>
  <c r="F64" i="1"/>
  <c r="F84" i="1"/>
  <c r="F242" i="1"/>
  <c r="F16" i="1"/>
  <c r="F26" i="1"/>
  <c r="F235" i="1"/>
  <c r="F73" i="1"/>
  <c r="F255" i="1"/>
  <c r="F292" i="1"/>
  <c r="F194" i="1"/>
  <c r="F278" i="1"/>
  <c r="F67" i="1"/>
  <c r="F52" i="1"/>
  <c r="F210" i="1"/>
  <c r="F271" i="1"/>
  <c r="F118" i="1"/>
  <c r="F203" i="1"/>
  <c r="F41" i="1"/>
  <c r="F189" i="1"/>
  <c r="F260" i="1"/>
  <c r="F162" i="1"/>
  <c r="F277" i="1"/>
  <c r="F128" i="1"/>
  <c r="F109" i="1"/>
  <c r="F20" i="1"/>
  <c r="F178" i="1"/>
  <c r="F239" i="1"/>
  <c r="F302" i="1"/>
  <c r="F171" i="1"/>
  <c r="F9" i="1"/>
  <c r="F155" i="1"/>
  <c r="F228" i="1"/>
  <c r="F130" i="1"/>
  <c r="F245" i="1"/>
  <c r="F288" i="1"/>
  <c r="F23" i="1"/>
  <c r="F179" i="1"/>
  <c r="F146" i="1"/>
  <c r="F207" i="1"/>
  <c r="F78" i="1"/>
  <c r="F139" i="1"/>
  <c r="F62" i="1"/>
  <c r="F88" i="1"/>
  <c r="F196" i="1"/>
  <c r="F98" i="1"/>
  <c r="F213" i="1"/>
  <c r="F152" i="1"/>
  <c r="F174" i="1"/>
  <c r="F114" i="1"/>
  <c r="F175" i="1"/>
  <c r="F161" i="1"/>
  <c r="F107" i="1"/>
  <c r="F92" i="1"/>
  <c r="F294" i="1"/>
  <c r="F164" i="1"/>
  <c r="F66" i="1"/>
  <c r="F181" i="1"/>
  <c r="F131" i="1"/>
  <c r="F287" i="1"/>
  <c r="F77" i="1"/>
  <c r="F82" i="1"/>
  <c r="F143" i="1"/>
  <c r="F254" i="1"/>
  <c r="F75" i="1"/>
  <c r="F57" i="1"/>
  <c r="F262" i="1"/>
  <c r="F132" i="1"/>
  <c r="F34" i="1"/>
  <c r="F149" i="1"/>
  <c r="F31" i="1"/>
  <c r="F42" i="1"/>
  <c r="F76" i="1"/>
  <c r="F50" i="1"/>
  <c r="F111" i="1"/>
  <c r="F252" i="1"/>
  <c r="F43" i="1"/>
  <c r="F119" i="1"/>
  <c r="F230" i="1"/>
  <c r="F100" i="1"/>
  <c r="F126" i="1"/>
  <c r="F85" i="1"/>
  <c r="F25" i="1"/>
  <c r="F95" i="1"/>
  <c r="F18" i="1"/>
  <c r="F79" i="1"/>
  <c r="F122" i="1"/>
  <c r="F11" i="1"/>
  <c r="F296" i="1"/>
  <c r="F198" i="1"/>
  <c r="F68" i="1"/>
  <c r="F156" i="1"/>
  <c r="F134" i="1"/>
  <c r="F195" i="1"/>
  <c r="F93" i="1"/>
  <c r="F205" i="1"/>
  <c r="F47" i="1"/>
  <c r="F216" i="1"/>
  <c r="F223" i="1"/>
  <c r="F264" i="1"/>
  <c r="F166" i="1"/>
  <c r="F36" i="1"/>
  <c r="F186" i="1"/>
  <c r="F24" i="1"/>
  <c r="F91" i="1"/>
  <c r="F140" i="1"/>
  <c r="F15" i="1"/>
  <c r="F301" i="1"/>
  <c r="F89" i="1"/>
  <c r="F232" i="1"/>
  <c r="F249" i="1"/>
  <c r="F61" i="1"/>
  <c r="F270" i="1"/>
  <c r="F269" i="1"/>
  <c r="F247" i="1"/>
  <c r="F200" i="1"/>
  <c r="F102" i="1"/>
  <c r="F157" i="1"/>
  <c r="F182" i="1"/>
  <c r="F21" i="1"/>
  <c r="F172" i="1"/>
  <c r="F151" i="1"/>
  <c r="F219" i="1"/>
  <c r="F238" i="1"/>
  <c r="F173" i="1"/>
  <c r="F117" i="1"/>
  <c r="F168" i="1"/>
  <c r="F70" i="1"/>
  <c r="F251" i="1"/>
  <c r="F289" i="1"/>
  <c r="F227" i="1"/>
  <c r="F7" i="1"/>
  <c r="F185" i="1"/>
  <c r="F206" i="1"/>
  <c r="F141" i="1"/>
  <c r="F298" i="1"/>
  <c r="F136" i="1"/>
  <c r="F38" i="1"/>
  <c r="F153" i="1"/>
  <c r="F229" i="1"/>
  <c r="F275" i="1"/>
  <c r="F183" i="1"/>
  <c r="F142" i="1"/>
  <c r="F45" i="1"/>
  <c r="F266" i="1"/>
  <c r="F104" i="1"/>
  <c r="F65" i="1"/>
  <c r="F87" i="1"/>
  <c r="F256" i="1"/>
  <c r="F99" i="1"/>
  <c r="F243" i="1"/>
  <c r="F305" i="1"/>
  <c r="F110" i="1"/>
  <c r="F222" i="1"/>
  <c r="F234" i="1"/>
  <c r="F72" i="1"/>
  <c r="F159" i="1"/>
  <c r="F53" i="1"/>
  <c r="F224" i="1"/>
  <c r="F125" i="1"/>
  <c r="F211" i="1"/>
  <c r="F273" i="1"/>
  <c r="F46" i="1"/>
  <c r="F124" i="1"/>
  <c r="F202" i="1"/>
  <c r="F40" i="1"/>
  <c r="F29" i="1"/>
  <c r="F291" i="1"/>
  <c r="F192" i="1"/>
  <c r="F163" i="1"/>
  <c r="F197" i="1"/>
  <c r="F147" i="1"/>
  <c r="F241" i="1"/>
  <c r="F237" i="1"/>
  <c r="F56" i="1"/>
  <c r="F170" i="1"/>
  <c r="F8" i="1"/>
  <c r="F217" i="1"/>
  <c r="F259" i="1"/>
  <c r="F160" i="1"/>
  <c r="F115" i="1"/>
  <c r="F209" i="1"/>
  <c r="F13" i="1"/>
  <c r="F246" i="1"/>
  <c r="F138" i="1"/>
  <c r="F127" i="1"/>
  <c r="F215" i="1"/>
  <c r="F63" i="1"/>
  <c r="F83" i="1"/>
  <c r="F177" i="1"/>
  <c r="F225" i="1"/>
  <c r="F300" i="1"/>
  <c r="F106" i="1"/>
  <c r="F96" i="1"/>
  <c r="F51" i="1"/>
  <c r="F145" i="1"/>
  <c r="F158" i="1"/>
  <c r="F268" i="1"/>
  <c r="F74" i="1"/>
  <c r="F59" i="1"/>
  <c r="F293" i="1"/>
  <c r="F49" i="1"/>
  <c r="F19" i="1"/>
  <c r="F113" i="1"/>
  <c r="F60" i="1"/>
  <c r="F236" i="1"/>
  <c r="F32" i="1"/>
  <c r="F14" i="1"/>
  <c r="F81" i="1"/>
  <c r="F123" i="1"/>
  <c r="F204" i="1"/>
  <c r="F10" i="1"/>
  <c r="F150" i="1"/>
  <c r="F58" i="1"/>
  <c r="F44" i="1"/>
  <c r="F17" i="1"/>
  <c r="F304" i="1"/>
  <c r="F108" i="1"/>
  <c r="F253" i="1"/>
  <c r="F263" i="1"/>
  <c r="F165" i="1"/>
  <c r="F193" i="1"/>
  <c r="F272" i="1"/>
  <c r="F191" i="1"/>
  <c r="F12" i="1"/>
  <c r="F27" i="1"/>
  <c r="F231" i="1"/>
  <c r="F133" i="1"/>
  <c r="F33" i="1"/>
  <c r="D298" i="1"/>
  <c r="D266" i="1"/>
  <c r="D234" i="1"/>
  <c r="D202" i="1"/>
  <c r="D170" i="1"/>
  <c r="D138" i="1"/>
  <c r="D106" i="1"/>
  <c r="D74" i="1"/>
  <c r="D42" i="1"/>
  <c r="D10" i="1"/>
  <c r="D19" i="1"/>
  <c r="D104" i="1"/>
  <c r="D210" i="1"/>
  <c r="D7" i="1"/>
  <c r="D81" i="1"/>
  <c r="D174" i="1"/>
  <c r="D108" i="1"/>
  <c r="D224" i="1"/>
  <c r="D85" i="1"/>
  <c r="D287" i="1"/>
  <c r="D255" i="1"/>
  <c r="D223" i="1"/>
  <c r="D191" i="1"/>
  <c r="D159" i="1"/>
  <c r="D127" i="1"/>
  <c r="D95" i="1"/>
  <c r="D63" i="1"/>
  <c r="D31" i="1"/>
  <c r="D40" i="1"/>
  <c r="D157" i="1"/>
  <c r="D29" i="1"/>
  <c r="D18" i="1"/>
  <c r="D110" i="1"/>
  <c r="D24" i="1"/>
  <c r="D77" i="1"/>
  <c r="D55" i="1"/>
  <c r="D129" i="1"/>
  <c r="D245" i="1"/>
  <c r="D276" i="1"/>
  <c r="D244" i="1"/>
  <c r="D212" i="1"/>
  <c r="D180" i="1"/>
  <c r="D148" i="1"/>
  <c r="D116" i="1"/>
  <c r="D84" i="1"/>
  <c r="D52" i="1"/>
  <c r="D20" i="1"/>
  <c r="D232" i="1"/>
  <c r="D8" i="1"/>
  <c r="D50" i="1"/>
  <c r="D28" i="1"/>
  <c r="D173" i="1"/>
  <c r="D183" i="1"/>
  <c r="D297" i="1"/>
  <c r="D265" i="1"/>
  <c r="D233" i="1"/>
  <c r="D201" i="1"/>
  <c r="D169" i="1"/>
  <c r="D137" i="1"/>
  <c r="D105" i="1"/>
  <c r="D73" i="1"/>
  <c r="D41" i="1"/>
  <c r="D9" i="1"/>
  <c r="D136" i="1"/>
  <c r="D93" i="1"/>
  <c r="D178" i="1"/>
  <c r="D6" i="1"/>
  <c r="AX21" i="1" s="1" a="1"/>
  <c r="AX21" i="1" s="1"/>
  <c r="D49" i="1"/>
  <c r="D206" i="1"/>
  <c r="D109" i="1"/>
  <c r="D87" i="1"/>
  <c r="D286" i="1"/>
  <c r="D254" i="1"/>
  <c r="D222" i="1"/>
  <c r="D190" i="1"/>
  <c r="D158" i="1"/>
  <c r="D126" i="1"/>
  <c r="D94" i="1"/>
  <c r="D62" i="1"/>
  <c r="D30" i="1"/>
  <c r="D61" i="1"/>
  <c r="D68" i="1"/>
  <c r="D131" i="1"/>
  <c r="D193" i="1"/>
  <c r="D275" i="1"/>
  <c r="D243" i="1"/>
  <c r="D211" i="1"/>
  <c r="D179" i="1"/>
  <c r="D147" i="1"/>
  <c r="D115" i="1"/>
  <c r="D83" i="1"/>
  <c r="D51" i="1"/>
  <c r="D60" i="1"/>
  <c r="D17" i="1"/>
  <c r="D142" i="1"/>
  <c r="D216" i="1"/>
  <c r="D76" i="1"/>
  <c r="D118" i="1"/>
  <c r="D107" i="1"/>
  <c r="D296" i="1"/>
  <c r="D264" i="1"/>
  <c r="D200" i="1"/>
  <c r="D168" i="1"/>
  <c r="D72" i="1"/>
  <c r="D146" i="1"/>
  <c r="D288" i="1"/>
  <c r="D285" i="1"/>
  <c r="D253" i="1"/>
  <c r="D221" i="1"/>
  <c r="D189" i="1"/>
  <c r="D125" i="1"/>
  <c r="D171" i="1"/>
  <c r="D306" i="1"/>
  <c r="D274" i="1"/>
  <c r="D242" i="1"/>
  <c r="D114" i="1"/>
  <c r="D82" i="1"/>
  <c r="D113" i="1"/>
  <c r="D184" i="1"/>
  <c r="D295" i="1"/>
  <c r="D263" i="1"/>
  <c r="D231" i="1"/>
  <c r="D199" i="1"/>
  <c r="D167" i="1"/>
  <c r="D135" i="1"/>
  <c r="D103" i="1"/>
  <c r="D71" i="1"/>
  <c r="D39" i="1"/>
  <c r="D194" i="1"/>
  <c r="D140" i="1"/>
  <c r="D117" i="1"/>
  <c r="D284" i="1"/>
  <c r="D252" i="1"/>
  <c r="D220" i="1"/>
  <c r="D188" i="1"/>
  <c r="D156" i="1"/>
  <c r="D124" i="1"/>
  <c r="D92" i="1"/>
  <c r="D78" i="1"/>
  <c r="D204" i="1"/>
  <c r="D21" i="1"/>
  <c r="D305" i="1"/>
  <c r="D273" i="1"/>
  <c r="D241" i="1"/>
  <c r="D209" i="1"/>
  <c r="D177" i="1"/>
  <c r="D145" i="1"/>
  <c r="D12" i="1"/>
  <c r="D128" i="1"/>
  <c r="D294" i="1"/>
  <c r="D262" i="1"/>
  <c r="D230" i="1"/>
  <c r="D198" i="1"/>
  <c r="D166" i="1"/>
  <c r="D134" i="1"/>
  <c r="D102" i="1"/>
  <c r="D70" i="1"/>
  <c r="D38" i="1"/>
  <c r="D27" i="1"/>
  <c r="D14" i="1"/>
  <c r="D192" i="1"/>
  <c r="D283" i="1"/>
  <c r="D251" i="1"/>
  <c r="D219" i="1"/>
  <c r="D187" i="1"/>
  <c r="D155" i="1"/>
  <c r="D123" i="1"/>
  <c r="D91" i="1"/>
  <c r="D59" i="1"/>
  <c r="D46" i="1"/>
  <c r="D152" i="1"/>
  <c r="D45" i="1"/>
  <c r="D98" i="1"/>
  <c r="D172" i="1"/>
  <c r="D22" i="1"/>
  <c r="D256" i="1"/>
  <c r="D149" i="1"/>
  <c r="D304" i="1"/>
  <c r="D272" i="1"/>
  <c r="D240" i="1"/>
  <c r="D208" i="1"/>
  <c r="D176" i="1"/>
  <c r="D144" i="1"/>
  <c r="D112" i="1"/>
  <c r="D80" i="1"/>
  <c r="D48" i="1"/>
  <c r="D16" i="1"/>
  <c r="D15" i="1"/>
  <c r="D120" i="1"/>
  <c r="D34" i="1"/>
  <c r="D54" i="1"/>
  <c r="D32" i="1"/>
  <c r="D293" i="1"/>
  <c r="D261" i="1"/>
  <c r="D229" i="1"/>
  <c r="D197" i="1"/>
  <c r="D165" i="1"/>
  <c r="D133" i="1"/>
  <c r="D101" i="1"/>
  <c r="D69" i="1"/>
  <c r="D37" i="1"/>
  <c r="D141" i="1"/>
  <c r="D33" i="1"/>
  <c r="D282" i="1"/>
  <c r="D250" i="1"/>
  <c r="D218" i="1"/>
  <c r="D186" i="1"/>
  <c r="D154" i="1"/>
  <c r="D122" i="1"/>
  <c r="D90" i="1"/>
  <c r="D58" i="1"/>
  <c r="D26" i="1"/>
  <c r="D132" i="1"/>
  <c r="D67" i="1"/>
  <c r="D44" i="1"/>
  <c r="D65" i="1"/>
  <c r="D303" i="1"/>
  <c r="D271" i="1"/>
  <c r="D239" i="1"/>
  <c r="D207" i="1"/>
  <c r="D175" i="1"/>
  <c r="D143" i="1"/>
  <c r="D111" i="1"/>
  <c r="D79" i="1"/>
  <c r="D47" i="1"/>
  <c r="D100" i="1"/>
  <c r="D88" i="1"/>
  <c r="D235" i="1"/>
  <c r="D160" i="1"/>
  <c r="D292" i="1"/>
  <c r="D260" i="1"/>
  <c r="D228" i="1"/>
  <c r="D196" i="1"/>
  <c r="D164" i="1"/>
  <c r="D36" i="1"/>
  <c r="D237" i="1"/>
  <c r="D119" i="1"/>
  <c r="D139" i="1"/>
  <c r="D281" i="1"/>
  <c r="D249" i="1"/>
  <c r="D217" i="1"/>
  <c r="D185" i="1"/>
  <c r="D153" i="1"/>
  <c r="D121" i="1"/>
  <c r="D89" i="1"/>
  <c r="D57" i="1"/>
  <c r="D25" i="1"/>
  <c r="D35" i="1"/>
  <c r="D13" i="1"/>
  <c r="D66" i="1"/>
  <c r="D11" i="1"/>
  <c r="D302" i="1"/>
  <c r="D270" i="1"/>
  <c r="D238" i="1"/>
  <c r="D162" i="1"/>
  <c r="D75" i="1"/>
  <c r="D291" i="1"/>
  <c r="D259" i="1"/>
  <c r="D227" i="1"/>
  <c r="D195" i="1"/>
  <c r="D163" i="1"/>
  <c r="D99" i="1"/>
  <c r="D56" i="1"/>
  <c r="D280" i="1"/>
  <c r="D248" i="1"/>
  <c r="D203" i="1"/>
  <c r="D301" i="1"/>
  <c r="D269" i="1"/>
  <c r="D205" i="1"/>
  <c r="D96" i="1"/>
  <c r="D53" i="1"/>
  <c r="D290" i="1"/>
  <c r="D258" i="1"/>
  <c r="D226" i="1"/>
  <c r="D130" i="1"/>
  <c r="D86" i="1"/>
  <c r="D279" i="1"/>
  <c r="D247" i="1"/>
  <c r="D215" i="1"/>
  <c r="D151" i="1"/>
  <c r="D23" i="1"/>
  <c r="D161" i="1"/>
  <c r="D64" i="1"/>
  <c r="D300" i="1"/>
  <c r="D268" i="1"/>
  <c r="D236" i="1"/>
  <c r="D267" i="1"/>
  <c r="D277" i="1"/>
  <c r="D289" i="1"/>
  <c r="D257" i="1"/>
  <c r="D225" i="1"/>
  <c r="D97" i="1"/>
  <c r="D181" i="1"/>
  <c r="D278" i="1"/>
  <c r="D246" i="1"/>
  <c r="D214" i="1"/>
  <c r="D182" i="1"/>
  <c r="D150" i="1"/>
  <c r="D43" i="1"/>
  <c r="D299" i="1"/>
  <c r="D213" i="1"/>
  <c r="AY25" i="1" l="1"/>
  <c r="AY31" i="1"/>
  <c r="AY30" i="1"/>
  <c r="AY26" i="1"/>
  <c r="AY29" i="1"/>
  <c r="AY27" i="1"/>
  <c r="AY28" i="1"/>
  <c r="AX25" i="1" l="1"/>
  <c r="AZ25" i="1" s="1"/>
  <c r="AX31" i="1"/>
  <c r="AZ31" i="1" s="1"/>
  <c r="AX27" i="1"/>
  <c r="AZ27" i="1" s="1"/>
  <c r="AX28" i="1"/>
  <c r="AZ28" i="1" s="1"/>
  <c r="AX26" i="1"/>
  <c r="AZ26" i="1" s="1"/>
  <c r="AX30" i="1"/>
  <c r="AZ30" i="1" s="1"/>
  <c r="AX32" i="1"/>
  <c r="AX29" i="1"/>
  <c r="AZ29" i="1" s="1"/>
  <c r="S64" i="1" l="1"/>
  <c r="AZ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R6" authorId="0" shapeId="0" xr:uid="{CB3052E8-8D07-4A3C-A99A-25FEE4146DC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elevation increase</t>
        </r>
      </text>
    </comment>
    <comment ref="AG12" authorId="0" shapeId="0" xr:uid="{4EB0F793-4686-44F2-B5A8-B65D2FA854D2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Kinematic Viscosity from Table A.7
Assuming Temperature of 70 degrees F</t>
        </r>
      </text>
    </comment>
    <comment ref="AN16" authorId="0" shapeId="0" xr:uid="{AA881022-9ECF-4717-8775-495312294029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is the box that is adjusted to find what K valve is when the difference is 0</t>
        </r>
      </text>
    </comment>
    <comment ref="AF18" authorId="0" shapeId="0" xr:uid="{F862FC7A-E754-4BA6-983A-64EE438E7E73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Density of water from Table A.7
Assuming Temperature of 70 degrees F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<sst xmlns="http://schemas.openxmlformats.org/spreadsheetml/2006/main" count="195" uniqueCount="102">
  <si>
    <t>H</t>
  </si>
  <si>
    <t>[ft]</t>
  </si>
  <si>
    <t>Q</t>
  </si>
  <si>
    <t>[gpm]</t>
  </si>
  <si>
    <t>L</t>
  </si>
  <si>
    <t>D</t>
  </si>
  <si>
    <t>[in]</t>
  </si>
  <si>
    <t>𝜂</t>
  </si>
  <si>
    <t>[-]</t>
  </si>
  <si>
    <t>Pump Efficiency</t>
  </si>
  <si>
    <t>Elevation increase</t>
  </si>
  <si>
    <t>Diameter</t>
  </si>
  <si>
    <t>Length of pipe between reservoirs</t>
  </si>
  <si>
    <t>Gate Valve</t>
  </si>
  <si>
    <t>% open</t>
  </si>
  <si>
    <t>90 deg elbow</t>
  </si>
  <si>
    <t>e</t>
  </si>
  <si>
    <t>Pipe Roughness</t>
  </si>
  <si>
    <r>
      <t>K</t>
    </r>
    <r>
      <rPr>
        <b/>
        <vertAlign val="subscript"/>
        <sz val="11"/>
        <color theme="1"/>
        <rFont val="Times New Roman"/>
        <family val="1"/>
      </rPr>
      <t>elbow</t>
    </r>
  </si>
  <si>
    <r>
      <t>K</t>
    </r>
    <r>
      <rPr>
        <b/>
        <vertAlign val="subscript"/>
        <sz val="11"/>
        <color theme="1"/>
        <rFont val="Times New Roman"/>
        <family val="1"/>
      </rPr>
      <t>valve</t>
    </r>
  </si>
  <si>
    <r>
      <t>z</t>
    </r>
    <r>
      <rPr>
        <b/>
        <vertAlign val="subscript"/>
        <sz val="11"/>
        <color theme="1"/>
        <rFont val="Times New Roman"/>
        <family val="1"/>
      </rPr>
      <t>2</t>
    </r>
  </si>
  <si>
    <t>g</t>
  </si>
  <si>
    <t>gravity</t>
  </si>
  <si>
    <r>
      <t>[ft/s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]</t>
    </r>
  </si>
  <si>
    <t>Darcy Friction factor</t>
  </si>
  <si>
    <r>
      <t>f</t>
    </r>
    <r>
      <rPr>
        <b/>
        <vertAlign val="subscript"/>
        <sz val="11"/>
        <color theme="1"/>
        <rFont val="Times New Roman"/>
        <family val="1"/>
      </rPr>
      <t>inital</t>
    </r>
  </si>
  <si>
    <r>
      <t>[ft</t>
    </r>
    <r>
      <rPr>
        <b/>
        <vertAlign val="super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/s]</t>
    </r>
  </si>
  <si>
    <t>Pump Performance</t>
  </si>
  <si>
    <t>System Curve</t>
  </si>
  <si>
    <t>Pump Performance Trendline</t>
  </si>
  <si>
    <t>x</t>
  </si>
  <si>
    <t>x^2</t>
  </si>
  <si>
    <t>x^0</t>
  </si>
  <si>
    <t>Trendline 1</t>
  </si>
  <si>
    <t>System Curve Trendline</t>
  </si>
  <si>
    <t>Trendline 2</t>
  </si>
  <si>
    <t>Trendline #</t>
  </si>
  <si>
    <t>Trendline Name</t>
  </si>
  <si>
    <t>Difference</t>
  </si>
  <si>
    <t>Data -&gt;</t>
  </si>
  <si>
    <t>What-if Analysis -&gt;</t>
  </si>
  <si>
    <t>Goal Seek</t>
  </si>
  <si>
    <t>show the portion around the graph at which the difference changes from positive to negative</t>
  </si>
  <si>
    <t>and set the last input Q to the value near this transition, then in goal seek select the last</t>
  </si>
  <si>
    <t>difference box and set goal to 0 then select the input Q for that row for the cell to be adjusted</t>
  </si>
  <si>
    <t>by the end of the goal seek a value close to the intersection point should be left in Q</t>
  </si>
  <si>
    <t>y</t>
  </si>
  <si>
    <t>Horizontal</t>
  </si>
  <si>
    <t>Vertical</t>
  </si>
  <si>
    <t>Point of Intersection</t>
  </si>
  <si>
    <t>Friction Factor Finder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</si>
  <si>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</si>
  <si>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</si>
  <si>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</si>
  <si>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</si>
  <si>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</si>
  <si>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</si>
  <si>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</si>
  <si>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</si>
  <si>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</si>
  <si>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</si>
  <si>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First Iteration</t>
  </si>
  <si>
    <t>V</t>
  </si>
  <si>
    <t>[ft/s]</t>
  </si>
  <si>
    <t>Re</t>
  </si>
  <si>
    <t>𝜈</t>
  </si>
  <si>
    <t>e/D</t>
  </si>
  <si>
    <r>
      <t>f</t>
    </r>
    <r>
      <rPr>
        <b/>
        <vertAlign val="subscript"/>
        <sz val="11"/>
        <color theme="1"/>
        <rFont val="Times New Roman"/>
        <family val="1"/>
      </rPr>
      <t>iterated</t>
    </r>
  </si>
  <si>
    <t>H (second iteration)</t>
  </si>
  <si>
    <t>H (first iteration</t>
  </si>
  <si>
    <t>Second Iteration</t>
  </si>
  <si>
    <t>From First Iteration</t>
  </si>
  <si>
    <t>H (valve closed)</t>
  </si>
  <si>
    <t>𝜌</t>
  </si>
  <si>
    <r>
      <t>[ft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/s]</t>
    </r>
  </si>
  <si>
    <r>
      <t>[slugs/ft</t>
    </r>
    <r>
      <rPr>
        <b/>
        <vertAlign val="super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]</t>
    </r>
  </si>
  <si>
    <r>
      <t>W</t>
    </r>
    <r>
      <rPr>
        <b/>
        <vertAlign val="subscript"/>
        <sz val="11"/>
        <color theme="1"/>
        <rFont val="Times New Roman"/>
        <family val="1"/>
      </rPr>
      <t>mech</t>
    </r>
  </si>
  <si>
    <t>From Second Iteration</t>
  </si>
  <si>
    <r>
      <t>[ft-lb</t>
    </r>
    <r>
      <rPr>
        <b/>
        <vertAlign val="subscript"/>
        <sz val="11"/>
        <color theme="1"/>
        <rFont val="Times New Roman"/>
        <family val="1"/>
      </rPr>
      <t>f</t>
    </r>
    <r>
      <rPr>
        <b/>
        <sz val="11"/>
        <color theme="1"/>
        <rFont val="Times New Roman"/>
        <family val="1"/>
      </rPr>
      <t>/s]</t>
    </r>
  </si>
  <si>
    <t>[hp]</t>
  </si>
  <si>
    <r>
      <t>K</t>
    </r>
    <r>
      <rPr>
        <b/>
        <vertAlign val="subscript"/>
        <sz val="11"/>
        <color theme="1"/>
        <rFont val="Times New Roman"/>
        <family val="1"/>
      </rPr>
      <t>valve half flow</t>
    </r>
  </si>
  <si>
    <t>Trendline</t>
  </si>
  <si>
    <t>logarithmic</t>
  </si>
  <si>
    <t>Coefficient</t>
  </si>
  <si>
    <t>Power</t>
  </si>
  <si>
    <t>H (Pump Performance Trendline)</t>
  </si>
  <si>
    <t>Part c</t>
  </si>
  <si>
    <t>Part f</t>
  </si>
  <si>
    <t>Part g</t>
  </si>
  <si>
    <t>Power Savings</t>
  </si>
  <si>
    <t>Part e</t>
  </si>
  <si>
    <t>Part a</t>
  </si>
  <si>
    <t>completed on paper</t>
  </si>
  <si>
    <t>Part b</t>
  </si>
  <si>
    <t>Part d</t>
  </si>
  <si>
    <t xml:space="preserve">omega 2/ omega 1 </t>
  </si>
  <si>
    <t>Operating Points</t>
  </si>
  <si>
    <t>a</t>
  </si>
  <si>
    <t>b</t>
  </si>
  <si>
    <t>c</t>
  </si>
  <si>
    <t>Original Pump Performance Trendline</t>
  </si>
  <si>
    <t xml:space="preserve">omega2/omega 1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</si>
</sst>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0.0"/>
    <numFmt numFmtId="167" formatCode="0.0000000000"/>
    <numFmt numFmtId="168" formatCode="0.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5" fontId="5" fillId="2" borderId="1" xfId="1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66" fontId="5" fillId="2" borderId="1" xfId="1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1" fontId="5" fillId="2" borderId="1" xfId="0" applyNumberFormat="1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168" fontId="5" fillId="2" borderId="1" xfId="1" applyNumberFormat="1" applyFont="1" applyFill="1" applyBorder="1" applyAlignment="1">
      <alignment horizontal="center" vertical="center"/>
    </xf>
    <xf numFmtId="11" fontId="5" fillId="2" borderId="2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65" fontId="5" fillId="2" borderId="2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66" fontId="5" fillId="2" borderId="2" xfId="0" applyNumberFormat="1" applyFont="1" applyFill="1" applyBorder="1" applyAlignment="1">
      <alignment horizontal="center" vertical="center"/>
    </xf>
    <xf numFmtId="166" fontId="5" fillId="2" borderId="3" xfId="0" applyNumberFormat="1" applyFont="1" applyFill="1" applyBorder="1" applyAlignment="1">
      <alignment horizontal="center" vertical="center"/>
    </xf>
    <xf numFmtId="166" fontId="5" fillId="2" borderId="4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156608005840986E-2"/>
          <c:y val="2.1974128233970755E-2"/>
          <c:w val="0.89121549317744742"/>
          <c:h val="0.87516904136982876"/>
        </c:manualLayout>
      </c:layout>
      <c:scatterChart>
        <c:scatterStyle val="lineMarker"/>
        <c:varyColors val="0"/>
        <c:ser>
          <c:idx val="0"/>
          <c:order val="0"/>
          <c:tx>
            <c:v>Tabulated K from Table 8.4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trendline>
            <c:name>Power Trendline for Tabulated K values</c:nam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power"/>
            <c:forward val="5"/>
            <c:dispRSqr val="0"/>
            <c:dispEq val="0"/>
          </c:trendline>
          <c:xVal>
            <c:numRef>
              <c:f>Sheet1!$X$5:$X$8</c:f>
              <c:numCache>
                <c:formatCode>General</c:formatCode>
                <c:ptCount val="4"/>
                <c:pt idx="0">
                  <c:v>0.2</c:v>
                </c:pt>
                <c:pt idx="1">
                  <c:v>1.1000000000000001</c:v>
                </c:pt>
                <c:pt idx="2">
                  <c:v>3.6</c:v>
                </c:pt>
                <c:pt idx="3">
                  <c:v>28.8</c:v>
                </c:pt>
              </c:numCache>
            </c:numRef>
          </c:xVal>
          <c:yVal>
            <c:numRef>
              <c:f>Sheet1!$W$5:$W$8</c:f>
              <c:numCache>
                <c:formatCode>General</c:formatCode>
                <c:ptCount val="4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B-406B-929F-AE97BB529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849231"/>
        <c:axId val="943931647"/>
      </c:scatterChart>
      <c:valAx>
        <c:axId val="533849231"/>
        <c:scaling>
          <c:orientation val="minMax"/>
          <c:max val="3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r>
                  <a:rPr lang="en-US" sz="1000" b="0" i="0" u="none" strike="noStrike" kern="12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3931647"/>
        <c:crosses val="autoZero"/>
        <c:crossBetween val="midCat"/>
      </c:valAx>
      <c:valAx>
        <c:axId val="943931647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 Open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3849231"/>
        <c:crossesAt val="-50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6558126140591816"/>
          <c:y val="7.19241344831896E-2"/>
          <c:w val="0.4723578312334456"/>
          <c:h val="0.15419322584676914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6329052618422696E-2"/>
          <c:y val="2.1363735783027121E-2"/>
          <c:w val="0.89192491563554555"/>
          <c:h val="0.8672326115485564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Pump Performance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ysClr val="windowText" lastClr="000000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trendline>
            <c:name>Pump Performance Trendline</c:name>
            <c:spPr>
              <a:ln w="19050" cap="rnd" cmpd="sng">
                <a:solidFill>
                  <a:sysClr val="windowText" lastClr="000000"/>
                </a:solidFill>
                <a:prstDash val="sysDot"/>
              </a:ln>
              <a:effectLst/>
            </c:spPr>
            <c:trendlineType val="poly"/>
            <c:order val="2"/>
            <c:forward val="100"/>
            <c:dispRSqr val="0"/>
            <c:dispEq val="0"/>
          </c:trendline>
          <c:xVal>
            <c:numRef>
              <c:f>Sheet1!$H$6:$H$12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</c:numCache>
            </c:numRef>
          </c:xVal>
          <c:yVal>
            <c:numRef>
              <c:f>Sheet1!$I$6:$I$12</c:f>
              <c:numCache>
                <c:formatCode>General</c:formatCode>
                <c:ptCount val="7"/>
                <c:pt idx="0">
                  <c:v>179</c:v>
                </c:pt>
                <c:pt idx="1">
                  <c:v>176</c:v>
                </c:pt>
                <c:pt idx="2">
                  <c:v>165</c:v>
                </c:pt>
                <c:pt idx="3">
                  <c:v>145</c:v>
                </c:pt>
                <c:pt idx="4">
                  <c:v>119</c:v>
                </c:pt>
                <c:pt idx="5">
                  <c:v>84</c:v>
                </c:pt>
                <c:pt idx="6">
                  <c:v>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FA-4377-984B-F7F496481052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System Curve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trendline>
            <c:name>System Curve Trendline</c:name>
            <c:spPr>
              <a:ln w="19050" cap="rnd">
                <a:solidFill>
                  <a:srgbClr val="00B0F0"/>
                </a:solidFill>
                <a:prstDash val="sysDot"/>
              </a:ln>
              <a:effectLst/>
            </c:spPr>
            <c:trendlineType val="poly"/>
            <c:order val="2"/>
            <c:forward val="100"/>
            <c:dispRSqr val="0"/>
            <c:dispEq val="0"/>
          </c:trendline>
          <c:xVal>
            <c:numRef>
              <c:f>Sheet1!$B$6:$B$306</c:f>
              <c:numCache>
                <c:formatCode>General</c:formatCode>
                <c:ptCount val="3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</c:numCache>
            </c:numRef>
          </c:xVal>
          <c:yVal>
            <c:numRef>
              <c:f>Sheet1!$D$6:$D$306</c:f>
              <c:numCache>
                <c:formatCode>0.00</c:formatCode>
                <c:ptCount val="301"/>
                <c:pt idx="0">
                  <c:v>50</c:v>
                </c:pt>
                <c:pt idx="1">
                  <c:v>50.000226700441921</c:v>
                </c:pt>
                <c:pt idx="2">
                  <c:v>50.000906801767684</c:v>
                </c:pt>
                <c:pt idx="3">
                  <c:v>50.002040303977289</c:v>
                </c:pt>
                <c:pt idx="4">
                  <c:v>50.003627207070735</c:v>
                </c:pt>
                <c:pt idx="5">
                  <c:v>50.005667511048024</c:v>
                </c:pt>
                <c:pt idx="6">
                  <c:v>50.008161215909155</c:v>
                </c:pt>
                <c:pt idx="7">
                  <c:v>50.011108321654127</c:v>
                </c:pt>
                <c:pt idx="8">
                  <c:v>50.014508828282942</c:v>
                </c:pt>
                <c:pt idx="9">
                  <c:v>50.018362735795598</c:v>
                </c:pt>
                <c:pt idx="10">
                  <c:v>50.022670044192097</c:v>
                </c:pt>
                <c:pt idx="11">
                  <c:v>50.027430753472437</c:v>
                </c:pt>
                <c:pt idx="12">
                  <c:v>50.032644863636619</c:v>
                </c:pt>
                <c:pt idx="13">
                  <c:v>50.038312374684644</c:v>
                </c:pt>
                <c:pt idx="14">
                  <c:v>50.04443328661651</c:v>
                </c:pt>
                <c:pt idx="15">
                  <c:v>50.051007599432218</c:v>
                </c:pt>
                <c:pt idx="16">
                  <c:v>50.058035313131768</c:v>
                </c:pt>
                <c:pt idx="17">
                  <c:v>50.06551642771516</c:v>
                </c:pt>
                <c:pt idx="18">
                  <c:v>50.073450943182394</c:v>
                </c:pt>
                <c:pt idx="19">
                  <c:v>50.08183885953347</c:v>
                </c:pt>
                <c:pt idx="20">
                  <c:v>50.090680176768387</c:v>
                </c:pt>
                <c:pt idx="21">
                  <c:v>50.099974894887147</c:v>
                </c:pt>
                <c:pt idx="22">
                  <c:v>50.109723013889749</c:v>
                </c:pt>
                <c:pt idx="23">
                  <c:v>50.119924533776192</c:v>
                </c:pt>
                <c:pt idx="24">
                  <c:v>50.130579454546478</c:v>
                </c:pt>
                <c:pt idx="25">
                  <c:v>50.141687776200605</c:v>
                </c:pt>
                <c:pt idx="26">
                  <c:v>50.153249498738575</c:v>
                </c:pt>
                <c:pt idx="27">
                  <c:v>50.165264622160386</c:v>
                </c:pt>
                <c:pt idx="28">
                  <c:v>50.177733146466039</c:v>
                </c:pt>
                <c:pt idx="29">
                  <c:v>50.190655071655534</c:v>
                </c:pt>
                <c:pt idx="30">
                  <c:v>50.204030397728872</c:v>
                </c:pt>
                <c:pt idx="31">
                  <c:v>50.217859124686051</c:v>
                </c:pt>
                <c:pt idx="32">
                  <c:v>50.232141252527072</c:v>
                </c:pt>
                <c:pt idx="33">
                  <c:v>50.246876781251935</c:v>
                </c:pt>
                <c:pt idx="34">
                  <c:v>50.262065710860639</c:v>
                </c:pt>
                <c:pt idx="35">
                  <c:v>50.277708041353186</c:v>
                </c:pt>
                <c:pt idx="36">
                  <c:v>50.293803772729575</c:v>
                </c:pt>
                <c:pt idx="37">
                  <c:v>50.310352904989806</c:v>
                </c:pt>
                <c:pt idx="38">
                  <c:v>50.327355438133878</c:v>
                </c:pt>
                <c:pt idx="39">
                  <c:v>50.344811372161793</c:v>
                </c:pt>
                <c:pt idx="40">
                  <c:v>50.362720707073549</c:v>
                </c:pt>
                <c:pt idx="41">
                  <c:v>50.381083442869148</c:v>
                </c:pt>
                <c:pt idx="42">
                  <c:v>50.399899579548588</c:v>
                </c:pt>
                <c:pt idx="43">
                  <c:v>50.419169117111878</c:v>
                </c:pt>
                <c:pt idx="44">
                  <c:v>50.438892055559002</c:v>
                </c:pt>
                <c:pt idx="45">
                  <c:v>50.459068394889968</c:v>
                </c:pt>
                <c:pt idx="46">
                  <c:v>50.479698135104776</c:v>
                </c:pt>
                <c:pt idx="47">
                  <c:v>50.500781276203426</c:v>
                </c:pt>
                <c:pt idx="48">
                  <c:v>50.522317818185918</c:v>
                </c:pt>
                <c:pt idx="49">
                  <c:v>50.544307761052252</c:v>
                </c:pt>
                <c:pt idx="50">
                  <c:v>50.566751104802428</c:v>
                </c:pt>
                <c:pt idx="51">
                  <c:v>50.589647849436446</c:v>
                </c:pt>
                <c:pt idx="52">
                  <c:v>50.612997994954306</c:v>
                </c:pt>
                <c:pt idx="53">
                  <c:v>50.636801541356007</c:v>
                </c:pt>
                <c:pt idx="54">
                  <c:v>50.661058488641551</c:v>
                </c:pt>
                <c:pt idx="55">
                  <c:v>50.685768836810936</c:v>
                </c:pt>
                <c:pt idx="56">
                  <c:v>50.710932585864164</c:v>
                </c:pt>
                <c:pt idx="57">
                  <c:v>50.736549735801233</c:v>
                </c:pt>
                <c:pt idx="58">
                  <c:v>50.762620286622145</c:v>
                </c:pt>
                <c:pt idx="59">
                  <c:v>50.789144238326898</c:v>
                </c:pt>
                <c:pt idx="60">
                  <c:v>50.816121590915493</c:v>
                </c:pt>
                <c:pt idx="61">
                  <c:v>50.84355234438793</c:v>
                </c:pt>
                <c:pt idx="62">
                  <c:v>50.87143649874421</c:v>
                </c:pt>
                <c:pt idx="63">
                  <c:v>50.899774053984331</c:v>
                </c:pt>
                <c:pt idx="64">
                  <c:v>50.928565010108294</c:v>
                </c:pt>
                <c:pt idx="65">
                  <c:v>50.957809367116099</c:v>
                </c:pt>
                <c:pt idx="66">
                  <c:v>50.987507125007745</c:v>
                </c:pt>
                <c:pt idx="67">
                  <c:v>51.017658283783234</c:v>
                </c:pt>
                <c:pt idx="68">
                  <c:v>51.048262843442565</c:v>
                </c:pt>
                <c:pt idx="69">
                  <c:v>51.079320803985738</c:v>
                </c:pt>
                <c:pt idx="70">
                  <c:v>51.110832165412752</c:v>
                </c:pt>
                <c:pt idx="71">
                  <c:v>51.142796927723609</c:v>
                </c:pt>
                <c:pt idx="72">
                  <c:v>51.175215090918307</c:v>
                </c:pt>
                <c:pt idx="73">
                  <c:v>51.208086654996848</c:v>
                </c:pt>
                <c:pt idx="74">
                  <c:v>51.241411619959237</c:v>
                </c:pt>
                <c:pt idx="75">
                  <c:v>51.275189985805461</c:v>
                </c:pt>
                <c:pt idx="76">
                  <c:v>51.309421752535528</c:v>
                </c:pt>
                <c:pt idx="77">
                  <c:v>51.344106920149436</c:v>
                </c:pt>
                <c:pt idx="78">
                  <c:v>51.379245488647186</c:v>
                </c:pt>
                <c:pt idx="79">
                  <c:v>51.414837458028778</c:v>
                </c:pt>
                <c:pt idx="80">
                  <c:v>51.450882828294212</c:v>
                </c:pt>
                <c:pt idx="81">
                  <c:v>51.487381599443488</c:v>
                </c:pt>
                <c:pt idx="82">
                  <c:v>51.524333771476606</c:v>
                </c:pt>
                <c:pt idx="83">
                  <c:v>51.561739344393565</c:v>
                </c:pt>
                <c:pt idx="84">
                  <c:v>51.599598318194367</c:v>
                </c:pt>
                <c:pt idx="85">
                  <c:v>51.637910692879011</c:v>
                </c:pt>
                <c:pt idx="86">
                  <c:v>51.676676468447496</c:v>
                </c:pt>
                <c:pt idx="87">
                  <c:v>51.715895644899824</c:v>
                </c:pt>
                <c:pt idx="88">
                  <c:v>51.755568222235993</c:v>
                </c:pt>
                <c:pt idx="89">
                  <c:v>51.795694200456005</c:v>
                </c:pt>
                <c:pt idx="90">
                  <c:v>51.836273579559858</c:v>
                </c:pt>
                <c:pt idx="91">
                  <c:v>51.877306359547553</c:v>
                </c:pt>
                <c:pt idx="92">
                  <c:v>51.918792540419091</c:v>
                </c:pt>
                <c:pt idx="93">
                  <c:v>51.96073212217447</c:v>
                </c:pt>
                <c:pt idx="94">
                  <c:v>52.003125104813691</c:v>
                </c:pt>
                <c:pt idx="95">
                  <c:v>52.045971488336761</c:v>
                </c:pt>
                <c:pt idx="96">
                  <c:v>52.089271272743666</c:v>
                </c:pt>
                <c:pt idx="97">
                  <c:v>52.133024458034413</c:v>
                </c:pt>
                <c:pt idx="98">
                  <c:v>52.177231044209002</c:v>
                </c:pt>
                <c:pt idx="99">
                  <c:v>52.221891031267432</c:v>
                </c:pt>
                <c:pt idx="100">
                  <c:v>52.267004419209705</c:v>
                </c:pt>
                <c:pt idx="101">
                  <c:v>52.31257120803582</c:v>
                </c:pt>
                <c:pt idx="102">
                  <c:v>52.358591397745776</c:v>
                </c:pt>
                <c:pt idx="103">
                  <c:v>52.405064988339575</c:v>
                </c:pt>
                <c:pt idx="104">
                  <c:v>52.451991979817215</c:v>
                </c:pt>
                <c:pt idx="105">
                  <c:v>52.499372372178698</c:v>
                </c:pt>
                <c:pt idx="106">
                  <c:v>52.547206165424022</c:v>
                </c:pt>
                <c:pt idx="107">
                  <c:v>52.595493359553188</c:v>
                </c:pt>
                <c:pt idx="108">
                  <c:v>52.644233954566197</c:v>
                </c:pt>
                <c:pt idx="109">
                  <c:v>52.693427950463047</c:v>
                </c:pt>
                <c:pt idx="110">
                  <c:v>52.743075347243739</c:v>
                </c:pt>
                <c:pt idx="111">
                  <c:v>52.793176144908273</c:v>
                </c:pt>
                <c:pt idx="112">
                  <c:v>52.843730343456656</c:v>
                </c:pt>
                <c:pt idx="113">
                  <c:v>52.894737942888874</c:v>
                </c:pt>
                <c:pt idx="114">
                  <c:v>52.946198943204934</c:v>
                </c:pt>
                <c:pt idx="115">
                  <c:v>52.998113344404835</c:v>
                </c:pt>
                <c:pt idx="116">
                  <c:v>53.050481146488579</c:v>
                </c:pt>
                <c:pt idx="117">
                  <c:v>53.103302349456165</c:v>
                </c:pt>
                <c:pt idx="118">
                  <c:v>53.156576953307592</c:v>
                </c:pt>
                <c:pt idx="119">
                  <c:v>53.210304958042862</c:v>
                </c:pt>
                <c:pt idx="120">
                  <c:v>53.264486363661973</c:v>
                </c:pt>
                <c:pt idx="121">
                  <c:v>53.319121170164927</c:v>
                </c:pt>
                <c:pt idx="122">
                  <c:v>53.374209377551722</c:v>
                </c:pt>
                <c:pt idx="123">
                  <c:v>53.429750985822359</c:v>
                </c:pt>
                <c:pt idx="124">
                  <c:v>53.485745994976838</c:v>
                </c:pt>
                <c:pt idx="125">
                  <c:v>53.542194405015159</c:v>
                </c:pt>
                <c:pt idx="126">
                  <c:v>53.599096215937323</c:v>
                </c:pt>
                <c:pt idx="127">
                  <c:v>53.656451427743335</c:v>
                </c:pt>
                <c:pt idx="128">
                  <c:v>53.714260040433182</c:v>
                </c:pt>
                <c:pt idx="129">
                  <c:v>53.77252205400687</c:v>
                </c:pt>
                <c:pt idx="130">
                  <c:v>53.831237468464401</c:v>
                </c:pt>
                <c:pt idx="131">
                  <c:v>53.890406283805774</c:v>
                </c:pt>
                <c:pt idx="132">
                  <c:v>53.950028500030989</c:v>
                </c:pt>
                <c:pt idx="133">
                  <c:v>54.010104117140045</c:v>
                </c:pt>
                <c:pt idx="134">
                  <c:v>54.070633135132944</c:v>
                </c:pt>
                <c:pt idx="135">
                  <c:v>54.131615554009684</c:v>
                </c:pt>
                <c:pt idx="136">
                  <c:v>54.193051373770267</c:v>
                </c:pt>
                <c:pt idx="137">
                  <c:v>54.254940594414691</c:v>
                </c:pt>
                <c:pt idx="138">
                  <c:v>54.317283215942957</c:v>
                </c:pt>
                <c:pt idx="139">
                  <c:v>54.380079238355066</c:v>
                </c:pt>
                <c:pt idx="140">
                  <c:v>54.443328661651023</c:v>
                </c:pt>
                <c:pt idx="141">
                  <c:v>54.507031485830815</c:v>
                </c:pt>
                <c:pt idx="142">
                  <c:v>54.571187710894449</c:v>
                </c:pt>
                <c:pt idx="143">
                  <c:v>54.635797336841925</c:v>
                </c:pt>
                <c:pt idx="144">
                  <c:v>54.700860363673243</c:v>
                </c:pt>
                <c:pt idx="145">
                  <c:v>54.766376791388403</c:v>
                </c:pt>
                <c:pt idx="146">
                  <c:v>54.832346619987405</c:v>
                </c:pt>
                <c:pt idx="147">
                  <c:v>54.898769849470249</c:v>
                </c:pt>
                <c:pt idx="148">
                  <c:v>54.965646479836934</c:v>
                </c:pt>
                <c:pt idx="149">
                  <c:v>55.032976511087462</c:v>
                </c:pt>
                <c:pt idx="150">
                  <c:v>55.100759943221831</c:v>
                </c:pt>
                <c:pt idx="151">
                  <c:v>55.168996776240043</c:v>
                </c:pt>
                <c:pt idx="152">
                  <c:v>55.237687010142096</c:v>
                </c:pt>
                <c:pt idx="153">
                  <c:v>55.306830644927999</c:v>
                </c:pt>
                <c:pt idx="154">
                  <c:v>55.376427680597736</c:v>
                </c:pt>
                <c:pt idx="155">
                  <c:v>55.446478117151315</c:v>
                </c:pt>
                <c:pt idx="156">
                  <c:v>55.516981954588736</c:v>
                </c:pt>
                <c:pt idx="157">
                  <c:v>55.58793919291</c:v>
                </c:pt>
                <c:pt idx="158">
                  <c:v>55.659349832115105</c:v>
                </c:pt>
                <c:pt idx="159">
                  <c:v>55.731213872204052</c:v>
                </c:pt>
                <c:pt idx="160">
                  <c:v>55.80353131317684</c:v>
                </c:pt>
                <c:pt idx="161">
                  <c:v>55.876302155033471</c:v>
                </c:pt>
                <c:pt idx="162">
                  <c:v>55.949526397773944</c:v>
                </c:pt>
                <c:pt idx="163">
                  <c:v>56.023204041398259</c:v>
                </c:pt>
                <c:pt idx="164">
                  <c:v>56.097335085906423</c:v>
                </c:pt>
                <c:pt idx="165">
                  <c:v>56.171919531298421</c:v>
                </c:pt>
                <c:pt idx="166">
                  <c:v>56.246957377574262</c:v>
                </c:pt>
                <c:pt idx="167">
                  <c:v>56.322448624733944</c:v>
                </c:pt>
                <c:pt idx="168">
                  <c:v>56.398393272777469</c:v>
                </c:pt>
                <c:pt idx="169">
                  <c:v>56.474791321704835</c:v>
                </c:pt>
                <c:pt idx="170">
                  <c:v>56.551642771516043</c:v>
                </c:pt>
                <c:pt idx="171">
                  <c:v>56.628947622211093</c:v>
                </c:pt>
                <c:pt idx="172">
                  <c:v>56.706705873789986</c:v>
                </c:pt>
                <c:pt idx="173">
                  <c:v>56.78491752625272</c:v>
                </c:pt>
                <c:pt idx="174">
                  <c:v>56.863582579599296</c:v>
                </c:pt>
                <c:pt idx="175">
                  <c:v>56.942701033829721</c:v>
                </c:pt>
                <c:pt idx="176">
                  <c:v>57.022272888943981</c:v>
                </c:pt>
                <c:pt idx="177">
                  <c:v>57.102298144942083</c:v>
                </c:pt>
                <c:pt idx="178">
                  <c:v>57.182776801824026</c:v>
                </c:pt>
                <c:pt idx="179">
                  <c:v>57.263708859589812</c:v>
                </c:pt>
                <c:pt idx="180">
                  <c:v>57.34509431823944</c:v>
                </c:pt>
                <c:pt idx="181">
                  <c:v>57.426933177772909</c:v>
                </c:pt>
                <c:pt idx="182">
                  <c:v>57.509225438190228</c:v>
                </c:pt>
                <c:pt idx="183">
                  <c:v>57.591971099491374</c:v>
                </c:pt>
                <c:pt idx="184">
                  <c:v>57.67517016167637</c:v>
                </c:pt>
                <c:pt idx="185">
                  <c:v>57.758822624745207</c:v>
                </c:pt>
                <c:pt idx="186">
                  <c:v>57.842928488697893</c:v>
                </c:pt>
                <c:pt idx="187">
                  <c:v>57.927487753534415</c:v>
                </c:pt>
                <c:pt idx="188">
                  <c:v>58.012500419254778</c:v>
                </c:pt>
                <c:pt idx="189">
                  <c:v>58.097966485858983</c:v>
                </c:pt>
                <c:pt idx="190">
                  <c:v>58.18388595334703</c:v>
                </c:pt>
                <c:pt idx="191">
                  <c:v>58.270258821718919</c:v>
                </c:pt>
                <c:pt idx="192">
                  <c:v>58.35708509097465</c:v>
                </c:pt>
                <c:pt idx="193">
                  <c:v>58.44436476111423</c:v>
                </c:pt>
                <c:pt idx="194">
                  <c:v>58.532097832137644</c:v>
                </c:pt>
                <c:pt idx="195">
                  <c:v>58.620284304044894</c:v>
                </c:pt>
                <c:pt idx="196">
                  <c:v>58.708924176836</c:v>
                </c:pt>
                <c:pt idx="197">
                  <c:v>58.79801745051094</c:v>
                </c:pt>
                <c:pt idx="198">
                  <c:v>58.887564125069723</c:v>
                </c:pt>
                <c:pt idx="199">
                  <c:v>58.977564200512347</c:v>
                </c:pt>
                <c:pt idx="200">
                  <c:v>59.068017676838814</c:v>
                </c:pt>
                <c:pt idx="201">
                  <c:v>59.158924554049122</c:v>
                </c:pt>
                <c:pt idx="202">
                  <c:v>59.250284832143279</c:v>
                </c:pt>
                <c:pt idx="203">
                  <c:v>59.342098511121264</c:v>
                </c:pt>
                <c:pt idx="204">
                  <c:v>59.434365590983106</c:v>
                </c:pt>
                <c:pt idx="205">
                  <c:v>59.527086071728782</c:v>
                </c:pt>
                <c:pt idx="206">
                  <c:v>59.6202599533583</c:v>
                </c:pt>
                <c:pt idx="207">
                  <c:v>59.71388723587166</c:v>
                </c:pt>
                <c:pt idx="208">
                  <c:v>59.807967919268862</c:v>
                </c:pt>
                <c:pt idx="209">
                  <c:v>59.902502003549905</c:v>
                </c:pt>
                <c:pt idx="210">
                  <c:v>59.997489488714791</c:v>
                </c:pt>
                <c:pt idx="211">
                  <c:v>60.092930374763519</c:v>
                </c:pt>
                <c:pt idx="212">
                  <c:v>60.188824661696088</c:v>
                </c:pt>
                <c:pt idx="213">
                  <c:v>60.285172349512507</c:v>
                </c:pt>
                <c:pt idx="214">
                  <c:v>60.381973438212761</c:v>
                </c:pt>
                <c:pt idx="215">
                  <c:v>60.479227927796856</c:v>
                </c:pt>
                <c:pt idx="216">
                  <c:v>60.576935818264793</c:v>
                </c:pt>
                <c:pt idx="217">
                  <c:v>60.675097109616573</c:v>
                </c:pt>
                <c:pt idx="218">
                  <c:v>60.773711801852194</c:v>
                </c:pt>
                <c:pt idx="219">
                  <c:v>60.872779894971657</c:v>
                </c:pt>
                <c:pt idx="220">
                  <c:v>60.972301388974969</c:v>
                </c:pt>
                <c:pt idx="221">
                  <c:v>61.072276283862116</c:v>
                </c:pt>
                <c:pt idx="222">
                  <c:v>61.172704579633105</c:v>
                </c:pt>
                <c:pt idx="223">
                  <c:v>61.273586276287929</c:v>
                </c:pt>
                <c:pt idx="224">
                  <c:v>61.374921373826609</c:v>
                </c:pt>
                <c:pt idx="225">
                  <c:v>61.476709872249124</c:v>
                </c:pt>
                <c:pt idx="226">
                  <c:v>61.578951771555481</c:v>
                </c:pt>
                <c:pt idx="227">
                  <c:v>61.681647071745687</c:v>
                </c:pt>
                <c:pt idx="228">
                  <c:v>61.78479577281972</c:v>
                </c:pt>
                <c:pt idx="229">
                  <c:v>61.88839787477761</c:v>
                </c:pt>
                <c:pt idx="230">
                  <c:v>61.992453377619334</c:v>
                </c:pt>
                <c:pt idx="231">
                  <c:v>62.096962281344901</c:v>
                </c:pt>
                <c:pt idx="232">
                  <c:v>62.201924585954309</c:v>
                </c:pt>
                <c:pt idx="233">
                  <c:v>62.307340291447559</c:v>
                </c:pt>
                <c:pt idx="234">
                  <c:v>62.413209397824652</c:v>
                </c:pt>
                <c:pt idx="235">
                  <c:v>62.519531905085586</c:v>
                </c:pt>
                <c:pt idx="236">
                  <c:v>62.626307813230369</c:v>
                </c:pt>
                <c:pt idx="237">
                  <c:v>62.733537122258987</c:v>
                </c:pt>
                <c:pt idx="238">
                  <c:v>62.841219832171447</c:v>
                </c:pt>
                <c:pt idx="239">
                  <c:v>62.949355942967749</c:v>
                </c:pt>
                <c:pt idx="240">
                  <c:v>63.057945454647893</c:v>
                </c:pt>
                <c:pt idx="241">
                  <c:v>63.166988367211879</c:v>
                </c:pt>
                <c:pt idx="242">
                  <c:v>63.276484680659706</c:v>
                </c:pt>
                <c:pt idx="243">
                  <c:v>63.386434394991383</c:v>
                </c:pt>
                <c:pt idx="244">
                  <c:v>63.496837510206888</c:v>
                </c:pt>
                <c:pt idx="245">
                  <c:v>63.607694026306248</c:v>
                </c:pt>
                <c:pt idx="246">
                  <c:v>63.719003943289444</c:v>
                </c:pt>
                <c:pt idx="247">
                  <c:v>63.830767261156481</c:v>
                </c:pt>
                <c:pt idx="248">
                  <c:v>63.94298397990736</c:v>
                </c:pt>
                <c:pt idx="249">
                  <c:v>64.055654099542082</c:v>
                </c:pt>
                <c:pt idx="250">
                  <c:v>64.168777620060652</c:v>
                </c:pt>
                <c:pt idx="251">
                  <c:v>64.28235454146305</c:v>
                </c:pt>
                <c:pt idx="252">
                  <c:v>64.396384863749304</c:v>
                </c:pt>
                <c:pt idx="253">
                  <c:v>64.510868586919401</c:v>
                </c:pt>
                <c:pt idx="254">
                  <c:v>64.625805710973324</c:v>
                </c:pt>
                <c:pt idx="255">
                  <c:v>64.741196235911104</c:v>
                </c:pt>
                <c:pt idx="256">
                  <c:v>64.857040161732712</c:v>
                </c:pt>
                <c:pt idx="257">
                  <c:v>64.973337488438176</c:v>
                </c:pt>
                <c:pt idx="258">
                  <c:v>65.090088216027468</c:v>
                </c:pt>
                <c:pt idx="259">
                  <c:v>65.207292344500615</c:v>
                </c:pt>
                <c:pt idx="260">
                  <c:v>65.324949873857605</c:v>
                </c:pt>
                <c:pt idx="261">
                  <c:v>65.443060804098423</c:v>
                </c:pt>
                <c:pt idx="262">
                  <c:v>65.561625135223096</c:v>
                </c:pt>
                <c:pt idx="263">
                  <c:v>65.680642867231597</c:v>
                </c:pt>
                <c:pt idx="264">
                  <c:v>65.800114000123955</c:v>
                </c:pt>
                <c:pt idx="265">
                  <c:v>65.92003853390014</c:v>
                </c:pt>
                <c:pt idx="266">
                  <c:v>66.040416468560181</c:v>
                </c:pt>
                <c:pt idx="267">
                  <c:v>66.16124780410405</c:v>
                </c:pt>
                <c:pt idx="268">
                  <c:v>66.282532540531776</c:v>
                </c:pt>
                <c:pt idx="269">
                  <c:v>66.404270677843328</c:v>
                </c:pt>
                <c:pt idx="270">
                  <c:v>66.526462216038738</c:v>
                </c:pt>
                <c:pt idx="271">
                  <c:v>66.649107155117989</c:v>
                </c:pt>
                <c:pt idx="272">
                  <c:v>66.772205495081067</c:v>
                </c:pt>
                <c:pt idx="273">
                  <c:v>66.895757235928002</c:v>
                </c:pt>
                <c:pt idx="274">
                  <c:v>67.019762377658765</c:v>
                </c:pt>
                <c:pt idx="275">
                  <c:v>67.144220920273384</c:v>
                </c:pt>
                <c:pt idx="276">
                  <c:v>67.269132863771844</c:v>
                </c:pt>
                <c:pt idx="277">
                  <c:v>67.394498208154133</c:v>
                </c:pt>
                <c:pt idx="278">
                  <c:v>67.520316953420277</c:v>
                </c:pt>
                <c:pt idx="279">
                  <c:v>67.646589099570249</c:v>
                </c:pt>
                <c:pt idx="280">
                  <c:v>67.773314646604078</c:v>
                </c:pt>
                <c:pt idx="281">
                  <c:v>67.900493594521748</c:v>
                </c:pt>
                <c:pt idx="282">
                  <c:v>68.028125943323246</c:v>
                </c:pt>
                <c:pt idx="283">
                  <c:v>68.156211693008601</c:v>
                </c:pt>
                <c:pt idx="284">
                  <c:v>68.284750843577783</c:v>
                </c:pt>
                <c:pt idx="285">
                  <c:v>68.413743395030821</c:v>
                </c:pt>
                <c:pt idx="286">
                  <c:v>68.543189347367701</c:v>
                </c:pt>
                <c:pt idx="287">
                  <c:v>68.673088700588409</c:v>
                </c:pt>
                <c:pt idx="288">
                  <c:v>68.803441454692972</c:v>
                </c:pt>
                <c:pt idx="289">
                  <c:v>68.934247609681364</c:v>
                </c:pt>
                <c:pt idx="290">
                  <c:v>69.065507165553612</c:v>
                </c:pt>
                <c:pt idx="291">
                  <c:v>69.197220122309687</c:v>
                </c:pt>
                <c:pt idx="292">
                  <c:v>69.329386479949619</c:v>
                </c:pt>
                <c:pt idx="293">
                  <c:v>69.462006238473379</c:v>
                </c:pt>
                <c:pt idx="294">
                  <c:v>69.595079397880994</c:v>
                </c:pt>
                <c:pt idx="295">
                  <c:v>69.728605958172437</c:v>
                </c:pt>
                <c:pt idx="296">
                  <c:v>69.862585919347737</c:v>
                </c:pt>
                <c:pt idx="297">
                  <c:v>69.997019281406878</c:v>
                </c:pt>
                <c:pt idx="298">
                  <c:v>70.131906044349847</c:v>
                </c:pt>
                <c:pt idx="299">
                  <c:v>70.267246208176672</c:v>
                </c:pt>
                <c:pt idx="300">
                  <c:v>70.403039772887325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DFA-4377-984B-F7F496481052}"/>
            </c:ext>
          </c:extLst>
        </c:ser>
        <c:ser>
          <c:idx val="2"/>
          <c:order val="2"/>
          <c:tx>
            <c:v>Vertical Line - Intersection</c:v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Sheet1!$N$39:$N$40</c:f>
              <c:numCache>
                <c:formatCode>General</c:formatCode>
                <c:ptCount val="2"/>
                <c:pt idx="0">
                  <c:v>2722.9852654875526</c:v>
                </c:pt>
                <c:pt idx="1">
                  <c:v>2722.9852654875526</c:v>
                </c:pt>
              </c:numCache>
            </c:numRef>
          </c:xVal>
          <c:yVal>
            <c:numRef>
              <c:f>Sheet1!$O$39:$O$40</c:f>
              <c:numCache>
                <c:formatCode>General</c:formatCode>
                <c:ptCount val="2"/>
                <c:pt idx="0">
                  <c:v>0</c:v>
                </c:pt>
                <c:pt idx="1">
                  <c:v>66.809043794567202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FA-4377-984B-F7F496481052}"/>
            </c:ext>
          </c:extLst>
        </c:ser>
        <c:ser>
          <c:idx val="3"/>
          <c:order val="3"/>
          <c:tx>
            <c:v>Horizontal Line - Intersection</c:v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Sheet1!$L$39:$L$40</c:f>
              <c:numCache>
                <c:formatCode>General</c:formatCode>
                <c:ptCount val="2"/>
                <c:pt idx="0">
                  <c:v>0</c:v>
                </c:pt>
                <c:pt idx="1">
                  <c:v>2722.9852654875526</c:v>
                </c:pt>
              </c:numCache>
            </c:numRef>
          </c:xVal>
          <c:yVal>
            <c:numRef>
              <c:f>Sheet1!$M$39:$M$40</c:f>
              <c:numCache>
                <c:formatCode>General</c:formatCode>
                <c:ptCount val="2"/>
                <c:pt idx="0">
                  <c:v>66.809043794567202</c:v>
                </c:pt>
                <c:pt idx="1">
                  <c:v>66.809043794567202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DFA-4377-984B-F7F496481052}"/>
            </c:ext>
          </c:extLst>
        </c:ser>
        <c:ser>
          <c:idx val="4"/>
          <c:order val="4"/>
          <c:tx>
            <c:v>System Curve Gate Valve Adjusted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Sheet1!$B$6:$B$306</c:f>
              <c:numCache>
                <c:formatCode>General</c:formatCode>
                <c:ptCount val="3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</c:numCache>
            </c:numRef>
          </c:xVal>
          <c:yVal>
            <c:numRef>
              <c:f>Sheet1!$F$6:$F$306</c:f>
              <c:numCache>
                <c:formatCode>0.00</c:formatCode>
                <c:ptCount val="301"/>
                <c:pt idx="0">
                  <c:v>50</c:v>
                </c:pt>
                <c:pt idx="1">
                  <c:v>50.005467068409743</c:v>
                </c:pt>
                <c:pt idx="2">
                  <c:v>50.021868273638958</c:v>
                </c:pt>
                <c:pt idx="3">
                  <c:v>50.049203615687659</c:v>
                </c:pt>
                <c:pt idx="4">
                  <c:v>50.08747309455584</c:v>
                </c:pt>
                <c:pt idx="5">
                  <c:v>50.136676710243506</c:v>
                </c:pt>
                <c:pt idx="6">
                  <c:v>50.196814462750645</c:v>
                </c:pt>
                <c:pt idx="7">
                  <c:v>50.267886352077269</c:v>
                </c:pt>
                <c:pt idx="8">
                  <c:v>50.349892378223366</c:v>
                </c:pt>
                <c:pt idx="9">
                  <c:v>50.442832541188949</c:v>
                </c:pt>
                <c:pt idx="10">
                  <c:v>50.546706840974011</c:v>
                </c:pt>
                <c:pt idx="11">
                  <c:v>50.661515277578559</c:v>
                </c:pt>
                <c:pt idx="12">
                  <c:v>50.787257851002579</c:v>
                </c:pt>
                <c:pt idx="13">
                  <c:v>50.923934561246085</c:v>
                </c:pt>
                <c:pt idx="14">
                  <c:v>51.071545408309063</c:v>
                </c:pt>
                <c:pt idx="15">
                  <c:v>51.230090392191528</c:v>
                </c:pt>
                <c:pt idx="16">
                  <c:v>51.399569512893471</c:v>
                </c:pt>
                <c:pt idx="17">
                  <c:v>51.579982770414894</c:v>
                </c:pt>
                <c:pt idx="18">
                  <c:v>51.771330164755803</c:v>
                </c:pt>
                <c:pt idx="19">
                  <c:v>51.973611695916183</c:v>
                </c:pt>
                <c:pt idx="20">
                  <c:v>52.18682736389605</c:v>
                </c:pt>
                <c:pt idx="21">
                  <c:v>52.410977168695396</c:v>
                </c:pt>
                <c:pt idx="22">
                  <c:v>52.646061110314221</c:v>
                </c:pt>
                <c:pt idx="23">
                  <c:v>52.892079188752525</c:v>
                </c:pt>
                <c:pt idx="24">
                  <c:v>53.149031404010316</c:v>
                </c:pt>
                <c:pt idx="25">
                  <c:v>53.416917756087578</c:v>
                </c:pt>
                <c:pt idx="26">
                  <c:v>53.695738244984327</c:v>
                </c:pt>
                <c:pt idx="27">
                  <c:v>53.985492870700554</c:v>
                </c:pt>
                <c:pt idx="28">
                  <c:v>54.286181633236261</c:v>
                </c:pt>
                <c:pt idx="29">
                  <c:v>54.597804532591454</c:v>
                </c:pt>
                <c:pt idx="30">
                  <c:v>54.920361568766118</c:v>
                </c:pt>
                <c:pt idx="31">
                  <c:v>55.253852741760262</c:v>
                </c:pt>
                <c:pt idx="32">
                  <c:v>55.598278051573892</c:v>
                </c:pt>
                <c:pt idx="33">
                  <c:v>55.953637498207001</c:v>
                </c:pt>
                <c:pt idx="34">
                  <c:v>56.31993108165959</c:v>
                </c:pt>
                <c:pt idx="35">
                  <c:v>56.697158801931657</c:v>
                </c:pt>
                <c:pt idx="36">
                  <c:v>57.085320659023211</c:v>
                </c:pt>
                <c:pt idx="37">
                  <c:v>57.484416652934236</c:v>
                </c:pt>
                <c:pt idx="38">
                  <c:v>57.894446783664748</c:v>
                </c:pt>
                <c:pt idx="39">
                  <c:v>58.315411051214738</c:v>
                </c:pt>
                <c:pt idx="40">
                  <c:v>58.747309455584208</c:v>
                </c:pt>
                <c:pt idx="41">
                  <c:v>59.190141996773157</c:v>
                </c:pt>
                <c:pt idx="42">
                  <c:v>59.643908674781592</c:v>
                </c:pt>
                <c:pt idx="43">
                  <c:v>60.108609489609499</c:v>
                </c:pt>
                <c:pt idx="44">
                  <c:v>60.584244441256892</c:v>
                </c:pt>
                <c:pt idx="45">
                  <c:v>61.070813529723765</c:v>
                </c:pt>
                <c:pt idx="46">
                  <c:v>61.568316755010116</c:v>
                </c:pt>
                <c:pt idx="47">
                  <c:v>62.076754117115946</c:v>
                </c:pt>
                <c:pt idx="48">
                  <c:v>62.596125616041263</c:v>
                </c:pt>
                <c:pt idx="49">
                  <c:v>63.126431251786052</c:v>
                </c:pt>
                <c:pt idx="50">
                  <c:v>63.667671024350319</c:v>
                </c:pt>
                <c:pt idx="51">
                  <c:v>64.21984493373408</c:v>
                </c:pt>
                <c:pt idx="52">
                  <c:v>64.782952979937306</c:v>
                </c:pt>
                <c:pt idx="53">
                  <c:v>65.356995162960018</c:v>
                </c:pt>
                <c:pt idx="54">
                  <c:v>65.941971482802217</c:v>
                </c:pt>
                <c:pt idx="55">
                  <c:v>66.537881939463887</c:v>
                </c:pt>
                <c:pt idx="56">
                  <c:v>67.144726532945043</c:v>
                </c:pt>
                <c:pt idx="57">
                  <c:v>67.762505263245686</c:v>
                </c:pt>
                <c:pt idx="58">
                  <c:v>68.3912181303658</c:v>
                </c:pt>
                <c:pt idx="59">
                  <c:v>69.030865134305401</c:v>
                </c:pt>
                <c:pt idx="60">
                  <c:v>69.681446275064474</c:v>
                </c:pt>
                <c:pt idx="61">
                  <c:v>70.342961552643018</c:v>
                </c:pt>
                <c:pt idx="62">
                  <c:v>71.015410967041063</c:v>
                </c:pt>
                <c:pt idx="63">
                  <c:v>71.69879451825858</c:v>
                </c:pt>
                <c:pt idx="64">
                  <c:v>72.393112206295569</c:v>
                </c:pt>
                <c:pt idx="65">
                  <c:v>73.098364031152045</c:v>
                </c:pt>
                <c:pt idx="66">
                  <c:v>73.814549992828006</c:v>
                </c:pt>
                <c:pt idx="67">
                  <c:v>74.541670091323439</c:v>
                </c:pt>
                <c:pt idx="68">
                  <c:v>75.279724326638359</c:v>
                </c:pt>
                <c:pt idx="69">
                  <c:v>76.028712698772765</c:v>
                </c:pt>
                <c:pt idx="70">
                  <c:v>76.788635207726628</c:v>
                </c:pt>
                <c:pt idx="71">
                  <c:v>77.559491853499992</c:v>
                </c:pt>
                <c:pt idx="72">
                  <c:v>78.341282636092828</c:v>
                </c:pt>
                <c:pt idx="73">
                  <c:v>79.13400755550515</c:v>
                </c:pt>
                <c:pt idx="74">
                  <c:v>79.937666611736944</c:v>
                </c:pt>
                <c:pt idx="75">
                  <c:v>80.752259804788224</c:v>
                </c:pt>
                <c:pt idx="76">
                  <c:v>81.57778713465899</c:v>
                </c:pt>
                <c:pt idx="77">
                  <c:v>82.414248601349229</c:v>
                </c:pt>
                <c:pt idx="78">
                  <c:v>83.261644204858953</c:v>
                </c:pt>
                <c:pt idx="79">
                  <c:v>84.11997394518815</c:v>
                </c:pt>
                <c:pt idx="80">
                  <c:v>84.989237822336833</c:v>
                </c:pt>
                <c:pt idx="81">
                  <c:v>85.869435836305001</c:v>
                </c:pt>
                <c:pt idx="82">
                  <c:v>86.760567987092628</c:v>
                </c:pt>
                <c:pt idx="83">
                  <c:v>87.662634274699755</c:v>
                </c:pt>
                <c:pt idx="84">
                  <c:v>88.575634699126368</c:v>
                </c:pt>
                <c:pt idx="85">
                  <c:v>89.499569260372439</c:v>
                </c:pt>
                <c:pt idx="86">
                  <c:v>90.434437958437996</c:v>
                </c:pt>
                <c:pt idx="87">
                  <c:v>91.38024079332304</c:v>
                </c:pt>
                <c:pt idx="88">
                  <c:v>92.336977765027569</c:v>
                </c:pt>
                <c:pt idx="89">
                  <c:v>93.304648873551571</c:v>
                </c:pt>
                <c:pt idx="90">
                  <c:v>94.283254118895044</c:v>
                </c:pt>
                <c:pt idx="91">
                  <c:v>95.272793501058032</c:v>
                </c:pt>
                <c:pt idx="92">
                  <c:v>96.273267020040464</c:v>
                </c:pt>
                <c:pt idx="93">
                  <c:v>97.284674675842382</c:v>
                </c:pt>
                <c:pt idx="94">
                  <c:v>98.307016468463786</c:v>
                </c:pt>
                <c:pt idx="95">
                  <c:v>99.340292397904676</c:v>
                </c:pt>
                <c:pt idx="96">
                  <c:v>100.38450246416504</c:v>
                </c:pt>
                <c:pt idx="97">
                  <c:v>101.43964666724489</c:v>
                </c:pt>
                <c:pt idx="98">
                  <c:v>102.50572500714421</c:v>
                </c:pt>
                <c:pt idx="99">
                  <c:v>103.58273748386301</c:v>
                </c:pt>
                <c:pt idx="100">
                  <c:v>104.67068409740128</c:v>
                </c:pt>
                <c:pt idx="101">
                  <c:v>105.76956484775906</c:v>
                </c:pt>
                <c:pt idx="102">
                  <c:v>106.87937973493632</c:v>
                </c:pt>
                <c:pt idx="103">
                  <c:v>108.00012875893303</c:v>
                </c:pt>
                <c:pt idx="104">
                  <c:v>109.13181191974925</c:v>
                </c:pt>
                <c:pt idx="105">
                  <c:v>110.27442921738495</c:v>
                </c:pt>
                <c:pt idx="106">
                  <c:v>111.42798065184009</c:v>
                </c:pt>
                <c:pt idx="107">
                  <c:v>112.59246622311474</c:v>
                </c:pt>
                <c:pt idx="108">
                  <c:v>113.76788593120888</c:v>
                </c:pt>
                <c:pt idx="109">
                  <c:v>114.95423977612248</c:v>
                </c:pt>
                <c:pt idx="110">
                  <c:v>116.15152775785558</c:v>
                </c:pt>
                <c:pt idx="111">
                  <c:v>117.35974987640813</c:v>
                </c:pt>
                <c:pt idx="112">
                  <c:v>118.57890613178019</c:v>
                </c:pt>
                <c:pt idx="113">
                  <c:v>119.80899652397173</c:v>
                </c:pt>
                <c:pt idx="114">
                  <c:v>121.05002105298273</c:v>
                </c:pt>
                <c:pt idx="115">
                  <c:v>122.30197971881321</c:v>
                </c:pt>
                <c:pt idx="116">
                  <c:v>123.5648725214632</c:v>
                </c:pt>
                <c:pt idx="117">
                  <c:v>124.83869946093263</c:v>
                </c:pt>
                <c:pt idx="118">
                  <c:v>126.12346053722158</c:v>
                </c:pt>
                <c:pt idx="119">
                  <c:v>127.41915575032999</c:v>
                </c:pt>
                <c:pt idx="120">
                  <c:v>128.72578510025787</c:v>
                </c:pt>
                <c:pt idx="121">
                  <c:v>130.04334858700526</c:v>
                </c:pt>
                <c:pt idx="122">
                  <c:v>131.37184621057207</c:v>
                </c:pt>
                <c:pt idx="123">
                  <c:v>132.71127797095841</c:v>
                </c:pt>
                <c:pt idx="124">
                  <c:v>134.06164386816425</c:v>
                </c:pt>
                <c:pt idx="125">
                  <c:v>135.4229439021895</c:v>
                </c:pt>
                <c:pt idx="126">
                  <c:v>136.79517807303432</c:v>
                </c:pt>
                <c:pt idx="127">
                  <c:v>138.17834638069854</c:v>
                </c:pt>
                <c:pt idx="128">
                  <c:v>139.57244882518228</c:v>
                </c:pt>
                <c:pt idx="129">
                  <c:v>140.9774854064855</c:v>
                </c:pt>
                <c:pt idx="130">
                  <c:v>142.39345612460821</c:v>
                </c:pt>
                <c:pt idx="131">
                  <c:v>143.82036097955034</c:v>
                </c:pt>
                <c:pt idx="132">
                  <c:v>145.25819997131202</c:v>
                </c:pt>
                <c:pt idx="133">
                  <c:v>146.70697309989316</c:v>
                </c:pt>
                <c:pt idx="134">
                  <c:v>148.16668036529376</c:v>
                </c:pt>
                <c:pt idx="135">
                  <c:v>149.63732176751387</c:v>
                </c:pt>
                <c:pt idx="136">
                  <c:v>151.11889730655344</c:v>
                </c:pt>
                <c:pt idx="137">
                  <c:v>152.61140698241252</c:v>
                </c:pt>
                <c:pt idx="138">
                  <c:v>154.11485079509106</c:v>
                </c:pt>
                <c:pt idx="139">
                  <c:v>155.62922874458906</c:v>
                </c:pt>
                <c:pt idx="140">
                  <c:v>157.15454083090654</c:v>
                </c:pt>
                <c:pt idx="141">
                  <c:v>158.69078705404354</c:v>
                </c:pt>
                <c:pt idx="142">
                  <c:v>160.23796741399997</c:v>
                </c:pt>
                <c:pt idx="143">
                  <c:v>161.79608191077591</c:v>
                </c:pt>
                <c:pt idx="144">
                  <c:v>163.36513054437131</c:v>
                </c:pt>
                <c:pt idx="145">
                  <c:v>164.94511331478623</c:v>
                </c:pt>
                <c:pt idx="146">
                  <c:v>166.53603022202063</c:v>
                </c:pt>
                <c:pt idx="147">
                  <c:v>168.13788126607446</c:v>
                </c:pt>
                <c:pt idx="148">
                  <c:v>169.7506664469478</c:v>
                </c:pt>
                <c:pt idx="149">
                  <c:v>171.37438576464064</c:v>
                </c:pt>
                <c:pt idx="150">
                  <c:v>173.00903921915292</c:v>
                </c:pt>
                <c:pt idx="151">
                  <c:v>174.65462681048473</c:v>
                </c:pt>
                <c:pt idx="152">
                  <c:v>176.31114853863596</c:v>
                </c:pt>
                <c:pt idx="153">
                  <c:v>177.97860440360671</c:v>
                </c:pt>
                <c:pt idx="154">
                  <c:v>179.65699440539692</c:v>
                </c:pt>
                <c:pt idx="155">
                  <c:v>181.34631854400661</c:v>
                </c:pt>
                <c:pt idx="156">
                  <c:v>183.04657681943581</c:v>
                </c:pt>
                <c:pt idx="157">
                  <c:v>184.75776923168448</c:v>
                </c:pt>
                <c:pt idx="158">
                  <c:v>186.4798957807526</c:v>
                </c:pt>
                <c:pt idx="159">
                  <c:v>188.21295646664024</c:v>
                </c:pt>
                <c:pt idx="160">
                  <c:v>189.95695128934733</c:v>
                </c:pt>
                <c:pt idx="161">
                  <c:v>191.71188024887388</c:v>
                </c:pt>
                <c:pt idx="162">
                  <c:v>193.47774334521998</c:v>
                </c:pt>
                <c:pt idx="163">
                  <c:v>195.2545405783855</c:v>
                </c:pt>
                <c:pt idx="164">
                  <c:v>197.04227194837054</c:v>
                </c:pt>
                <c:pt idx="165">
                  <c:v>198.84093745517504</c:v>
                </c:pt>
                <c:pt idx="166">
                  <c:v>200.65053709879902</c:v>
                </c:pt>
                <c:pt idx="167">
                  <c:v>202.47107087924246</c:v>
                </c:pt>
                <c:pt idx="168">
                  <c:v>204.30253879650544</c:v>
                </c:pt>
                <c:pt idx="169">
                  <c:v>206.14494085058783</c:v>
                </c:pt>
                <c:pt idx="170">
                  <c:v>207.99827704148976</c:v>
                </c:pt>
                <c:pt idx="171">
                  <c:v>209.86254736921114</c:v>
                </c:pt>
                <c:pt idx="172">
                  <c:v>211.73775183375199</c:v>
                </c:pt>
                <c:pt idx="173">
                  <c:v>213.62389043511234</c:v>
                </c:pt>
                <c:pt idx="174">
                  <c:v>215.52096317329216</c:v>
                </c:pt>
                <c:pt idx="175">
                  <c:v>217.42897004829149</c:v>
                </c:pt>
                <c:pt idx="176">
                  <c:v>219.34791106011028</c:v>
                </c:pt>
                <c:pt idx="177">
                  <c:v>221.27778620874852</c:v>
                </c:pt>
                <c:pt idx="178">
                  <c:v>223.21859549420628</c:v>
                </c:pt>
                <c:pt idx="179">
                  <c:v>225.17033891648353</c:v>
                </c:pt>
                <c:pt idx="180">
                  <c:v>227.13301647558018</c:v>
                </c:pt>
                <c:pt idx="181">
                  <c:v>229.10662817149637</c:v>
                </c:pt>
                <c:pt idx="182">
                  <c:v>231.0911740042321</c:v>
                </c:pt>
                <c:pt idx="183">
                  <c:v>233.08665397378724</c:v>
                </c:pt>
                <c:pt idx="184">
                  <c:v>235.09306808016183</c:v>
                </c:pt>
                <c:pt idx="185">
                  <c:v>237.11041632335593</c:v>
                </c:pt>
                <c:pt idx="186">
                  <c:v>239.13869870336953</c:v>
                </c:pt>
                <c:pt idx="187">
                  <c:v>241.17791522020261</c:v>
                </c:pt>
                <c:pt idx="188">
                  <c:v>243.22806587385517</c:v>
                </c:pt>
                <c:pt idx="189">
                  <c:v>245.28915066432717</c:v>
                </c:pt>
                <c:pt idx="190">
                  <c:v>247.36116959161868</c:v>
                </c:pt>
                <c:pt idx="191">
                  <c:v>249.44412265572967</c:v>
                </c:pt>
                <c:pt idx="192">
                  <c:v>251.53800985666015</c:v>
                </c:pt>
                <c:pt idx="193">
                  <c:v>253.64283119441009</c:v>
                </c:pt>
                <c:pt idx="194">
                  <c:v>255.75858666897958</c:v>
                </c:pt>
                <c:pt idx="195">
                  <c:v>257.88527628036843</c:v>
                </c:pt>
                <c:pt idx="196">
                  <c:v>260.02290002857683</c:v>
                </c:pt>
                <c:pt idx="197">
                  <c:v>262.17145791360474</c:v>
                </c:pt>
                <c:pt idx="198">
                  <c:v>264.33094993545205</c:v>
                </c:pt>
                <c:pt idx="199">
                  <c:v>266.50137609411888</c:v>
                </c:pt>
                <c:pt idx="200">
                  <c:v>268.68273638960511</c:v>
                </c:pt>
                <c:pt idx="201">
                  <c:v>270.87503082191097</c:v>
                </c:pt>
                <c:pt idx="202">
                  <c:v>273.07825939103623</c:v>
                </c:pt>
                <c:pt idx="203">
                  <c:v>275.292422096981</c:v>
                </c:pt>
                <c:pt idx="204">
                  <c:v>277.51751893974529</c:v>
                </c:pt>
                <c:pt idx="205">
                  <c:v>279.75354991932898</c:v>
                </c:pt>
                <c:pt idx="206">
                  <c:v>282.00051503573212</c:v>
                </c:pt>
                <c:pt idx="207">
                  <c:v>284.25841428895478</c:v>
                </c:pt>
                <c:pt idx="208">
                  <c:v>286.52724767899701</c:v>
                </c:pt>
                <c:pt idx="209">
                  <c:v>288.80701520585865</c:v>
                </c:pt>
                <c:pt idx="210">
                  <c:v>291.09771686953979</c:v>
                </c:pt>
                <c:pt idx="211">
                  <c:v>293.39935267004023</c:v>
                </c:pt>
                <c:pt idx="212">
                  <c:v>295.71192260736035</c:v>
                </c:pt>
                <c:pt idx="213">
                  <c:v>298.03542668149993</c:v>
                </c:pt>
                <c:pt idx="214">
                  <c:v>300.36986489245896</c:v>
                </c:pt>
                <c:pt idx="215">
                  <c:v>302.71523724023751</c:v>
                </c:pt>
                <c:pt idx="216">
                  <c:v>305.07154372483552</c:v>
                </c:pt>
                <c:pt idx="217">
                  <c:v>307.43878434625293</c:v>
                </c:pt>
                <c:pt idx="218">
                  <c:v>309.81695910448991</c:v>
                </c:pt>
                <c:pt idx="219">
                  <c:v>312.20606799954635</c:v>
                </c:pt>
                <c:pt idx="220">
                  <c:v>314.6061110314223</c:v>
                </c:pt>
                <c:pt idx="221">
                  <c:v>317.01708820011771</c:v>
                </c:pt>
                <c:pt idx="222">
                  <c:v>319.43899950563252</c:v>
                </c:pt>
                <c:pt idx="223">
                  <c:v>321.87184494796685</c:v>
                </c:pt>
                <c:pt idx="224">
                  <c:v>324.31562452712075</c:v>
                </c:pt>
                <c:pt idx="225">
                  <c:v>326.7703382430941</c:v>
                </c:pt>
                <c:pt idx="226">
                  <c:v>329.23598609588691</c:v>
                </c:pt>
                <c:pt idx="227">
                  <c:v>331.71256808549919</c:v>
                </c:pt>
                <c:pt idx="228">
                  <c:v>334.20008421193091</c:v>
                </c:pt>
                <c:pt idx="229">
                  <c:v>336.6985344751821</c:v>
                </c:pt>
                <c:pt idx="230">
                  <c:v>339.20791887525286</c:v>
                </c:pt>
                <c:pt idx="231">
                  <c:v>341.72823741214307</c:v>
                </c:pt>
                <c:pt idx="232">
                  <c:v>344.2594900858528</c:v>
                </c:pt>
                <c:pt idx="233">
                  <c:v>346.80167689638188</c:v>
                </c:pt>
                <c:pt idx="234">
                  <c:v>349.35479784373052</c:v>
                </c:pt>
                <c:pt idx="235">
                  <c:v>351.91885292789868</c:v>
                </c:pt>
                <c:pt idx="236">
                  <c:v>354.4938421488863</c:v>
                </c:pt>
                <c:pt idx="237">
                  <c:v>357.07976550669338</c:v>
                </c:pt>
                <c:pt idx="238">
                  <c:v>359.67662300131997</c:v>
                </c:pt>
                <c:pt idx="239">
                  <c:v>362.2844146327659</c:v>
                </c:pt>
                <c:pt idx="240">
                  <c:v>364.90314040103146</c:v>
                </c:pt>
                <c:pt idx="241">
                  <c:v>367.53280030611648</c:v>
                </c:pt>
                <c:pt idx="242">
                  <c:v>370.17339434802102</c:v>
                </c:pt>
                <c:pt idx="243">
                  <c:v>372.82492252674496</c:v>
                </c:pt>
                <c:pt idx="244">
                  <c:v>375.48738484228835</c:v>
                </c:pt>
                <c:pt idx="245">
                  <c:v>378.16078129465126</c:v>
                </c:pt>
                <c:pt idx="246">
                  <c:v>380.84511188383368</c:v>
                </c:pt>
                <c:pt idx="247">
                  <c:v>383.54037660983562</c:v>
                </c:pt>
                <c:pt idx="248">
                  <c:v>386.24657547265696</c:v>
                </c:pt>
                <c:pt idx="249">
                  <c:v>388.96370847229787</c:v>
                </c:pt>
                <c:pt idx="250">
                  <c:v>391.69177560875806</c:v>
                </c:pt>
                <c:pt idx="251">
                  <c:v>394.43077688203789</c:v>
                </c:pt>
                <c:pt idx="252">
                  <c:v>397.18071229213723</c:v>
                </c:pt>
                <c:pt idx="253">
                  <c:v>399.94158183905603</c:v>
                </c:pt>
                <c:pt idx="254">
                  <c:v>402.71338552279423</c:v>
                </c:pt>
                <c:pt idx="255">
                  <c:v>405.49612334335188</c:v>
                </c:pt>
                <c:pt idx="256">
                  <c:v>408.28979530072911</c:v>
                </c:pt>
                <c:pt idx="257">
                  <c:v>411.09440139492585</c:v>
                </c:pt>
                <c:pt idx="258">
                  <c:v>413.909941625942</c:v>
                </c:pt>
                <c:pt idx="259">
                  <c:v>416.73641599377771</c:v>
                </c:pt>
                <c:pt idx="260">
                  <c:v>419.57382449843283</c:v>
                </c:pt>
                <c:pt idx="261">
                  <c:v>422.42216713990734</c:v>
                </c:pt>
                <c:pt idx="262">
                  <c:v>425.28144391820143</c:v>
                </c:pt>
                <c:pt idx="263">
                  <c:v>428.15165483331504</c:v>
                </c:pt>
                <c:pt idx="264">
                  <c:v>431.03279988524815</c:v>
                </c:pt>
                <c:pt idx="265">
                  <c:v>433.92487907400067</c:v>
                </c:pt>
                <c:pt idx="266">
                  <c:v>436.82789239957259</c:v>
                </c:pt>
                <c:pt idx="267">
                  <c:v>439.74183986196408</c:v>
                </c:pt>
                <c:pt idx="268">
                  <c:v>442.66672146117503</c:v>
                </c:pt>
                <c:pt idx="269">
                  <c:v>445.60253719720555</c:v>
                </c:pt>
                <c:pt idx="270">
                  <c:v>448.54928707005553</c:v>
                </c:pt>
                <c:pt idx="271">
                  <c:v>451.50697107972491</c:v>
                </c:pt>
                <c:pt idx="272">
                  <c:v>454.47558922621369</c:v>
                </c:pt>
                <c:pt idx="273">
                  <c:v>457.45514150952215</c:v>
                </c:pt>
                <c:pt idx="274">
                  <c:v>460.44562792965002</c:v>
                </c:pt>
                <c:pt idx="275">
                  <c:v>463.4470484865974</c:v>
                </c:pt>
                <c:pt idx="276">
                  <c:v>466.45940318036418</c:v>
                </c:pt>
                <c:pt idx="277">
                  <c:v>469.48269201095036</c:v>
                </c:pt>
                <c:pt idx="278">
                  <c:v>472.51691497835617</c:v>
                </c:pt>
                <c:pt idx="279">
                  <c:v>475.56207208258144</c:v>
                </c:pt>
                <c:pt idx="280">
                  <c:v>478.61816332362616</c:v>
                </c:pt>
                <c:pt idx="281">
                  <c:v>481.6851887014904</c:v>
                </c:pt>
                <c:pt idx="282">
                  <c:v>484.76314821617416</c:v>
                </c:pt>
                <c:pt idx="283">
                  <c:v>487.8520418676772</c:v>
                </c:pt>
                <c:pt idx="284">
                  <c:v>490.95186965599987</c:v>
                </c:pt>
                <c:pt idx="285">
                  <c:v>494.06263158114206</c:v>
                </c:pt>
                <c:pt idx="286">
                  <c:v>497.1843276431037</c:v>
                </c:pt>
                <c:pt idx="287">
                  <c:v>500.3169578418848</c:v>
                </c:pt>
                <c:pt idx="288">
                  <c:v>503.4605221774853</c:v>
                </c:pt>
                <c:pt idx="289">
                  <c:v>506.61502064990538</c:v>
                </c:pt>
                <c:pt idx="290">
                  <c:v>509.78045325914491</c:v>
                </c:pt>
                <c:pt idx="291">
                  <c:v>512.95682000520389</c:v>
                </c:pt>
                <c:pt idx="292">
                  <c:v>516.14412088808251</c:v>
                </c:pt>
                <c:pt idx="293">
                  <c:v>519.3423559077803</c:v>
                </c:pt>
                <c:pt idx="294">
                  <c:v>522.55152506429783</c:v>
                </c:pt>
                <c:pt idx="295">
                  <c:v>525.77162835763477</c:v>
                </c:pt>
                <c:pt idx="296">
                  <c:v>529.00266578779122</c:v>
                </c:pt>
                <c:pt idx="297">
                  <c:v>532.24463735476706</c:v>
                </c:pt>
                <c:pt idx="298">
                  <c:v>535.49754305856254</c:v>
                </c:pt>
                <c:pt idx="299">
                  <c:v>538.76138289917731</c:v>
                </c:pt>
                <c:pt idx="300">
                  <c:v>542.0361568766117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DFA-4377-984B-F7F496481052}"/>
            </c:ext>
          </c:extLst>
        </c:ser>
        <c:ser>
          <c:idx val="5"/>
          <c:order val="5"/>
          <c:tx>
            <c:v>Pump Performance VFD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name>Pump Performance VFD Trendline</c:nam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forward val="300"/>
            <c:dispRSqr val="0"/>
            <c:dispEq val="0"/>
          </c:trendline>
          <c:xVal>
            <c:numRef>
              <c:f>Sheet1!$AX$10:$AX$16</c:f>
              <c:numCache>
                <c:formatCode>General</c:formatCode>
                <c:ptCount val="7"/>
                <c:pt idx="0">
                  <c:v>0</c:v>
                </c:pt>
                <c:pt idx="1">
                  <c:v>338.57473660480349</c:v>
                </c:pt>
                <c:pt idx="2">
                  <c:v>677.14947320960698</c:v>
                </c:pt>
                <c:pt idx="3">
                  <c:v>1015.7242098144104</c:v>
                </c:pt>
                <c:pt idx="4">
                  <c:v>1354.298946419214</c:v>
                </c:pt>
                <c:pt idx="5">
                  <c:v>1692.8736830240173</c:v>
                </c:pt>
                <c:pt idx="6">
                  <c:v>2031.4484196288208</c:v>
                </c:pt>
              </c:numCache>
            </c:numRef>
          </c:xVal>
          <c:yVal>
            <c:numRef>
              <c:f>Sheet1!$AY$10:$AY$16</c:f>
              <c:numCache>
                <c:formatCode>General</c:formatCode>
                <c:ptCount val="7"/>
                <c:pt idx="0">
                  <c:v>82.077122223180623</c:v>
                </c:pt>
                <c:pt idx="1">
                  <c:v>80.701527995976477</c:v>
                </c:pt>
                <c:pt idx="2">
                  <c:v>75.657682496227949</c:v>
                </c:pt>
                <c:pt idx="3">
                  <c:v>66.487054314866981</c:v>
                </c:pt>
                <c:pt idx="4">
                  <c:v>54.565237679097734</c:v>
                </c:pt>
                <c:pt idx="5">
                  <c:v>38.516638361716048</c:v>
                </c:pt>
                <c:pt idx="6">
                  <c:v>19.716850589926072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DFA-4377-984B-F7F496481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849231"/>
        <c:axId val="943931647"/>
      </c:scatterChart>
      <c:valAx>
        <c:axId val="533849231"/>
        <c:scaling>
          <c:orientation val="minMax"/>
          <c:max val="3100"/>
          <c:min val="1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Volumetric</a:t>
                </a:r>
                <a:r>
                  <a:rPr lang="en-US" baseline="0">
                    <a:solidFill>
                      <a:schemeClr val="tx1"/>
                    </a:solidFill>
                  </a:rPr>
                  <a:t> Flowrate, </a:t>
                </a:r>
                <a:r>
                  <a:rPr lang="en-US" i="1" baseline="0">
                    <a:solidFill>
                      <a:schemeClr val="tx1"/>
                    </a:solidFill>
                  </a:rPr>
                  <a:t>Q</a:t>
                </a:r>
                <a:r>
                  <a:rPr lang="en-US" baseline="0">
                    <a:solidFill>
                      <a:schemeClr val="tx1"/>
                    </a:solidFill>
                  </a:rPr>
                  <a:t> [gpm]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3931647"/>
        <c:crosses val="autoZero"/>
        <c:crossBetween val="midCat"/>
      </c:valAx>
      <c:valAx>
        <c:axId val="943931647"/>
        <c:scaling>
          <c:orientation val="minMax"/>
          <c:max val="300"/>
          <c:min val="0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Pump Head, </a:t>
                </a:r>
                <a:r>
                  <a:rPr lang="en-US" i="1">
                    <a:solidFill>
                      <a:schemeClr val="tx1"/>
                    </a:solidFill>
                  </a:rPr>
                  <a:t>H</a:t>
                </a:r>
                <a:r>
                  <a:rPr lang="en-US" i="0">
                    <a:solidFill>
                      <a:schemeClr val="tx1"/>
                    </a:solidFill>
                  </a:rPr>
                  <a:t>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3849231"/>
        <c:crossesAt val="-50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5574133311461069"/>
          <c:y val="0.10868022747156605"/>
          <c:w val="0.30561925853018374"/>
          <c:h val="0.4077362204724409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6329052618422696E-2"/>
          <c:y val="2.1363735783027121E-2"/>
          <c:w val="0.89192491563554555"/>
          <c:h val="0.8672326115485564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Pump Performance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ysClr val="windowText" lastClr="000000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trendline>
            <c:name>Pump Performance Trendline</c:name>
            <c:spPr>
              <a:ln w="19050" cap="rnd" cmpd="sng">
                <a:solidFill>
                  <a:sysClr val="windowText" lastClr="000000"/>
                </a:solidFill>
                <a:prstDash val="sysDot"/>
              </a:ln>
              <a:effectLst/>
            </c:spPr>
            <c:trendlineType val="poly"/>
            <c:order val="2"/>
            <c:forward val="100"/>
            <c:dispRSqr val="0"/>
            <c:dispEq val="0"/>
          </c:trendline>
          <c:xVal>
            <c:numRef>
              <c:f>Sheet1!$H$6:$H$12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</c:numCache>
            </c:numRef>
          </c:xVal>
          <c:yVal>
            <c:numRef>
              <c:f>Sheet1!$I$6:$I$12</c:f>
              <c:numCache>
                <c:formatCode>General</c:formatCode>
                <c:ptCount val="7"/>
                <c:pt idx="0">
                  <c:v>179</c:v>
                </c:pt>
                <c:pt idx="1">
                  <c:v>176</c:v>
                </c:pt>
                <c:pt idx="2">
                  <c:v>165</c:v>
                </c:pt>
                <c:pt idx="3">
                  <c:v>145</c:v>
                </c:pt>
                <c:pt idx="4">
                  <c:v>119</c:v>
                </c:pt>
                <c:pt idx="5">
                  <c:v>84</c:v>
                </c:pt>
                <c:pt idx="6">
                  <c:v>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25-46A4-A13A-AA94CF97BBF7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System Curve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trendline>
            <c:name>System Curve Trendline</c:name>
            <c:spPr>
              <a:ln w="19050" cap="rnd">
                <a:solidFill>
                  <a:srgbClr val="00B0F0"/>
                </a:solidFill>
                <a:prstDash val="sysDot"/>
              </a:ln>
              <a:effectLst/>
            </c:spPr>
            <c:trendlineType val="poly"/>
            <c:order val="2"/>
            <c:forward val="100"/>
            <c:dispRSqr val="0"/>
            <c:dispEq val="0"/>
          </c:trendline>
          <c:xVal>
            <c:numRef>
              <c:f>Sheet1!$B$6:$B$306</c:f>
              <c:numCache>
                <c:formatCode>General</c:formatCode>
                <c:ptCount val="3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</c:numCache>
            </c:numRef>
          </c:xVal>
          <c:yVal>
            <c:numRef>
              <c:f>Sheet1!$D$6:$D$306</c:f>
              <c:numCache>
                <c:formatCode>0.00</c:formatCode>
                <c:ptCount val="301"/>
                <c:pt idx="0">
                  <c:v>50</c:v>
                </c:pt>
                <c:pt idx="1">
                  <c:v>50.000226700441921</c:v>
                </c:pt>
                <c:pt idx="2">
                  <c:v>50.000906801767684</c:v>
                </c:pt>
                <c:pt idx="3">
                  <c:v>50.002040303977289</c:v>
                </c:pt>
                <c:pt idx="4">
                  <c:v>50.003627207070735</c:v>
                </c:pt>
                <c:pt idx="5">
                  <c:v>50.005667511048024</c:v>
                </c:pt>
                <c:pt idx="6">
                  <c:v>50.008161215909155</c:v>
                </c:pt>
                <c:pt idx="7">
                  <c:v>50.011108321654127</c:v>
                </c:pt>
                <c:pt idx="8">
                  <c:v>50.014508828282942</c:v>
                </c:pt>
                <c:pt idx="9">
                  <c:v>50.018362735795598</c:v>
                </c:pt>
                <c:pt idx="10">
                  <c:v>50.022670044192097</c:v>
                </c:pt>
                <c:pt idx="11">
                  <c:v>50.027430753472437</c:v>
                </c:pt>
                <c:pt idx="12">
                  <c:v>50.032644863636619</c:v>
                </c:pt>
                <c:pt idx="13">
                  <c:v>50.038312374684644</c:v>
                </c:pt>
                <c:pt idx="14">
                  <c:v>50.04443328661651</c:v>
                </c:pt>
                <c:pt idx="15">
                  <c:v>50.051007599432218</c:v>
                </c:pt>
                <c:pt idx="16">
                  <c:v>50.058035313131768</c:v>
                </c:pt>
                <c:pt idx="17">
                  <c:v>50.06551642771516</c:v>
                </c:pt>
                <c:pt idx="18">
                  <c:v>50.073450943182394</c:v>
                </c:pt>
                <c:pt idx="19">
                  <c:v>50.08183885953347</c:v>
                </c:pt>
                <c:pt idx="20">
                  <c:v>50.090680176768387</c:v>
                </c:pt>
                <c:pt idx="21">
                  <c:v>50.099974894887147</c:v>
                </c:pt>
                <c:pt idx="22">
                  <c:v>50.109723013889749</c:v>
                </c:pt>
                <c:pt idx="23">
                  <c:v>50.119924533776192</c:v>
                </c:pt>
                <c:pt idx="24">
                  <c:v>50.130579454546478</c:v>
                </c:pt>
                <c:pt idx="25">
                  <c:v>50.141687776200605</c:v>
                </c:pt>
                <c:pt idx="26">
                  <c:v>50.153249498738575</c:v>
                </c:pt>
                <c:pt idx="27">
                  <c:v>50.165264622160386</c:v>
                </c:pt>
                <c:pt idx="28">
                  <c:v>50.177733146466039</c:v>
                </c:pt>
                <c:pt idx="29">
                  <c:v>50.190655071655534</c:v>
                </c:pt>
                <c:pt idx="30">
                  <c:v>50.204030397728872</c:v>
                </c:pt>
                <c:pt idx="31">
                  <c:v>50.217859124686051</c:v>
                </c:pt>
                <c:pt idx="32">
                  <c:v>50.232141252527072</c:v>
                </c:pt>
                <c:pt idx="33">
                  <c:v>50.246876781251935</c:v>
                </c:pt>
                <c:pt idx="34">
                  <c:v>50.262065710860639</c:v>
                </c:pt>
                <c:pt idx="35">
                  <c:v>50.277708041353186</c:v>
                </c:pt>
                <c:pt idx="36">
                  <c:v>50.293803772729575</c:v>
                </c:pt>
                <c:pt idx="37">
                  <c:v>50.310352904989806</c:v>
                </c:pt>
                <c:pt idx="38">
                  <c:v>50.327355438133878</c:v>
                </c:pt>
                <c:pt idx="39">
                  <c:v>50.344811372161793</c:v>
                </c:pt>
                <c:pt idx="40">
                  <c:v>50.362720707073549</c:v>
                </c:pt>
                <c:pt idx="41">
                  <c:v>50.381083442869148</c:v>
                </c:pt>
                <c:pt idx="42">
                  <c:v>50.399899579548588</c:v>
                </c:pt>
                <c:pt idx="43">
                  <c:v>50.419169117111878</c:v>
                </c:pt>
                <c:pt idx="44">
                  <c:v>50.438892055559002</c:v>
                </c:pt>
                <c:pt idx="45">
                  <c:v>50.459068394889968</c:v>
                </c:pt>
                <c:pt idx="46">
                  <c:v>50.479698135104776</c:v>
                </c:pt>
                <c:pt idx="47">
                  <c:v>50.500781276203426</c:v>
                </c:pt>
                <c:pt idx="48">
                  <c:v>50.522317818185918</c:v>
                </c:pt>
                <c:pt idx="49">
                  <c:v>50.544307761052252</c:v>
                </c:pt>
                <c:pt idx="50">
                  <c:v>50.566751104802428</c:v>
                </c:pt>
                <c:pt idx="51">
                  <c:v>50.589647849436446</c:v>
                </c:pt>
                <c:pt idx="52">
                  <c:v>50.612997994954306</c:v>
                </c:pt>
                <c:pt idx="53">
                  <c:v>50.636801541356007</c:v>
                </c:pt>
                <c:pt idx="54">
                  <c:v>50.661058488641551</c:v>
                </c:pt>
                <c:pt idx="55">
                  <c:v>50.685768836810936</c:v>
                </c:pt>
                <c:pt idx="56">
                  <c:v>50.710932585864164</c:v>
                </c:pt>
                <c:pt idx="57">
                  <c:v>50.736549735801233</c:v>
                </c:pt>
                <c:pt idx="58">
                  <c:v>50.762620286622145</c:v>
                </c:pt>
                <c:pt idx="59">
                  <c:v>50.789144238326898</c:v>
                </c:pt>
                <c:pt idx="60">
                  <c:v>50.816121590915493</c:v>
                </c:pt>
                <c:pt idx="61">
                  <c:v>50.84355234438793</c:v>
                </c:pt>
                <c:pt idx="62">
                  <c:v>50.87143649874421</c:v>
                </c:pt>
                <c:pt idx="63">
                  <c:v>50.899774053984331</c:v>
                </c:pt>
                <c:pt idx="64">
                  <c:v>50.928565010108294</c:v>
                </c:pt>
                <c:pt idx="65">
                  <c:v>50.957809367116099</c:v>
                </c:pt>
                <c:pt idx="66">
                  <c:v>50.987507125007745</c:v>
                </c:pt>
                <c:pt idx="67">
                  <c:v>51.017658283783234</c:v>
                </c:pt>
                <c:pt idx="68">
                  <c:v>51.048262843442565</c:v>
                </c:pt>
                <c:pt idx="69">
                  <c:v>51.079320803985738</c:v>
                </c:pt>
                <c:pt idx="70">
                  <c:v>51.110832165412752</c:v>
                </c:pt>
                <c:pt idx="71">
                  <c:v>51.142796927723609</c:v>
                </c:pt>
                <c:pt idx="72">
                  <c:v>51.175215090918307</c:v>
                </c:pt>
                <c:pt idx="73">
                  <c:v>51.208086654996848</c:v>
                </c:pt>
                <c:pt idx="74">
                  <c:v>51.241411619959237</c:v>
                </c:pt>
                <c:pt idx="75">
                  <c:v>51.275189985805461</c:v>
                </c:pt>
                <c:pt idx="76">
                  <c:v>51.309421752535528</c:v>
                </c:pt>
                <c:pt idx="77">
                  <c:v>51.344106920149436</c:v>
                </c:pt>
                <c:pt idx="78">
                  <c:v>51.379245488647186</c:v>
                </c:pt>
                <c:pt idx="79">
                  <c:v>51.414837458028778</c:v>
                </c:pt>
                <c:pt idx="80">
                  <c:v>51.450882828294212</c:v>
                </c:pt>
                <c:pt idx="81">
                  <c:v>51.487381599443488</c:v>
                </c:pt>
                <c:pt idx="82">
                  <c:v>51.524333771476606</c:v>
                </c:pt>
                <c:pt idx="83">
                  <c:v>51.561739344393565</c:v>
                </c:pt>
                <c:pt idx="84">
                  <c:v>51.599598318194367</c:v>
                </c:pt>
                <c:pt idx="85">
                  <c:v>51.637910692879011</c:v>
                </c:pt>
                <c:pt idx="86">
                  <c:v>51.676676468447496</c:v>
                </c:pt>
                <c:pt idx="87">
                  <c:v>51.715895644899824</c:v>
                </c:pt>
                <c:pt idx="88">
                  <c:v>51.755568222235993</c:v>
                </c:pt>
                <c:pt idx="89">
                  <c:v>51.795694200456005</c:v>
                </c:pt>
                <c:pt idx="90">
                  <c:v>51.836273579559858</c:v>
                </c:pt>
                <c:pt idx="91">
                  <c:v>51.877306359547553</c:v>
                </c:pt>
                <c:pt idx="92">
                  <c:v>51.918792540419091</c:v>
                </c:pt>
                <c:pt idx="93">
                  <c:v>51.96073212217447</c:v>
                </c:pt>
                <c:pt idx="94">
                  <c:v>52.003125104813691</c:v>
                </c:pt>
                <c:pt idx="95">
                  <c:v>52.045971488336761</c:v>
                </c:pt>
                <c:pt idx="96">
                  <c:v>52.089271272743666</c:v>
                </c:pt>
                <c:pt idx="97">
                  <c:v>52.133024458034413</c:v>
                </c:pt>
                <c:pt idx="98">
                  <c:v>52.177231044209002</c:v>
                </c:pt>
                <c:pt idx="99">
                  <c:v>52.221891031267432</c:v>
                </c:pt>
                <c:pt idx="100">
                  <c:v>52.267004419209705</c:v>
                </c:pt>
                <c:pt idx="101">
                  <c:v>52.31257120803582</c:v>
                </c:pt>
                <c:pt idx="102">
                  <c:v>52.358591397745776</c:v>
                </c:pt>
                <c:pt idx="103">
                  <c:v>52.405064988339575</c:v>
                </c:pt>
                <c:pt idx="104">
                  <c:v>52.451991979817215</c:v>
                </c:pt>
                <c:pt idx="105">
                  <c:v>52.499372372178698</c:v>
                </c:pt>
                <c:pt idx="106">
                  <c:v>52.547206165424022</c:v>
                </c:pt>
                <c:pt idx="107">
                  <c:v>52.595493359553188</c:v>
                </c:pt>
                <c:pt idx="108">
                  <c:v>52.644233954566197</c:v>
                </c:pt>
                <c:pt idx="109">
                  <c:v>52.693427950463047</c:v>
                </c:pt>
                <c:pt idx="110">
                  <c:v>52.743075347243739</c:v>
                </c:pt>
                <c:pt idx="111">
                  <c:v>52.793176144908273</c:v>
                </c:pt>
                <c:pt idx="112">
                  <c:v>52.843730343456656</c:v>
                </c:pt>
                <c:pt idx="113">
                  <c:v>52.894737942888874</c:v>
                </c:pt>
                <c:pt idx="114">
                  <c:v>52.946198943204934</c:v>
                </c:pt>
                <c:pt idx="115">
                  <c:v>52.998113344404835</c:v>
                </c:pt>
                <c:pt idx="116">
                  <c:v>53.050481146488579</c:v>
                </c:pt>
                <c:pt idx="117">
                  <c:v>53.103302349456165</c:v>
                </c:pt>
                <c:pt idx="118">
                  <c:v>53.156576953307592</c:v>
                </c:pt>
                <c:pt idx="119">
                  <c:v>53.210304958042862</c:v>
                </c:pt>
                <c:pt idx="120">
                  <c:v>53.264486363661973</c:v>
                </c:pt>
                <c:pt idx="121">
                  <c:v>53.319121170164927</c:v>
                </c:pt>
                <c:pt idx="122">
                  <c:v>53.374209377551722</c:v>
                </c:pt>
                <c:pt idx="123">
                  <c:v>53.429750985822359</c:v>
                </c:pt>
                <c:pt idx="124">
                  <c:v>53.485745994976838</c:v>
                </c:pt>
                <c:pt idx="125">
                  <c:v>53.542194405015159</c:v>
                </c:pt>
                <c:pt idx="126">
                  <c:v>53.599096215937323</c:v>
                </c:pt>
                <c:pt idx="127">
                  <c:v>53.656451427743335</c:v>
                </c:pt>
                <c:pt idx="128">
                  <c:v>53.714260040433182</c:v>
                </c:pt>
                <c:pt idx="129">
                  <c:v>53.77252205400687</c:v>
                </c:pt>
                <c:pt idx="130">
                  <c:v>53.831237468464401</c:v>
                </c:pt>
                <c:pt idx="131">
                  <c:v>53.890406283805774</c:v>
                </c:pt>
                <c:pt idx="132">
                  <c:v>53.950028500030989</c:v>
                </c:pt>
                <c:pt idx="133">
                  <c:v>54.010104117140045</c:v>
                </c:pt>
                <c:pt idx="134">
                  <c:v>54.070633135132944</c:v>
                </c:pt>
                <c:pt idx="135">
                  <c:v>54.131615554009684</c:v>
                </c:pt>
                <c:pt idx="136">
                  <c:v>54.193051373770267</c:v>
                </c:pt>
                <c:pt idx="137">
                  <c:v>54.254940594414691</c:v>
                </c:pt>
                <c:pt idx="138">
                  <c:v>54.317283215942957</c:v>
                </c:pt>
                <c:pt idx="139">
                  <c:v>54.380079238355066</c:v>
                </c:pt>
                <c:pt idx="140">
                  <c:v>54.443328661651023</c:v>
                </c:pt>
                <c:pt idx="141">
                  <c:v>54.507031485830815</c:v>
                </c:pt>
                <c:pt idx="142">
                  <c:v>54.571187710894449</c:v>
                </c:pt>
                <c:pt idx="143">
                  <c:v>54.635797336841925</c:v>
                </c:pt>
                <c:pt idx="144">
                  <c:v>54.700860363673243</c:v>
                </c:pt>
                <c:pt idx="145">
                  <c:v>54.766376791388403</c:v>
                </c:pt>
                <c:pt idx="146">
                  <c:v>54.832346619987405</c:v>
                </c:pt>
                <c:pt idx="147">
                  <c:v>54.898769849470249</c:v>
                </c:pt>
                <c:pt idx="148">
                  <c:v>54.965646479836934</c:v>
                </c:pt>
                <c:pt idx="149">
                  <c:v>55.032976511087462</c:v>
                </c:pt>
                <c:pt idx="150">
                  <c:v>55.100759943221831</c:v>
                </c:pt>
                <c:pt idx="151">
                  <c:v>55.168996776240043</c:v>
                </c:pt>
                <c:pt idx="152">
                  <c:v>55.237687010142096</c:v>
                </c:pt>
                <c:pt idx="153">
                  <c:v>55.306830644927999</c:v>
                </c:pt>
                <c:pt idx="154">
                  <c:v>55.376427680597736</c:v>
                </c:pt>
                <c:pt idx="155">
                  <c:v>55.446478117151315</c:v>
                </c:pt>
                <c:pt idx="156">
                  <c:v>55.516981954588736</c:v>
                </c:pt>
                <c:pt idx="157">
                  <c:v>55.58793919291</c:v>
                </c:pt>
                <c:pt idx="158">
                  <c:v>55.659349832115105</c:v>
                </c:pt>
                <c:pt idx="159">
                  <c:v>55.731213872204052</c:v>
                </c:pt>
                <c:pt idx="160">
                  <c:v>55.80353131317684</c:v>
                </c:pt>
                <c:pt idx="161">
                  <c:v>55.876302155033471</c:v>
                </c:pt>
                <c:pt idx="162">
                  <c:v>55.949526397773944</c:v>
                </c:pt>
                <c:pt idx="163">
                  <c:v>56.023204041398259</c:v>
                </c:pt>
                <c:pt idx="164">
                  <c:v>56.097335085906423</c:v>
                </c:pt>
                <c:pt idx="165">
                  <c:v>56.171919531298421</c:v>
                </c:pt>
                <c:pt idx="166">
                  <c:v>56.246957377574262</c:v>
                </c:pt>
                <c:pt idx="167">
                  <c:v>56.322448624733944</c:v>
                </c:pt>
                <c:pt idx="168">
                  <c:v>56.398393272777469</c:v>
                </c:pt>
                <c:pt idx="169">
                  <c:v>56.474791321704835</c:v>
                </c:pt>
                <c:pt idx="170">
                  <c:v>56.551642771516043</c:v>
                </c:pt>
                <c:pt idx="171">
                  <c:v>56.628947622211093</c:v>
                </c:pt>
                <c:pt idx="172">
                  <c:v>56.706705873789986</c:v>
                </c:pt>
                <c:pt idx="173">
                  <c:v>56.78491752625272</c:v>
                </c:pt>
                <c:pt idx="174">
                  <c:v>56.863582579599296</c:v>
                </c:pt>
                <c:pt idx="175">
                  <c:v>56.942701033829721</c:v>
                </c:pt>
                <c:pt idx="176">
                  <c:v>57.022272888943981</c:v>
                </c:pt>
                <c:pt idx="177">
                  <c:v>57.102298144942083</c:v>
                </c:pt>
                <c:pt idx="178">
                  <c:v>57.182776801824026</c:v>
                </c:pt>
                <c:pt idx="179">
                  <c:v>57.263708859589812</c:v>
                </c:pt>
                <c:pt idx="180">
                  <c:v>57.34509431823944</c:v>
                </c:pt>
                <c:pt idx="181">
                  <c:v>57.426933177772909</c:v>
                </c:pt>
                <c:pt idx="182">
                  <c:v>57.509225438190228</c:v>
                </c:pt>
                <c:pt idx="183">
                  <c:v>57.591971099491374</c:v>
                </c:pt>
                <c:pt idx="184">
                  <c:v>57.67517016167637</c:v>
                </c:pt>
                <c:pt idx="185">
                  <c:v>57.758822624745207</c:v>
                </c:pt>
                <c:pt idx="186">
                  <c:v>57.842928488697893</c:v>
                </c:pt>
                <c:pt idx="187">
                  <c:v>57.927487753534415</c:v>
                </c:pt>
                <c:pt idx="188">
                  <c:v>58.012500419254778</c:v>
                </c:pt>
                <c:pt idx="189">
                  <c:v>58.097966485858983</c:v>
                </c:pt>
                <c:pt idx="190">
                  <c:v>58.18388595334703</c:v>
                </c:pt>
                <c:pt idx="191">
                  <c:v>58.270258821718919</c:v>
                </c:pt>
                <c:pt idx="192">
                  <c:v>58.35708509097465</c:v>
                </c:pt>
                <c:pt idx="193">
                  <c:v>58.44436476111423</c:v>
                </c:pt>
                <c:pt idx="194">
                  <c:v>58.532097832137644</c:v>
                </c:pt>
                <c:pt idx="195">
                  <c:v>58.620284304044894</c:v>
                </c:pt>
                <c:pt idx="196">
                  <c:v>58.708924176836</c:v>
                </c:pt>
                <c:pt idx="197">
                  <c:v>58.79801745051094</c:v>
                </c:pt>
                <c:pt idx="198">
                  <c:v>58.887564125069723</c:v>
                </c:pt>
                <c:pt idx="199">
                  <c:v>58.977564200512347</c:v>
                </c:pt>
                <c:pt idx="200">
                  <c:v>59.068017676838814</c:v>
                </c:pt>
                <c:pt idx="201">
                  <c:v>59.158924554049122</c:v>
                </c:pt>
                <c:pt idx="202">
                  <c:v>59.250284832143279</c:v>
                </c:pt>
                <c:pt idx="203">
                  <c:v>59.342098511121264</c:v>
                </c:pt>
                <c:pt idx="204">
                  <c:v>59.434365590983106</c:v>
                </c:pt>
                <c:pt idx="205">
                  <c:v>59.527086071728782</c:v>
                </c:pt>
                <c:pt idx="206">
                  <c:v>59.6202599533583</c:v>
                </c:pt>
                <c:pt idx="207">
                  <c:v>59.71388723587166</c:v>
                </c:pt>
                <c:pt idx="208">
                  <c:v>59.807967919268862</c:v>
                </c:pt>
                <c:pt idx="209">
                  <c:v>59.902502003549905</c:v>
                </c:pt>
                <c:pt idx="210">
                  <c:v>59.997489488714791</c:v>
                </c:pt>
                <c:pt idx="211">
                  <c:v>60.092930374763519</c:v>
                </c:pt>
                <c:pt idx="212">
                  <c:v>60.188824661696088</c:v>
                </c:pt>
                <c:pt idx="213">
                  <c:v>60.285172349512507</c:v>
                </c:pt>
                <c:pt idx="214">
                  <c:v>60.381973438212761</c:v>
                </c:pt>
                <c:pt idx="215">
                  <c:v>60.479227927796856</c:v>
                </c:pt>
                <c:pt idx="216">
                  <c:v>60.576935818264793</c:v>
                </c:pt>
                <c:pt idx="217">
                  <c:v>60.675097109616573</c:v>
                </c:pt>
                <c:pt idx="218">
                  <c:v>60.773711801852194</c:v>
                </c:pt>
                <c:pt idx="219">
                  <c:v>60.872779894971657</c:v>
                </c:pt>
                <c:pt idx="220">
                  <c:v>60.972301388974969</c:v>
                </c:pt>
                <c:pt idx="221">
                  <c:v>61.072276283862116</c:v>
                </c:pt>
                <c:pt idx="222">
                  <c:v>61.172704579633105</c:v>
                </c:pt>
                <c:pt idx="223">
                  <c:v>61.273586276287929</c:v>
                </c:pt>
                <c:pt idx="224">
                  <c:v>61.374921373826609</c:v>
                </c:pt>
                <c:pt idx="225">
                  <c:v>61.476709872249124</c:v>
                </c:pt>
                <c:pt idx="226">
                  <c:v>61.578951771555481</c:v>
                </c:pt>
                <c:pt idx="227">
                  <c:v>61.681647071745687</c:v>
                </c:pt>
                <c:pt idx="228">
                  <c:v>61.78479577281972</c:v>
                </c:pt>
                <c:pt idx="229">
                  <c:v>61.88839787477761</c:v>
                </c:pt>
                <c:pt idx="230">
                  <c:v>61.992453377619334</c:v>
                </c:pt>
                <c:pt idx="231">
                  <c:v>62.096962281344901</c:v>
                </c:pt>
                <c:pt idx="232">
                  <c:v>62.201924585954309</c:v>
                </c:pt>
                <c:pt idx="233">
                  <c:v>62.307340291447559</c:v>
                </c:pt>
                <c:pt idx="234">
                  <c:v>62.413209397824652</c:v>
                </c:pt>
                <c:pt idx="235">
                  <c:v>62.519531905085586</c:v>
                </c:pt>
                <c:pt idx="236">
                  <c:v>62.626307813230369</c:v>
                </c:pt>
                <c:pt idx="237">
                  <c:v>62.733537122258987</c:v>
                </c:pt>
                <c:pt idx="238">
                  <c:v>62.841219832171447</c:v>
                </c:pt>
                <c:pt idx="239">
                  <c:v>62.949355942967749</c:v>
                </c:pt>
                <c:pt idx="240">
                  <c:v>63.057945454647893</c:v>
                </c:pt>
                <c:pt idx="241">
                  <c:v>63.166988367211879</c:v>
                </c:pt>
                <c:pt idx="242">
                  <c:v>63.276484680659706</c:v>
                </c:pt>
                <c:pt idx="243">
                  <c:v>63.386434394991383</c:v>
                </c:pt>
                <c:pt idx="244">
                  <c:v>63.496837510206888</c:v>
                </c:pt>
                <c:pt idx="245">
                  <c:v>63.607694026306248</c:v>
                </c:pt>
                <c:pt idx="246">
                  <c:v>63.719003943289444</c:v>
                </c:pt>
                <c:pt idx="247">
                  <c:v>63.830767261156481</c:v>
                </c:pt>
                <c:pt idx="248">
                  <c:v>63.94298397990736</c:v>
                </c:pt>
                <c:pt idx="249">
                  <c:v>64.055654099542082</c:v>
                </c:pt>
                <c:pt idx="250">
                  <c:v>64.168777620060652</c:v>
                </c:pt>
                <c:pt idx="251">
                  <c:v>64.28235454146305</c:v>
                </c:pt>
                <c:pt idx="252">
                  <c:v>64.396384863749304</c:v>
                </c:pt>
                <c:pt idx="253">
                  <c:v>64.510868586919401</c:v>
                </c:pt>
                <c:pt idx="254">
                  <c:v>64.625805710973324</c:v>
                </c:pt>
                <c:pt idx="255">
                  <c:v>64.741196235911104</c:v>
                </c:pt>
                <c:pt idx="256">
                  <c:v>64.857040161732712</c:v>
                </c:pt>
                <c:pt idx="257">
                  <c:v>64.973337488438176</c:v>
                </c:pt>
                <c:pt idx="258">
                  <c:v>65.090088216027468</c:v>
                </c:pt>
                <c:pt idx="259">
                  <c:v>65.207292344500615</c:v>
                </c:pt>
                <c:pt idx="260">
                  <c:v>65.324949873857605</c:v>
                </c:pt>
                <c:pt idx="261">
                  <c:v>65.443060804098423</c:v>
                </c:pt>
                <c:pt idx="262">
                  <c:v>65.561625135223096</c:v>
                </c:pt>
                <c:pt idx="263">
                  <c:v>65.680642867231597</c:v>
                </c:pt>
                <c:pt idx="264">
                  <c:v>65.800114000123955</c:v>
                </c:pt>
                <c:pt idx="265">
                  <c:v>65.92003853390014</c:v>
                </c:pt>
                <c:pt idx="266">
                  <c:v>66.040416468560181</c:v>
                </c:pt>
                <c:pt idx="267">
                  <c:v>66.16124780410405</c:v>
                </c:pt>
                <c:pt idx="268">
                  <c:v>66.282532540531776</c:v>
                </c:pt>
                <c:pt idx="269">
                  <c:v>66.404270677843328</c:v>
                </c:pt>
                <c:pt idx="270">
                  <c:v>66.526462216038738</c:v>
                </c:pt>
                <c:pt idx="271">
                  <c:v>66.649107155117989</c:v>
                </c:pt>
                <c:pt idx="272">
                  <c:v>66.772205495081067</c:v>
                </c:pt>
                <c:pt idx="273">
                  <c:v>66.895757235928002</c:v>
                </c:pt>
                <c:pt idx="274">
                  <c:v>67.019762377658765</c:v>
                </c:pt>
                <c:pt idx="275">
                  <c:v>67.144220920273384</c:v>
                </c:pt>
                <c:pt idx="276">
                  <c:v>67.269132863771844</c:v>
                </c:pt>
                <c:pt idx="277">
                  <c:v>67.394498208154133</c:v>
                </c:pt>
                <c:pt idx="278">
                  <c:v>67.520316953420277</c:v>
                </c:pt>
                <c:pt idx="279">
                  <c:v>67.646589099570249</c:v>
                </c:pt>
                <c:pt idx="280">
                  <c:v>67.773314646604078</c:v>
                </c:pt>
                <c:pt idx="281">
                  <c:v>67.900493594521748</c:v>
                </c:pt>
                <c:pt idx="282">
                  <c:v>68.028125943323246</c:v>
                </c:pt>
                <c:pt idx="283">
                  <c:v>68.156211693008601</c:v>
                </c:pt>
                <c:pt idx="284">
                  <c:v>68.284750843577783</c:v>
                </c:pt>
                <c:pt idx="285">
                  <c:v>68.413743395030821</c:v>
                </c:pt>
                <c:pt idx="286">
                  <c:v>68.543189347367701</c:v>
                </c:pt>
                <c:pt idx="287">
                  <c:v>68.673088700588409</c:v>
                </c:pt>
                <c:pt idx="288">
                  <c:v>68.803441454692972</c:v>
                </c:pt>
                <c:pt idx="289">
                  <c:v>68.934247609681364</c:v>
                </c:pt>
                <c:pt idx="290">
                  <c:v>69.065507165553612</c:v>
                </c:pt>
                <c:pt idx="291">
                  <c:v>69.197220122309687</c:v>
                </c:pt>
                <c:pt idx="292">
                  <c:v>69.329386479949619</c:v>
                </c:pt>
                <c:pt idx="293">
                  <c:v>69.462006238473379</c:v>
                </c:pt>
                <c:pt idx="294">
                  <c:v>69.595079397880994</c:v>
                </c:pt>
                <c:pt idx="295">
                  <c:v>69.728605958172437</c:v>
                </c:pt>
                <c:pt idx="296">
                  <c:v>69.862585919347737</c:v>
                </c:pt>
                <c:pt idx="297">
                  <c:v>69.997019281406878</c:v>
                </c:pt>
                <c:pt idx="298">
                  <c:v>70.131906044349847</c:v>
                </c:pt>
                <c:pt idx="299">
                  <c:v>70.267246208176672</c:v>
                </c:pt>
                <c:pt idx="300">
                  <c:v>70.403039772887325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25-46A4-A13A-AA94CF97BBF7}"/>
            </c:ext>
          </c:extLst>
        </c:ser>
        <c:ser>
          <c:idx val="4"/>
          <c:order val="2"/>
          <c:tx>
            <c:v>System Curve Gate Valve Adjusted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Sheet1!$B$6:$B$306</c:f>
              <c:numCache>
                <c:formatCode>General</c:formatCode>
                <c:ptCount val="3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</c:numCache>
            </c:numRef>
          </c:xVal>
          <c:yVal>
            <c:numRef>
              <c:f>Sheet1!$F$6:$F$306</c:f>
              <c:numCache>
                <c:formatCode>0.00</c:formatCode>
                <c:ptCount val="301"/>
                <c:pt idx="0">
                  <c:v>50</c:v>
                </c:pt>
                <c:pt idx="1">
                  <c:v>50.005467068409743</c:v>
                </c:pt>
                <c:pt idx="2">
                  <c:v>50.021868273638958</c:v>
                </c:pt>
                <c:pt idx="3">
                  <c:v>50.049203615687659</c:v>
                </c:pt>
                <c:pt idx="4">
                  <c:v>50.08747309455584</c:v>
                </c:pt>
                <c:pt idx="5">
                  <c:v>50.136676710243506</c:v>
                </c:pt>
                <c:pt idx="6">
                  <c:v>50.196814462750645</c:v>
                </c:pt>
                <c:pt idx="7">
                  <c:v>50.267886352077269</c:v>
                </c:pt>
                <c:pt idx="8">
                  <c:v>50.349892378223366</c:v>
                </c:pt>
                <c:pt idx="9">
                  <c:v>50.442832541188949</c:v>
                </c:pt>
                <c:pt idx="10">
                  <c:v>50.546706840974011</c:v>
                </c:pt>
                <c:pt idx="11">
                  <c:v>50.661515277578559</c:v>
                </c:pt>
                <c:pt idx="12">
                  <c:v>50.787257851002579</c:v>
                </c:pt>
                <c:pt idx="13">
                  <c:v>50.923934561246085</c:v>
                </c:pt>
                <c:pt idx="14">
                  <c:v>51.071545408309063</c:v>
                </c:pt>
                <c:pt idx="15">
                  <c:v>51.230090392191528</c:v>
                </c:pt>
                <c:pt idx="16">
                  <c:v>51.399569512893471</c:v>
                </c:pt>
                <c:pt idx="17">
                  <c:v>51.579982770414894</c:v>
                </c:pt>
                <c:pt idx="18">
                  <c:v>51.771330164755803</c:v>
                </c:pt>
                <c:pt idx="19">
                  <c:v>51.973611695916183</c:v>
                </c:pt>
                <c:pt idx="20">
                  <c:v>52.18682736389605</c:v>
                </c:pt>
                <c:pt idx="21">
                  <c:v>52.410977168695396</c:v>
                </c:pt>
                <c:pt idx="22">
                  <c:v>52.646061110314221</c:v>
                </c:pt>
                <c:pt idx="23">
                  <c:v>52.892079188752525</c:v>
                </c:pt>
                <c:pt idx="24">
                  <c:v>53.149031404010316</c:v>
                </c:pt>
                <c:pt idx="25">
                  <c:v>53.416917756087578</c:v>
                </c:pt>
                <c:pt idx="26">
                  <c:v>53.695738244984327</c:v>
                </c:pt>
                <c:pt idx="27">
                  <c:v>53.985492870700554</c:v>
                </c:pt>
                <c:pt idx="28">
                  <c:v>54.286181633236261</c:v>
                </c:pt>
                <c:pt idx="29">
                  <c:v>54.597804532591454</c:v>
                </c:pt>
                <c:pt idx="30">
                  <c:v>54.920361568766118</c:v>
                </c:pt>
                <c:pt idx="31">
                  <c:v>55.253852741760262</c:v>
                </c:pt>
                <c:pt idx="32">
                  <c:v>55.598278051573892</c:v>
                </c:pt>
                <c:pt idx="33">
                  <c:v>55.953637498207001</c:v>
                </c:pt>
                <c:pt idx="34">
                  <c:v>56.31993108165959</c:v>
                </c:pt>
                <c:pt idx="35">
                  <c:v>56.697158801931657</c:v>
                </c:pt>
                <c:pt idx="36">
                  <c:v>57.085320659023211</c:v>
                </c:pt>
                <c:pt idx="37">
                  <c:v>57.484416652934236</c:v>
                </c:pt>
                <c:pt idx="38">
                  <c:v>57.894446783664748</c:v>
                </c:pt>
                <c:pt idx="39">
                  <c:v>58.315411051214738</c:v>
                </c:pt>
                <c:pt idx="40">
                  <c:v>58.747309455584208</c:v>
                </c:pt>
                <c:pt idx="41">
                  <c:v>59.190141996773157</c:v>
                </c:pt>
                <c:pt idx="42">
                  <c:v>59.643908674781592</c:v>
                </c:pt>
                <c:pt idx="43">
                  <c:v>60.108609489609499</c:v>
                </c:pt>
                <c:pt idx="44">
                  <c:v>60.584244441256892</c:v>
                </c:pt>
                <c:pt idx="45">
                  <c:v>61.070813529723765</c:v>
                </c:pt>
                <c:pt idx="46">
                  <c:v>61.568316755010116</c:v>
                </c:pt>
                <c:pt idx="47">
                  <c:v>62.076754117115946</c:v>
                </c:pt>
                <c:pt idx="48">
                  <c:v>62.596125616041263</c:v>
                </c:pt>
                <c:pt idx="49">
                  <c:v>63.126431251786052</c:v>
                </c:pt>
                <c:pt idx="50">
                  <c:v>63.667671024350319</c:v>
                </c:pt>
                <c:pt idx="51">
                  <c:v>64.21984493373408</c:v>
                </c:pt>
                <c:pt idx="52">
                  <c:v>64.782952979937306</c:v>
                </c:pt>
                <c:pt idx="53">
                  <c:v>65.356995162960018</c:v>
                </c:pt>
                <c:pt idx="54">
                  <c:v>65.941971482802217</c:v>
                </c:pt>
                <c:pt idx="55">
                  <c:v>66.537881939463887</c:v>
                </c:pt>
                <c:pt idx="56">
                  <c:v>67.144726532945043</c:v>
                </c:pt>
                <c:pt idx="57">
                  <c:v>67.762505263245686</c:v>
                </c:pt>
                <c:pt idx="58">
                  <c:v>68.3912181303658</c:v>
                </c:pt>
                <c:pt idx="59">
                  <c:v>69.030865134305401</c:v>
                </c:pt>
                <c:pt idx="60">
                  <c:v>69.681446275064474</c:v>
                </c:pt>
                <c:pt idx="61">
                  <c:v>70.342961552643018</c:v>
                </c:pt>
                <c:pt idx="62">
                  <c:v>71.015410967041063</c:v>
                </c:pt>
                <c:pt idx="63">
                  <c:v>71.69879451825858</c:v>
                </c:pt>
                <c:pt idx="64">
                  <c:v>72.393112206295569</c:v>
                </c:pt>
                <c:pt idx="65">
                  <c:v>73.098364031152045</c:v>
                </c:pt>
                <c:pt idx="66">
                  <c:v>73.814549992828006</c:v>
                </c:pt>
                <c:pt idx="67">
                  <c:v>74.541670091323439</c:v>
                </c:pt>
                <c:pt idx="68">
                  <c:v>75.279724326638359</c:v>
                </c:pt>
                <c:pt idx="69">
                  <c:v>76.028712698772765</c:v>
                </c:pt>
                <c:pt idx="70">
                  <c:v>76.788635207726628</c:v>
                </c:pt>
                <c:pt idx="71">
                  <c:v>77.559491853499992</c:v>
                </c:pt>
                <c:pt idx="72">
                  <c:v>78.341282636092828</c:v>
                </c:pt>
                <c:pt idx="73">
                  <c:v>79.13400755550515</c:v>
                </c:pt>
                <c:pt idx="74">
                  <c:v>79.937666611736944</c:v>
                </c:pt>
                <c:pt idx="75">
                  <c:v>80.752259804788224</c:v>
                </c:pt>
                <c:pt idx="76">
                  <c:v>81.57778713465899</c:v>
                </c:pt>
                <c:pt idx="77">
                  <c:v>82.414248601349229</c:v>
                </c:pt>
                <c:pt idx="78">
                  <c:v>83.261644204858953</c:v>
                </c:pt>
                <c:pt idx="79">
                  <c:v>84.11997394518815</c:v>
                </c:pt>
                <c:pt idx="80">
                  <c:v>84.989237822336833</c:v>
                </c:pt>
                <c:pt idx="81">
                  <c:v>85.869435836305001</c:v>
                </c:pt>
                <c:pt idx="82">
                  <c:v>86.760567987092628</c:v>
                </c:pt>
                <c:pt idx="83">
                  <c:v>87.662634274699755</c:v>
                </c:pt>
                <c:pt idx="84">
                  <c:v>88.575634699126368</c:v>
                </c:pt>
                <c:pt idx="85">
                  <c:v>89.499569260372439</c:v>
                </c:pt>
                <c:pt idx="86">
                  <c:v>90.434437958437996</c:v>
                </c:pt>
                <c:pt idx="87">
                  <c:v>91.38024079332304</c:v>
                </c:pt>
                <c:pt idx="88">
                  <c:v>92.336977765027569</c:v>
                </c:pt>
                <c:pt idx="89">
                  <c:v>93.304648873551571</c:v>
                </c:pt>
                <c:pt idx="90">
                  <c:v>94.283254118895044</c:v>
                </c:pt>
                <c:pt idx="91">
                  <c:v>95.272793501058032</c:v>
                </c:pt>
                <c:pt idx="92">
                  <c:v>96.273267020040464</c:v>
                </c:pt>
                <c:pt idx="93">
                  <c:v>97.284674675842382</c:v>
                </c:pt>
                <c:pt idx="94">
                  <c:v>98.307016468463786</c:v>
                </c:pt>
                <c:pt idx="95">
                  <c:v>99.340292397904676</c:v>
                </c:pt>
                <c:pt idx="96">
                  <c:v>100.38450246416504</c:v>
                </c:pt>
                <c:pt idx="97">
                  <c:v>101.43964666724489</c:v>
                </c:pt>
                <c:pt idx="98">
                  <c:v>102.50572500714421</c:v>
                </c:pt>
                <c:pt idx="99">
                  <c:v>103.58273748386301</c:v>
                </c:pt>
                <c:pt idx="100">
                  <c:v>104.67068409740128</c:v>
                </c:pt>
                <c:pt idx="101">
                  <c:v>105.76956484775906</c:v>
                </c:pt>
                <c:pt idx="102">
                  <c:v>106.87937973493632</c:v>
                </c:pt>
                <c:pt idx="103">
                  <c:v>108.00012875893303</c:v>
                </c:pt>
                <c:pt idx="104">
                  <c:v>109.13181191974925</c:v>
                </c:pt>
                <c:pt idx="105">
                  <c:v>110.27442921738495</c:v>
                </c:pt>
                <c:pt idx="106">
                  <c:v>111.42798065184009</c:v>
                </c:pt>
                <c:pt idx="107">
                  <c:v>112.59246622311474</c:v>
                </c:pt>
                <c:pt idx="108">
                  <c:v>113.76788593120888</c:v>
                </c:pt>
                <c:pt idx="109">
                  <c:v>114.95423977612248</c:v>
                </c:pt>
                <c:pt idx="110">
                  <c:v>116.15152775785558</c:v>
                </c:pt>
                <c:pt idx="111">
                  <c:v>117.35974987640813</c:v>
                </c:pt>
                <c:pt idx="112">
                  <c:v>118.57890613178019</c:v>
                </c:pt>
                <c:pt idx="113">
                  <c:v>119.80899652397173</c:v>
                </c:pt>
                <c:pt idx="114">
                  <c:v>121.05002105298273</c:v>
                </c:pt>
                <c:pt idx="115">
                  <c:v>122.30197971881321</c:v>
                </c:pt>
                <c:pt idx="116">
                  <c:v>123.5648725214632</c:v>
                </c:pt>
                <c:pt idx="117">
                  <c:v>124.83869946093263</c:v>
                </c:pt>
                <c:pt idx="118">
                  <c:v>126.12346053722158</c:v>
                </c:pt>
                <c:pt idx="119">
                  <c:v>127.41915575032999</c:v>
                </c:pt>
                <c:pt idx="120">
                  <c:v>128.72578510025787</c:v>
                </c:pt>
                <c:pt idx="121">
                  <c:v>130.04334858700526</c:v>
                </c:pt>
                <c:pt idx="122">
                  <c:v>131.37184621057207</c:v>
                </c:pt>
                <c:pt idx="123">
                  <c:v>132.71127797095841</c:v>
                </c:pt>
                <c:pt idx="124">
                  <c:v>134.06164386816425</c:v>
                </c:pt>
                <c:pt idx="125">
                  <c:v>135.4229439021895</c:v>
                </c:pt>
                <c:pt idx="126">
                  <c:v>136.79517807303432</c:v>
                </c:pt>
                <c:pt idx="127">
                  <c:v>138.17834638069854</c:v>
                </c:pt>
                <c:pt idx="128">
                  <c:v>139.57244882518228</c:v>
                </c:pt>
                <c:pt idx="129">
                  <c:v>140.9774854064855</c:v>
                </c:pt>
                <c:pt idx="130">
                  <c:v>142.39345612460821</c:v>
                </c:pt>
                <c:pt idx="131">
                  <c:v>143.82036097955034</c:v>
                </c:pt>
                <c:pt idx="132">
                  <c:v>145.25819997131202</c:v>
                </c:pt>
                <c:pt idx="133">
                  <c:v>146.70697309989316</c:v>
                </c:pt>
                <c:pt idx="134">
                  <c:v>148.16668036529376</c:v>
                </c:pt>
                <c:pt idx="135">
                  <c:v>149.63732176751387</c:v>
                </c:pt>
                <c:pt idx="136">
                  <c:v>151.11889730655344</c:v>
                </c:pt>
                <c:pt idx="137">
                  <c:v>152.61140698241252</c:v>
                </c:pt>
                <c:pt idx="138">
                  <c:v>154.11485079509106</c:v>
                </c:pt>
                <c:pt idx="139">
                  <c:v>155.62922874458906</c:v>
                </c:pt>
                <c:pt idx="140">
                  <c:v>157.15454083090654</c:v>
                </c:pt>
                <c:pt idx="141">
                  <c:v>158.69078705404354</c:v>
                </c:pt>
                <c:pt idx="142">
                  <c:v>160.23796741399997</c:v>
                </c:pt>
                <c:pt idx="143">
                  <c:v>161.79608191077591</c:v>
                </c:pt>
                <c:pt idx="144">
                  <c:v>163.36513054437131</c:v>
                </c:pt>
                <c:pt idx="145">
                  <c:v>164.94511331478623</c:v>
                </c:pt>
                <c:pt idx="146">
                  <c:v>166.53603022202063</c:v>
                </c:pt>
                <c:pt idx="147">
                  <c:v>168.13788126607446</c:v>
                </c:pt>
                <c:pt idx="148">
                  <c:v>169.7506664469478</c:v>
                </c:pt>
                <c:pt idx="149">
                  <c:v>171.37438576464064</c:v>
                </c:pt>
                <c:pt idx="150">
                  <c:v>173.00903921915292</c:v>
                </c:pt>
                <c:pt idx="151">
                  <c:v>174.65462681048473</c:v>
                </c:pt>
                <c:pt idx="152">
                  <c:v>176.31114853863596</c:v>
                </c:pt>
                <c:pt idx="153">
                  <c:v>177.97860440360671</c:v>
                </c:pt>
                <c:pt idx="154">
                  <c:v>179.65699440539692</c:v>
                </c:pt>
                <c:pt idx="155">
                  <c:v>181.34631854400661</c:v>
                </c:pt>
                <c:pt idx="156">
                  <c:v>183.04657681943581</c:v>
                </c:pt>
                <c:pt idx="157">
                  <c:v>184.75776923168448</c:v>
                </c:pt>
                <c:pt idx="158">
                  <c:v>186.4798957807526</c:v>
                </c:pt>
                <c:pt idx="159">
                  <c:v>188.21295646664024</c:v>
                </c:pt>
                <c:pt idx="160">
                  <c:v>189.95695128934733</c:v>
                </c:pt>
                <c:pt idx="161">
                  <c:v>191.71188024887388</c:v>
                </c:pt>
                <c:pt idx="162">
                  <c:v>193.47774334521998</c:v>
                </c:pt>
                <c:pt idx="163">
                  <c:v>195.2545405783855</c:v>
                </c:pt>
                <c:pt idx="164">
                  <c:v>197.04227194837054</c:v>
                </c:pt>
                <c:pt idx="165">
                  <c:v>198.84093745517504</c:v>
                </c:pt>
                <c:pt idx="166">
                  <c:v>200.65053709879902</c:v>
                </c:pt>
                <c:pt idx="167">
                  <c:v>202.47107087924246</c:v>
                </c:pt>
                <c:pt idx="168">
                  <c:v>204.30253879650544</c:v>
                </c:pt>
                <c:pt idx="169">
                  <c:v>206.14494085058783</c:v>
                </c:pt>
                <c:pt idx="170">
                  <c:v>207.99827704148976</c:v>
                </c:pt>
                <c:pt idx="171">
                  <c:v>209.86254736921114</c:v>
                </c:pt>
                <c:pt idx="172">
                  <c:v>211.73775183375199</c:v>
                </c:pt>
                <c:pt idx="173">
                  <c:v>213.62389043511234</c:v>
                </c:pt>
                <c:pt idx="174">
                  <c:v>215.52096317329216</c:v>
                </c:pt>
                <c:pt idx="175">
                  <c:v>217.42897004829149</c:v>
                </c:pt>
                <c:pt idx="176">
                  <c:v>219.34791106011028</c:v>
                </c:pt>
                <c:pt idx="177">
                  <c:v>221.27778620874852</c:v>
                </c:pt>
                <c:pt idx="178">
                  <c:v>223.21859549420628</c:v>
                </c:pt>
                <c:pt idx="179">
                  <c:v>225.17033891648353</c:v>
                </c:pt>
                <c:pt idx="180">
                  <c:v>227.13301647558018</c:v>
                </c:pt>
                <c:pt idx="181">
                  <c:v>229.10662817149637</c:v>
                </c:pt>
                <c:pt idx="182">
                  <c:v>231.0911740042321</c:v>
                </c:pt>
                <c:pt idx="183">
                  <c:v>233.08665397378724</c:v>
                </c:pt>
                <c:pt idx="184">
                  <c:v>235.09306808016183</c:v>
                </c:pt>
                <c:pt idx="185">
                  <c:v>237.11041632335593</c:v>
                </c:pt>
                <c:pt idx="186">
                  <c:v>239.13869870336953</c:v>
                </c:pt>
                <c:pt idx="187">
                  <c:v>241.17791522020261</c:v>
                </c:pt>
                <c:pt idx="188">
                  <c:v>243.22806587385517</c:v>
                </c:pt>
                <c:pt idx="189">
                  <c:v>245.28915066432717</c:v>
                </c:pt>
                <c:pt idx="190">
                  <c:v>247.36116959161868</c:v>
                </c:pt>
                <c:pt idx="191">
                  <c:v>249.44412265572967</c:v>
                </c:pt>
                <c:pt idx="192">
                  <c:v>251.53800985666015</c:v>
                </c:pt>
                <c:pt idx="193">
                  <c:v>253.64283119441009</c:v>
                </c:pt>
                <c:pt idx="194">
                  <c:v>255.75858666897958</c:v>
                </c:pt>
                <c:pt idx="195">
                  <c:v>257.88527628036843</c:v>
                </c:pt>
                <c:pt idx="196">
                  <c:v>260.02290002857683</c:v>
                </c:pt>
                <c:pt idx="197">
                  <c:v>262.17145791360474</c:v>
                </c:pt>
                <c:pt idx="198">
                  <c:v>264.33094993545205</c:v>
                </c:pt>
                <c:pt idx="199">
                  <c:v>266.50137609411888</c:v>
                </c:pt>
                <c:pt idx="200">
                  <c:v>268.68273638960511</c:v>
                </c:pt>
                <c:pt idx="201">
                  <c:v>270.87503082191097</c:v>
                </c:pt>
                <c:pt idx="202">
                  <c:v>273.07825939103623</c:v>
                </c:pt>
                <c:pt idx="203">
                  <c:v>275.292422096981</c:v>
                </c:pt>
                <c:pt idx="204">
                  <c:v>277.51751893974529</c:v>
                </c:pt>
                <c:pt idx="205">
                  <c:v>279.75354991932898</c:v>
                </c:pt>
                <c:pt idx="206">
                  <c:v>282.00051503573212</c:v>
                </c:pt>
                <c:pt idx="207">
                  <c:v>284.25841428895478</c:v>
                </c:pt>
                <c:pt idx="208">
                  <c:v>286.52724767899701</c:v>
                </c:pt>
                <c:pt idx="209">
                  <c:v>288.80701520585865</c:v>
                </c:pt>
                <c:pt idx="210">
                  <c:v>291.09771686953979</c:v>
                </c:pt>
                <c:pt idx="211">
                  <c:v>293.39935267004023</c:v>
                </c:pt>
                <c:pt idx="212">
                  <c:v>295.71192260736035</c:v>
                </c:pt>
                <c:pt idx="213">
                  <c:v>298.03542668149993</c:v>
                </c:pt>
                <c:pt idx="214">
                  <c:v>300.36986489245896</c:v>
                </c:pt>
                <c:pt idx="215">
                  <c:v>302.71523724023751</c:v>
                </c:pt>
                <c:pt idx="216">
                  <c:v>305.07154372483552</c:v>
                </c:pt>
                <c:pt idx="217">
                  <c:v>307.43878434625293</c:v>
                </c:pt>
                <c:pt idx="218">
                  <c:v>309.81695910448991</c:v>
                </c:pt>
                <c:pt idx="219">
                  <c:v>312.20606799954635</c:v>
                </c:pt>
                <c:pt idx="220">
                  <c:v>314.6061110314223</c:v>
                </c:pt>
                <c:pt idx="221">
                  <c:v>317.01708820011771</c:v>
                </c:pt>
                <c:pt idx="222">
                  <c:v>319.43899950563252</c:v>
                </c:pt>
                <c:pt idx="223">
                  <c:v>321.87184494796685</c:v>
                </c:pt>
                <c:pt idx="224">
                  <c:v>324.31562452712075</c:v>
                </c:pt>
                <c:pt idx="225">
                  <c:v>326.7703382430941</c:v>
                </c:pt>
                <c:pt idx="226">
                  <c:v>329.23598609588691</c:v>
                </c:pt>
                <c:pt idx="227">
                  <c:v>331.71256808549919</c:v>
                </c:pt>
                <c:pt idx="228">
                  <c:v>334.20008421193091</c:v>
                </c:pt>
                <c:pt idx="229">
                  <c:v>336.6985344751821</c:v>
                </c:pt>
                <c:pt idx="230">
                  <c:v>339.20791887525286</c:v>
                </c:pt>
                <c:pt idx="231">
                  <c:v>341.72823741214307</c:v>
                </c:pt>
                <c:pt idx="232">
                  <c:v>344.2594900858528</c:v>
                </c:pt>
                <c:pt idx="233">
                  <c:v>346.80167689638188</c:v>
                </c:pt>
                <c:pt idx="234">
                  <c:v>349.35479784373052</c:v>
                </c:pt>
                <c:pt idx="235">
                  <c:v>351.91885292789868</c:v>
                </c:pt>
                <c:pt idx="236">
                  <c:v>354.4938421488863</c:v>
                </c:pt>
                <c:pt idx="237">
                  <c:v>357.07976550669338</c:v>
                </c:pt>
                <c:pt idx="238">
                  <c:v>359.67662300131997</c:v>
                </c:pt>
                <c:pt idx="239">
                  <c:v>362.2844146327659</c:v>
                </c:pt>
                <c:pt idx="240">
                  <c:v>364.90314040103146</c:v>
                </c:pt>
                <c:pt idx="241">
                  <c:v>367.53280030611648</c:v>
                </c:pt>
                <c:pt idx="242">
                  <c:v>370.17339434802102</c:v>
                </c:pt>
                <c:pt idx="243">
                  <c:v>372.82492252674496</c:v>
                </c:pt>
                <c:pt idx="244">
                  <c:v>375.48738484228835</c:v>
                </c:pt>
                <c:pt idx="245">
                  <c:v>378.16078129465126</c:v>
                </c:pt>
                <c:pt idx="246">
                  <c:v>380.84511188383368</c:v>
                </c:pt>
                <c:pt idx="247">
                  <c:v>383.54037660983562</c:v>
                </c:pt>
                <c:pt idx="248">
                  <c:v>386.24657547265696</c:v>
                </c:pt>
                <c:pt idx="249">
                  <c:v>388.96370847229787</c:v>
                </c:pt>
                <c:pt idx="250">
                  <c:v>391.69177560875806</c:v>
                </c:pt>
                <c:pt idx="251">
                  <c:v>394.43077688203789</c:v>
                </c:pt>
                <c:pt idx="252">
                  <c:v>397.18071229213723</c:v>
                </c:pt>
                <c:pt idx="253">
                  <c:v>399.94158183905603</c:v>
                </c:pt>
                <c:pt idx="254">
                  <c:v>402.71338552279423</c:v>
                </c:pt>
                <c:pt idx="255">
                  <c:v>405.49612334335188</c:v>
                </c:pt>
                <c:pt idx="256">
                  <c:v>408.28979530072911</c:v>
                </c:pt>
                <c:pt idx="257">
                  <c:v>411.09440139492585</c:v>
                </c:pt>
                <c:pt idx="258">
                  <c:v>413.909941625942</c:v>
                </c:pt>
                <c:pt idx="259">
                  <c:v>416.73641599377771</c:v>
                </c:pt>
                <c:pt idx="260">
                  <c:v>419.57382449843283</c:v>
                </c:pt>
                <c:pt idx="261">
                  <c:v>422.42216713990734</c:v>
                </c:pt>
                <c:pt idx="262">
                  <c:v>425.28144391820143</c:v>
                </c:pt>
                <c:pt idx="263">
                  <c:v>428.15165483331504</c:v>
                </c:pt>
                <c:pt idx="264">
                  <c:v>431.03279988524815</c:v>
                </c:pt>
                <c:pt idx="265">
                  <c:v>433.92487907400067</c:v>
                </c:pt>
                <c:pt idx="266">
                  <c:v>436.82789239957259</c:v>
                </c:pt>
                <c:pt idx="267">
                  <c:v>439.74183986196408</c:v>
                </c:pt>
                <c:pt idx="268">
                  <c:v>442.66672146117503</c:v>
                </c:pt>
                <c:pt idx="269">
                  <c:v>445.60253719720555</c:v>
                </c:pt>
                <c:pt idx="270">
                  <c:v>448.54928707005553</c:v>
                </c:pt>
                <c:pt idx="271">
                  <c:v>451.50697107972491</c:v>
                </c:pt>
                <c:pt idx="272">
                  <c:v>454.47558922621369</c:v>
                </c:pt>
                <c:pt idx="273">
                  <c:v>457.45514150952215</c:v>
                </c:pt>
                <c:pt idx="274">
                  <c:v>460.44562792965002</c:v>
                </c:pt>
                <c:pt idx="275">
                  <c:v>463.4470484865974</c:v>
                </c:pt>
                <c:pt idx="276">
                  <c:v>466.45940318036418</c:v>
                </c:pt>
                <c:pt idx="277">
                  <c:v>469.48269201095036</c:v>
                </c:pt>
                <c:pt idx="278">
                  <c:v>472.51691497835617</c:v>
                </c:pt>
                <c:pt idx="279">
                  <c:v>475.56207208258144</c:v>
                </c:pt>
                <c:pt idx="280">
                  <c:v>478.61816332362616</c:v>
                </c:pt>
                <c:pt idx="281">
                  <c:v>481.6851887014904</c:v>
                </c:pt>
                <c:pt idx="282">
                  <c:v>484.76314821617416</c:v>
                </c:pt>
                <c:pt idx="283">
                  <c:v>487.8520418676772</c:v>
                </c:pt>
                <c:pt idx="284">
                  <c:v>490.95186965599987</c:v>
                </c:pt>
                <c:pt idx="285">
                  <c:v>494.06263158114206</c:v>
                </c:pt>
                <c:pt idx="286">
                  <c:v>497.1843276431037</c:v>
                </c:pt>
                <c:pt idx="287">
                  <c:v>500.3169578418848</c:v>
                </c:pt>
                <c:pt idx="288">
                  <c:v>503.4605221774853</c:v>
                </c:pt>
                <c:pt idx="289">
                  <c:v>506.61502064990538</c:v>
                </c:pt>
                <c:pt idx="290">
                  <c:v>509.78045325914491</c:v>
                </c:pt>
                <c:pt idx="291">
                  <c:v>512.95682000520389</c:v>
                </c:pt>
                <c:pt idx="292">
                  <c:v>516.14412088808251</c:v>
                </c:pt>
                <c:pt idx="293">
                  <c:v>519.3423559077803</c:v>
                </c:pt>
                <c:pt idx="294">
                  <c:v>522.55152506429783</c:v>
                </c:pt>
                <c:pt idx="295">
                  <c:v>525.77162835763477</c:v>
                </c:pt>
                <c:pt idx="296">
                  <c:v>529.00266578779122</c:v>
                </c:pt>
                <c:pt idx="297">
                  <c:v>532.24463735476706</c:v>
                </c:pt>
                <c:pt idx="298">
                  <c:v>535.49754305856254</c:v>
                </c:pt>
                <c:pt idx="299">
                  <c:v>538.76138289917731</c:v>
                </c:pt>
                <c:pt idx="300">
                  <c:v>542.0361568766117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925-46A4-A13A-AA94CF97BBF7}"/>
            </c:ext>
          </c:extLst>
        </c:ser>
        <c:ser>
          <c:idx val="5"/>
          <c:order val="3"/>
          <c:tx>
            <c:v>Pump Performance VFD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name>Pump Performance VFD Trendline</c:nam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forward val="300"/>
            <c:dispRSqr val="0"/>
            <c:dispEq val="0"/>
          </c:trendline>
          <c:xVal>
            <c:numRef>
              <c:f>Sheet1!$AX$10:$AX$16</c:f>
              <c:numCache>
                <c:formatCode>General</c:formatCode>
                <c:ptCount val="7"/>
                <c:pt idx="0">
                  <c:v>0</c:v>
                </c:pt>
                <c:pt idx="1">
                  <c:v>338.57473660480349</c:v>
                </c:pt>
                <c:pt idx="2">
                  <c:v>677.14947320960698</c:v>
                </c:pt>
                <c:pt idx="3">
                  <c:v>1015.7242098144104</c:v>
                </c:pt>
                <c:pt idx="4">
                  <c:v>1354.298946419214</c:v>
                </c:pt>
                <c:pt idx="5">
                  <c:v>1692.8736830240173</c:v>
                </c:pt>
                <c:pt idx="6">
                  <c:v>2031.4484196288208</c:v>
                </c:pt>
              </c:numCache>
            </c:numRef>
          </c:xVal>
          <c:yVal>
            <c:numRef>
              <c:f>Sheet1!$AY$10:$AY$16</c:f>
              <c:numCache>
                <c:formatCode>General</c:formatCode>
                <c:ptCount val="7"/>
                <c:pt idx="0">
                  <c:v>82.077122223180623</c:v>
                </c:pt>
                <c:pt idx="1">
                  <c:v>80.701527995976477</c:v>
                </c:pt>
                <c:pt idx="2">
                  <c:v>75.657682496227949</c:v>
                </c:pt>
                <c:pt idx="3">
                  <c:v>66.487054314866981</c:v>
                </c:pt>
                <c:pt idx="4">
                  <c:v>54.565237679097734</c:v>
                </c:pt>
                <c:pt idx="5">
                  <c:v>38.516638361716048</c:v>
                </c:pt>
                <c:pt idx="6">
                  <c:v>19.716850589926072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925-46A4-A13A-AA94CF97BBF7}"/>
            </c:ext>
          </c:extLst>
        </c:ser>
        <c:ser>
          <c:idx val="2"/>
          <c:order val="4"/>
          <c:tx>
            <c:v>Operating Points</c:v>
          </c:tx>
          <c:spPr>
            <a:ln w="1905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0590319888876902E-2"/>
                  <c:y val="-6.525699912510936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BE-4CAF-B856-B0AC921FE34E}"/>
                </c:ext>
              </c:extLst>
            </c:dLbl>
            <c:dLbl>
              <c:idx val="1"/>
              <c:layout>
                <c:manualLayout>
                  <c:x val="-9.7969850724991786E-2"/>
                  <c:y val="-7.081255468066496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BE-4CAF-B856-B0AC921FE34E}"/>
                </c:ext>
              </c:extLst>
            </c:dLbl>
            <c:dLbl>
              <c:idx val="2"/>
              <c:layout>
                <c:manualLayout>
                  <c:x val="-5.4290603827628577E-2"/>
                  <c:y val="-5.41458880139982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BE-4CAF-B856-B0AC921FE34E}"/>
                </c:ext>
              </c:extLst>
            </c:dLbl>
            <c:spPr>
              <a:solidFill>
                <a:sysClr val="window" lastClr="FFFFFF"/>
              </a:solidFill>
              <a:ln w="6350"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Sheet1!$R$62:$R$64</c:f>
              <c:numCache>
                <c:formatCode>0.0</c:formatCode>
                <c:ptCount val="3"/>
                <c:pt idx="0">
                  <c:v>2722.9852654875526</c:v>
                </c:pt>
                <c:pt idx="1">
                  <c:v>1361.4926327437763</c:v>
                </c:pt>
                <c:pt idx="2">
                  <c:v>1361.4926327437763</c:v>
                </c:pt>
              </c:numCache>
            </c:numRef>
          </c:xVal>
          <c:yVal>
            <c:numRef>
              <c:f>Sheet1!$S$62:$S$64</c:f>
              <c:numCache>
                <c:formatCode>0.00</c:formatCode>
                <c:ptCount val="3"/>
                <c:pt idx="0">
                  <c:v>66.809043794567202</c:v>
                </c:pt>
                <c:pt idx="1">
                  <c:v>151.49400994436536</c:v>
                </c:pt>
                <c:pt idx="2">
                  <c:v>54.202260374220188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925-46A4-A13A-AA94CF97B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849231"/>
        <c:axId val="943931647"/>
      </c:scatterChart>
      <c:valAx>
        <c:axId val="533849231"/>
        <c:scaling>
          <c:orientation val="minMax"/>
          <c:max val="3100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Volumetric</a:t>
                </a:r>
                <a:r>
                  <a:rPr lang="en-US" baseline="0">
                    <a:solidFill>
                      <a:schemeClr val="tx1"/>
                    </a:solidFill>
                  </a:rPr>
                  <a:t> Flowrate, </a:t>
                </a:r>
                <a:r>
                  <a:rPr lang="en-US" i="1" baseline="0">
                    <a:solidFill>
                      <a:schemeClr val="tx1"/>
                    </a:solidFill>
                  </a:rPr>
                  <a:t>Q</a:t>
                </a:r>
                <a:r>
                  <a:rPr lang="en-US" baseline="0">
                    <a:solidFill>
                      <a:schemeClr val="tx1"/>
                    </a:solidFill>
                  </a:rPr>
                  <a:t> [gpm]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3931647"/>
        <c:crosses val="autoZero"/>
        <c:crossBetween val="midCat"/>
      </c:valAx>
      <c:valAx>
        <c:axId val="943931647"/>
        <c:scaling>
          <c:orientation val="minMax"/>
          <c:max val="300"/>
          <c:min val="0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Pump Head, </a:t>
                </a:r>
                <a:r>
                  <a:rPr lang="en-US" i="1">
                    <a:solidFill>
                      <a:schemeClr val="tx1"/>
                    </a:solidFill>
                  </a:rPr>
                  <a:t>H</a:t>
                </a:r>
                <a:r>
                  <a:rPr lang="en-US" i="0">
                    <a:solidFill>
                      <a:schemeClr val="tx1"/>
                    </a:solidFill>
                  </a:rPr>
                  <a:t>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3849231"/>
        <c:crossesAt val="-50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5053455590424891"/>
          <c:y val="0.13645800524934382"/>
          <c:w val="0.31285404967505187"/>
          <c:h val="0.37698162729658791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394841</xdr:colOff>
      <xdr:row>11</xdr:row>
      <xdr:rowOff>15775</xdr:rowOff>
    </xdr:from>
    <xdr:to>
      <xdr:col>26</xdr:col>
      <xdr:colOff>341736</xdr:colOff>
      <xdr:row>32</xdr:row>
      <xdr:rowOff>36580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77334D94-4ED5-9C65-2955-455904BC8B95}"/>
            </a:ext>
          </a:extLst>
        </xdr:cNvPr>
        <xdr:cNvGrpSpPr/>
      </xdr:nvGrpSpPr>
      <xdr:grpSpPr>
        <a:xfrm>
          <a:off x="18035141" y="2098575"/>
          <a:ext cx="9992595" cy="4021305"/>
          <a:chOff x="7893326" y="231914"/>
          <a:chExt cx="8497957" cy="4021305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496047A-2901-4CB0-ABED-BE662BD9C0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893326" y="231914"/>
            <a:ext cx="8497957" cy="4021305"/>
          </a:xfrm>
          <a:prstGeom prst="rect">
            <a:avLst/>
          </a:prstGeom>
        </xdr:spPr>
      </xdr:pic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985D326E-756B-CB68-2EAD-03FAA6BBA84A}"/>
              </a:ext>
            </a:extLst>
          </xdr:cNvPr>
          <xdr:cNvSpPr/>
        </xdr:nvSpPr>
        <xdr:spPr>
          <a:xfrm>
            <a:off x="9740348" y="1167848"/>
            <a:ext cx="2517913" cy="207065"/>
          </a:xfrm>
          <a:prstGeom prst="rect">
            <a:avLst/>
          </a:prstGeom>
          <a:solidFill>
            <a:srgbClr val="FFFF99">
              <a:alpha val="25098"/>
            </a:srgb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6C732BEC-E7D7-478B-BC63-2796C5C3FFD5}"/>
              </a:ext>
            </a:extLst>
          </xdr:cNvPr>
          <xdr:cNvSpPr/>
        </xdr:nvSpPr>
        <xdr:spPr>
          <a:xfrm>
            <a:off x="12891352" y="1598543"/>
            <a:ext cx="3312893" cy="260076"/>
          </a:xfrm>
          <a:prstGeom prst="rect">
            <a:avLst/>
          </a:prstGeom>
          <a:solidFill>
            <a:srgbClr val="FFFF99">
              <a:alpha val="25098"/>
            </a:srgb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17</xdr:col>
      <xdr:colOff>332214</xdr:colOff>
      <xdr:row>34</xdr:row>
      <xdr:rowOff>17230</xdr:rowOff>
    </xdr:from>
    <xdr:to>
      <xdr:col>26</xdr:col>
      <xdr:colOff>48516</xdr:colOff>
      <xdr:row>53</xdr:row>
      <xdr:rowOff>27879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E43A5850-EAB9-280F-72A2-9C0179C8703A}"/>
            </a:ext>
          </a:extLst>
        </xdr:cNvPr>
        <xdr:cNvGrpSpPr/>
      </xdr:nvGrpSpPr>
      <xdr:grpSpPr>
        <a:xfrm>
          <a:off x="20423614" y="6481530"/>
          <a:ext cx="7310902" cy="3630149"/>
          <a:chOff x="12299674" y="2087216"/>
          <a:chExt cx="6352761" cy="3630149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D8C2F146-27BA-4BB3-8ACB-C156A03B97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2299674" y="2087216"/>
            <a:ext cx="6352761" cy="3630149"/>
          </a:xfrm>
          <a:prstGeom prst="rect">
            <a:avLst/>
          </a:prstGeom>
        </xdr:spPr>
      </xdr:pic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B6A3E073-D4C6-44B7-A7C0-14AF99FCBA88}"/>
              </a:ext>
            </a:extLst>
          </xdr:cNvPr>
          <xdr:cNvSpPr/>
        </xdr:nvSpPr>
        <xdr:spPr>
          <a:xfrm>
            <a:off x="12399067" y="4870175"/>
            <a:ext cx="4240694" cy="265044"/>
          </a:xfrm>
          <a:prstGeom prst="rect">
            <a:avLst/>
          </a:prstGeom>
          <a:solidFill>
            <a:srgbClr val="FFFF99">
              <a:alpha val="25098"/>
            </a:srgb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oneCellAnchor>
    <xdr:from>
      <xdr:col>27</xdr:col>
      <xdr:colOff>713014</xdr:colOff>
      <xdr:row>4</xdr:row>
      <xdr:rowOff>0</xdr:rowOff>
    </xdr:from>
    <xdr:ext cx="7124700" cy="556314"/>
    <xdr:pic>
      <xdr:nvPicPr>
        <xdr:cNvPr id="8" name="Picture 7">
          <a:extLst>
            <a:ext uri="{FF2B5EF4-FFF2-40B4-BE49-F238E27FC236}">
              <a16:creationId xmlns:a16="http://schemas.microsoft.com/office/drawing/2014/main" id="{47C07481-F239-4576-93FE-4CC7A5C7AA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77" t="11287" b="10640"/>
        <a:stretch/>
      </xdr:blipFill>
      <xdr:spPr>
        <a:xfrm>
          <a:off x="22805571" y="571500"/>
          <a:ext cx="7124700" cy="556314"/>
        </a:xfrm>
        <a:prstGeom prst="rect">
          <a:avLst/>
        </a:prstGeom>
      </xdr:spPr>
    </xdr:pic>
    <xdr:clientData/>
  </xdr:oneCellAnchor>
  <xdr:twoCellAnchor>
    <xdr:from>
      <xdr:col>27</xdr:col>
      <xdr:colOff>70713</xdr:colOff>
      <xdr:row>28</xdr:row>
      <xdr:rowOff>49622</xdr:rowOff>
    </xdr:from>
    <xdr:to>
      <xdr:col>38</xdr:col>
      <xdr:colOff>570355</xdr:colOff>
      <xdr:row>55</xdr:row>
      <xdr:rowOff>146383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9543B01-7695-CB9A-0302-1C5E7A45AE65}"/>
            </a:ext>
          </a:extLst>
        </xdr:cNvPr>
        <xdr:cNvGrpSpPr/>
      </xdr:nvGrpSpPr>
      <xdr:grpSpPr>
        <a:xfrm>
          <a:off x="28569513" y="5370922"/>
          <a:ext cx="9656342" cy="5240261"/>
          <a:chOff x="25541682" y="4448175"/>
          <a:chExt cx="8500642" cy="5240261"/>
        </a:xfrm>
      </xdr:grpSpPr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917D6320-1655-F1B0-9159-5E0E9F6845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5541682" y="4448175"/>
            <a:ext cx="8500642" cy="5240261"/>
          </a:xfrm>
          <a:prstGeom prst="rect">
            <a:avLst/>
          </a:prstGeom>
        </xdr:spPr>
      </xdr:pic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25A43970-05C8-4CFD-BB50-81491173E992}"/>
              </a:ext>
            </a:extLst>
          </xdr:cNvPr>
          <xdr:cNvSpPr/>
        </xdr:nvSpPr>
        <xdr:spPr>
          <a:xfrm>
            <a:off x="25587708" y="6734175"/>
            <a:ext cx="4511697" cy="221559"/>
          </a:xfrm>
          <a:prstGeom prst="rect">
            <a:avLst/>
          </a:prstGeom>
          <a:solidFill>
            <a:srgbClr val="FFFF99">
              <a:alpha val="25098"/>
            </a:srgb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39</xdr:col>
      <xdr:colOff>97137</xdr:colOff>
      <xdr:row>17</xdr:row>
      <xdr:rowOff>3300</xdr:rowOff>
    </xdr:from>
    <xdr:to>
      <xdr:col>45</xdr:col>
      <xdr:colOff>404375</xdr:colOff>
      <xdr:row>33</xdr:row>
      <xdr:rowOff>155700</xdr:rowOff>
    </xdr:to>
    <xdr:graphicFrame macro="">
      <xdr:nvGraphicFramePr>
        <xdr:cNvPr id="27" name="Chart 2">
          <a:extLst>
            <a:ext uri="{FF2B5EF4-FFF2-40B4-BE49-F238E27FC236}">
              <a16:creationId xmlns:a16="http://schemas.microsoft.com/office/drawing/2014/main" id="{DAFA4E53-6757-B981-6DE7-9A04D5165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149679</xdr:colOff>
      <xdr:row>66</xdr:row>
      <xdr:rowOff>40821</xdr:rowOff>
    </xdr:from>
    <xdr:to>
      <xdr:col>15</xdr:col>
      <xdr:colOff>435220</xdr:colOff>
      <xdr:row>90</xdr:row>
      <xdr:rowOff>40821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61EDAB-BBF7-4FC3-AEF7-5FB807F83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204107</xdr:colOff>
      <xdr:row>41</xdr:row>
      <xdr:rowOff>122465</xdr:rowOff>
    </xdr:from>
    <xdr:to>
      <xdr:col>15</xdr:col>
      <xdr:colOff>489648</xdr:colOff>
      <xdr:row>65</xdr:row>
      <xdr:rowOff>122465</xdr:rowOff>
    </xdr:to>
    <xdr:graphicFrame macro="">
      <xdr:nvGraphicFramePr>
        <xdr:cNvPr id="19" name="Chart 4">
          <a:extLst>
            <a:ext uri="{FF2B5EF4-FFF2-40B4-BE49-F238E27FC236}">
              <a16:creationId xmlns:a16="http://schemas.microsoft.com/office/drawing/2014/main" id="{E0F8F543-A24B-4933-B135-D88F6617D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45F82"/>
    </a:accent1>
    <a:accent2>
      <a:srgbClr val="E87331"/>
    </a:accent2>
    <a:accent3>
      <a:srgbClr val="186C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45F82"/>
    </a:accent1>
    <a:accent2>
      <a:srgbClr val="E87331"/>
    </a:accent2>
    <a:accent3>
      <a:srgbClr val="186C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45F82"/>
    </a:accent1>
    <a:accent2>
      <a:srgbClr val="E87331"/>
    </a:accent2>
    <a:accent3>
      <a:srgbClr val="186C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D306"/>
  <sheetViews>
    <sheetView tabSelected="1" topLeftCell="F1" zoomScaleNormal="100" workbookViewId="0">
      <selection activeCell="M24" sqref="M24"/>
    </sheetView>
  </sheetViews>
  <sheetFormatPr baseColWidth="10" defaultColWidth="10.6640625" defaultRowHeight="15" customHeight="1" x14ac:dyDescent="0.2"/>
  <cols>
    <col min="1" max="1" width="10.6640625" style="2"/>
    <col min="2" max="3" width="13.1640625" style="2" customWidth="1"/>
    <col min="4" max="4" width="20" style="2" customWidth="1"/>
    <col min="5" max="5" width="16.33203125" style="2" customWidth="1"/>
    <col min="6" max="6" width="16.5" style="2" customWidth="1"/>
    <col min="7" max="7" width="10.6640625" style="2"/>
    <col min="8" max="10" width="13.1640625" style="2" customWidth="1"/>
    <col min="11" max="11" width="26.5" style="2" customWidth="1"/>
    <col min="12" max="14" width="13.1640625" style="2" customWidth="1"/>
    <col min="15" max="15" width="14.83203125" style="2" bestFit="1" customWidth="1"/>
    <col min="16" max="16" width="10.6640625" style="2" customWidth="1"/>
    <col min="17" max="17" width="32.1640625" style="2" customWidth="1"/>
    <col min="18" max="21" width="10.6640625" style="2" customWidth="1"/>
    <col min="22" max="22" width="13" style="2" customWidth="1"/>
    <col min="23" max="24" width="10.6640625" style="2"/>
    <col min="25" max="25" width="12" style="2" customWidth="1"/>
    <col min="26" max="30" width="10.6640625" style="2"/>
    <col min="31" max="31" width="10.6640625" style="2" customWidth="1"/>
    <col min="32" max="33" width="10.6640625" style="2"/>
    <col min="34" max="34" width="13.5" style="2" bestFit="1" customWidth="1"/>
    <col min="35" max="35" width="10.6640625" style="2"/>
    <col min="36" max="36" width="10.6640625" style="2" customWidth="1"/>
    <col min="37" max="39" width="10.6640625" style="2"/>
    <col min="40" max="41" width="12" style="2" customWidth="1"/>
    <col min="42" max="42" width="10.6640625" style="2" customWidth="1"/>
    <col min="43" max="43" width="21.6640625" style="2" customWidth="1"/>
    <col min="44" max="44" width="10.6640625" style="2" customWidth="1"/>
    <col min="45" max="47" width="10.6640625" style="2"/>
    <col min="48" max="49" width="26.5" style="2" bestFit="1" customWidth="1"/>
    <col min="50" max="51" width="10.6640625" style="2" customWidth="1"/>
    <col min="52" max="52" width="14.83203125" style="2" bestFit="1" customWidth="1"/>
    <col min="53" max="53" width="10.6640625" style="2"/>
    <col min="54" max="54" width="10.6640625" style="2" customWidth="1"/>
    <col min="55" max="55" width="10.6640625" style="2"/>
    <col min="56" max="56" width="14.6640625" style="2" customWidth="1"/>
    <col min="57" max="16384" width="10.6640625" style="2"/>
  </cols>
  <sheetData>
    <row r="2" spans="2:56" ht="14" x14ac:dyDescent="0.2">
      <c r="B2" s="62" t="s">
        <v>91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N2" s="62" t="s">
        <v>86</v>
      </c>
      <c r="AO2" s="62"/>
      <c r="AP2" s="62"/>
      <c r="AQ2" s="62"/>
      <c r="AR2" s="62"/>
      <c r="AS2" s="62"/>
      <c r="AT2" s="62"/>
      <c r="AV2" s="58" t="s">
        <v>90</v>
      </c>
      <c r="AW2" s="59"/>
      <c r="AX2" s="59"/>
      <c r="AY2" s="59"/>
      <c r="AZ2" s="60"/>
      <c r="BB2" s="29" t="s">
        <v>87</v>
      </c>
      <c r="BD2" s="29" t="s">
        <v>88</v>
      </c>
    </row>
    <row r="3" spans="2:56" ht="15" customHeight="1" x14ac:dyDescent="0.2">
      <c r="B3" s="38" t="s">
        <v>28</v>
      </c>
      <c r="C3" s="39"/>
      <c r="D3" s="39"/>
      <c r="E3" s="39"/>
      <c r="F3" s="40"/>
      <c r="H3" s="38" t="s">
        <v>27</v>
      </c>
      <c r="I3" s="40"/>
      <c r="K3" s="44" t="s">
        <v>61</v>
      </c>
      <c r="L3" s="45"/>
      <c r="M3" s="45"/>
      <c r="N3" s="45"/>
      <c r="O3" s="46"/>
      <c r="Q3" s="2" t="s">
        <v>12</v>
      </c>
      <c r="R3" s="25" t="s">
        <v>4</v>
      </c>
      <c r="S3" s="8">
        <v>1200</v>
      </c>
      <c r="T3" s="25" t="s">
        <v>1</v>
      </c>
      <c r="V3" s="25" t="s">
        <v>15</v>
      </c>
      <c r="W3" s="38" t="s">
        <v>13</v>
      </c>
      <c r="X3" s="40"/>
      <c r="Z3" s="2" t="s">
        <v>24</v>
      </c>
    </row>
    <row r="4" spans="2:56" ht="15" customHeight="1" x14ac:dyDescent="0.2">
      <c r="B4" s="1" t="s">
        <v>2</v>
      </c>
      <c r="C4" s="1" t="s">
        <v>2</v>
      </c>
      <c r="D4" s="1" t="s">
        <v>68</v>
      </c>
      <c r="E4" s="1" t="s">
        <v>69</v>
      </c>
      <c r="F4" s="1" t="s">
        <v>72</v>
      </c>
      <c r="H4" s="1" t="s">
        <v>2</v>
      </c>
      <c r="I4" s="1" t="s">
        <v>0</v>
      </c>
      <c r="K4" s="3" t="s">
        <v>37</v>
      </c>
      <c r="L4" s="3" t="s">
        <v>36</v>
      </c>
      <c r="M4" s="3" t="s">
        <v>31</v>
      </c>
      <c r="N4" s="3" t="s">
        <v>30</v>
      </c>
      <c r="O4" s="3" t="s">
        <v>32</v>
      </c>
      <c r="Q4" s="53" t="s">
        <v>11</v>
      </c>
      <c r="R4" s="51" t="s">
        <v>5</v>
      </c>
      <c r="S4" s="3">
        <v>12</v>
      </c>
      <c r="T4" s="1" t="s">
        <v>6</v>
      </c>
      <c r="V4" s="1" t="s">
        <v>18</v>
      </c>
      <c r="W4" s="1" t="s">
        <v>14</v>
      </c>
      <c r="X4" s="1" t="s">
        <v>19</v>
      </c>
      <c r="Z4" s="1" t="s">
        <v>25</v>
      </c>
      <c r="AA4" s="1" t="s">
        <v>67</v>
      </c>
      <c r="AC4" s="47" t="s">
        <v>50</v>
      </c>
      <c r="AD4" s="47"/>
      <c r="AE4" s="47"/>
      <c r="AF4" s="47"/>
      <c r="AG4" s="47"/>
      <c r="AH4" s="47"/>
      <c r="AI4" s="47"/>
      <c r="AJ4" s="47"/>
      <c r="AK4" s="47"/>
      <c r="AL4" s="47"/>
      <c r="AN4" s="54" t="s">
        <v>13</v>
      </c>
      <c r="AO4" s="54"/>
      <c r="AW4" s="41" t="s">
        <v>92</v>
      </c>
      <c r="AX4" s="42"/>
      <c r="AY4" s="43"/>
      <c r="BB4" s="1" t="s">
        <v>76</v>
      </c>
      <c r="BD4" s="1" t="s">
        <v>89</v>
      </c>
    </row>
    <row r="5" spans="2:56" ht="15" customHeight="1" x14ac:dyDescent="0.2">
      <c r="B5" s="1" t="s">
        <v>3</v>
      </c>
      <c r="C5" s="1" t="s">
        <v>26</v>
      </c>
      <c r="D5" s="1" t="s">
        <v>1</v>
      </c>
      <c r="E5" s="1" t="s">
        <v>1</v>
      </c>
      <c r="F5" s="1" t="s">
        <v>1</v>
      </c>
      <c r="H5" s="1" t="s">
        <v>3</v>
      </c>
      <c r="I5" s="1" t="s">
        <v>1</v>
      </c>
      <c r="K5" s="3" t="s">
        <v>29</v>
      </c>
      <c r="L5" s="3">
        <v>1</v>
      </c>
      <c r="M5" s="3" cm="1">
        <f t="array" ref="M5:O5">LINEST(I6:I12, H6:H12^{1,2})</f>
        <v>-1.5333333333333331E-5</v>
      </c>
      <c r="N5" s="3">
        <v>4.285714285714157E-4</v>
      </c>
      <c r="O5" s="3">
        <v>179.33333333333337</v>
      </c>
      <c r="Q5" s="53"/>
      <c r="R5" s="52"/>
      <c r="S5" s="3">
        <f>S4/12</f>
        <v>1</v>
      </c>
      <c r="T5" s="1" t="s">
        <v>1</v>
      </c>
      <c r="V5" s="3">
        <v>0.3</v>
      </c>
      <c r="W5" s="4">
        <v>1</v>
      </c>
      <c r="X5" s="4">
        <v>0.2</v>
      </c>
      <c r="Z5" s="21">
        <v>1.4999999999999999E-2</v>
      </c>
      <c r="AA5" s="7">
        <f>AL9</f>
        <v>1.4449526995157697E-2</v>
      </c>
      <c r="AC5" s="17"/>
      <c r="AD5" s="17"/>
      <c r="AE5" s="17"/>
      <c r="AF5" s="17"/>
      <c r="AG5" s="17"/>
      <c r="AH5" s="17"/>
      <c r="AI5" s="17"/>
      <c r="AJ5" s="17"/>
      <c r="AK5" s="17"/>
      <c r="AL5" s="17"/>
      <c r="AN5" s="1" t="s">
        <v>14</v>
      </c>
      <c r="AO5" s="1" t="s">
        <v>19</v>
      </c>
      <c r="AW5" s="61" t="s">
        <v>95</v>
      </c>
      <c r="AX5" s="61"/>
      <c r="AY5" s="26">
        <f>AY47</f>
        <v>0.67714947320960694</v>
      </c>
      <c r="BB5" s="1" t="s">
        <v>79</v>
      </c>
      <c r="BD5" s="1" t="s">
        <v>79</v>
      </c>
    </row>
    <row r="6" spans="2:56" ht="15" customHeight="1" x14ac:dyDescent="0.2">
      <c r="B6" s="4">
        <v>0</v>
      </c>
      <c r="C6" s="4">
        <f t="shared" ref="C6:C65" si="0">B6*(1/(7.48*60))</f>
        <v>0</v>
      </c>
      <c r="D6" s="14">
        <f t="shared" ref="D6:D69" si="1">$S$6+((1/(2*$S$9*((PI()/4)*($S$5)^2)^2))*($AA$5*($S$3/$S$5)+2*$V$5+$X$5))*($C6^2)</f>
        <v>50</v>
      </c>
      <c r="E6" s="14">
        <f t="shared" ref="E6:E69" si="2">$S$6+((1/(2*$S$9*((PI()/4)*($S$5)^2)^2))*($Z$5*($S$3/$S$5)+2*$V$5+$X$5))*($C6^2)</f>
        <v>50</v>
      </c>
      <c r="F6" s="14">
        <f>$S$6+((1/(2*$S$9*((PI()/4)*($S$5)^2)^2))*($AA$5*($S$3/$S$5)+2*$V$5+$AQ$16))*($C6^2)</f>
        <v>50</v>
      </c>
      <c r="H6" s="4">
        <v>0</v>
      </c>
      <c r="I6" s="4">
        <v>179</v>
      </c>
      <c r="K6" s="3" t="s">
        <v>34</v>
      </c>
      <c r="L6" s="3">
        <v>2</v>
      </c>
      <c r="M6" s="3" cm="1">
        <f t="array" ref="M6:O6">LINEST(E6:E306, B6:B306^{1,2})</f>
        <v>2.3495599065599861E-6</v>
      </c>
      <c r="N6" s="19">
        <v>-2.9730041921384787E-18</v>
      </c>
      <c r="O6" s="3">
        <v>49.999999999999964</v>
      </c>
      <c r="Q6" s="2" t="s">
        <v>10</v>
      </c>
      <c r="R6" s="1" t="s">
        <v>20</v>
      </c>
      <c r="S6" s="3">
        <v>50</v>
      </c>
      <c r="T6" s="1" t="s">
        <v>1</v>
      </c>
      <c r="W6" s="5">
        <v>0.75</v>
      </c>
      <c r="X6" s="5">
        <v>1.1000000000000001</v>
      </c>
      <c r="AC6" s="17"/>
      <c r="AD6" s="17"/>
      <c r="AE6" s="17"/>
      <c r="AF6" s="17"/>
      <c r="AG6" s="17"/>
      <c r="AH6" s="17"/>
      <c r="AI6" s="17"/>
      <c r="AJ6" s="17"/>
      <c r="AK6" s="17"/>
      <c r="AL6" s="17"/>
      <c r="AN6" s="4">
        <f>W5</f>
        <v>1</v>
      </c>
      <c r="AO6" s="4">
        <f t="shared" ref="AO6:AO9" si="3">X5</f>
        <v>0.2</v>
      </c>
      <c r="BB6" s="28">
        <f>((AY5)^3)*AH20</f>
        <v>17.776319117635861</v>
      </c>
      <c r="BD6" s="28">
        <f>AT40-BB6</f>
        <v>47.134697777847478</v>
      </c>
    </row>
    <row r="7" spans="2:56" ht="15" customHeight="1" x14ac:dyDescent="0.2">
      <c r="B7" s="5">
        <v>10</v>
      </c>
      <c r="C7" s="10">
        <f>B7*(1/(7.48*60))</f>
        <v>2.2281639928698752E-2</v>
      </c>
      <c r="D7" s="12">
        <f t="shared" si="1"/>
        <v>50.000226700441921</v>
      </c>
      <c r="E7" s="12">
        <f t="shared" si="2"/>
        <v>50.000234955990656</v>
      </c>
      <c r="F7" s="12">
        <f>$S$6+((1/(2*$S$9*((PI()/4)*($S$5)^2)^2))*($AA$5*($S$3/$S$5)+2*$V$5+$AQ$16))*($C7^2)</f>
        <v>50.005467068409743</v>
      </c>
      <c r="H7" s="5">
        <v>500</v>
      </c>
      <c r="I7" s="5">
        <v>176</v>
      </c>
      <c r="Q7" s="2" t="s">
        <v>9</v>
      </c>
      <c r="R7" s="1" t="s">
        <v>7</v>
      </c>
      <c r="S7" s="6">
        <v>0.8</v>
      </c>
      <c r="T7" s="1" t="s">
        <v>8</v>
      </c>
      <c r="W7" s="5">
        <v>0.5</v>
      </c>
      <c r="X7" s="5">
        <v>3.6</v>
      </c>
      <c r="AC7" s="17"/>
      <c r="AD7" s="17"/>
      <c r="AE7" s="17"/>
      <c r="AF7" s="17"/>
      <c r="AG7" s="17"/>
      <c r="AH7" s="17"/>
      <c r="AI7" s="17"/>
      <c r="AJ7" s="17"/>
      <c r="AK7" s="17"/>
      <c r="AL7" s="17"/>
      <c r="AN7" s="5">
        <f t="shared" ref="AN7:AN9" si="4">W6</f>
        <v>0.75</v>
      </c>
      <c r="AO7" s="5">
        <f t="shared" si="3"/>
        <v>1.1000000000000001</v>
      </c>
      <c r="AX7" s="54" t="s">
        <v>27</v>
      </c>
      <c r="AY7" s="54"/>
    </row>
    <row r="8" spans="2:56" ht="15" customHeight="1" x14ac:dyDescent="0.2">
      <c r="B8" s="5">
        <v>20</v>
      </c>
      <c r="C8" s="10">
        <f t="shared" si="0"/>
        <v>4.4563279857397504E-2</v>
      </c>
      <c r="D8" s="12">
        <f t="shared" si="1"/>
        <v>50.000906801767684</v>
      </c>
      <c r="E8" s="12">
        <f t="shared" si="2"/>
        <v>50.000939823962625</v>
      </c>
      <c r="F8" s="12">
        <f t="shared" ref="F8:F70" si="5">$S$6+((1/(2*$S$9*((PI()/4)*($S$5)^2)^2))*($AA$5*($S$3/$S$5)+2*$V$5+$AQ$16))*($C8^2)</f>
        <v>50.021868273638958</v>
      </c>
      <c r="H8" s="5">
        <v>1000</v>
      </c>
      <c r="I8" s="5">
        <v>165</v>
      </c>
      <c r="L8" s="48" t="s">
        <v>2</v>
      </c>
      <c r="M8" s="3" t="s">
        <v>33</v>
      </c>
      <c r="N8" s="3" t="s">
        <v>35</v>
      </c>
      <c r="O8" s="49" t="s">
        <v>38</v>
      </c>
      <c r="Q8" s="2" t="s">
        <v>17</v>
      </c>
      <c r="R8" s="1" t="s">
        <v>16</v>
      </c>
      <c r="S8" s="7">
        <v>1.4999999999999999E-4</v>
      </c>
      <c r="T8" s="1" t="s">
        <v>1</v>
      </c>
      <c r="W8" s="8">
        <v>0.25</v>
      </c>
      <c r="X8" s="8">
        <v>28.8</v>
      </c>
      <c r="AC8" s="18" t="s">
        <v>51</v>
      </c>
      <c r="AD8" s="18" t="s">
        <v>52</v>
      </c>
      <c r="AE8" s="18" t="s">
        <v>53</v>
      </c>
      <c r="AF8" s="18" t="s">
        <v>54</v>
      </c>
      <c r="AG8" s="18" t="s">
        <v>55</v>
      </c>
      <c r="AH8" s="18" t="s">
        <v>56</v>
      </c>
      <c r="AI8" s="18" t="s">
        <v>57</v>
      </c>
      <c r="AJ8" s="18" t="s">
        <v>58</v>
      </c>
      <c r="AK8" s="18" t="s">
        <v>59</v>
      </c>
      <c r="AL8" s="18" t="s">
        <v>60</v>
      </c>
      <c r="AN8" s="5">
        <f t="shared" si="4"/>
        <v>0.5</v>
      </c>
      <c r="AO8" s="5">
        <f t="shared" si="3"/>
        <v>3.6</v>
      </c>
      <c r="AX8" s="1" t="s">
        <v>2</v>
      </c>
      <c r="AY8" s="1" t="s">
        <v>0</v>
      </c>
    </row>
    <row r="9" spans="2:56" ht="15" customHeight="1" x14ac:dyDescent="0.2">
      <c r="B9" s="5">
        <v>30</v>
      </c>
      <c r="C9" s="10">
        <f t="shared" si="0"/>
        <v>6.684491978609626E-2</v>
      </c>
      <c r="D9" s="12">
        <f t="shared" si="1"/>
        <v>50.002040303977289</v>
      </c>
      <c r="E9" s="12">
        <f t="shared" si="2"/>
        <v>50.002114603915906</v>
      </c>
      <c r="F9" s="12">
        <f t="shared" si="5"/>
        <v>50.049203615687659</v>
      </c>
      <c r="H9" s="5">
        <v>1500</v>
      </c>
      <c r="I9" s="5">
        <v>145</v>
      </c>
      <c r="L9" s="48"/>
      <c r="M9" s="3" t="s">
        <v>0</v>
      </c>
      <c r="N9" s="3" t="s">
        <v>0</v>
      </c>
      <c r="O9" s="50"/>
      <c r="Q9" s="2" t="s">
        <v>22</v>
      </c>
      <c r="R9" s="1" t="s">
        <v>21</v>
      </c>
      <c r="S9" s="9">
        <v>32.200000000000003</v>
      </c>
      <c r="T9" s="1" t="s">
        <v>23</v>
      </c>
      <c r="AC9" s="18">
        <v>0.1</v>
      </c>
      <c r="AD9" s="18">
        <f t="shared" ref="AD9:AL9" si="6">(-2*LOG(($S$10/3.7)+(2.51/($AH$14*SQRT(AC9)))))^(-2)</f>
        <v>1.3593103238089339E-2</v>
      </c>
      <c r="AE9" s="18">
        <f t="shared" si="6"/>
        <v>1.4488169274863825E-2</v>
      </c>
      <c r="AF9" s="18">
        <f t="shared" si="6"/>
        <v>1.4447857031455742E-2</v>
      </c>
      <c r="AG9" s="18">
        <f t="shared" si="6"/>
        <v>1.4449599300924355E-2</v>
      </c>
      <c r="AH9" s="18">
        <f t="shared" si="6"/>
        <v>1.4449523864744749E-2</v>
      </c>
      <c r="AI9" s="18">
        <f t="shared" si="6"/>
        <v>1.4449527130698553E-2</v>
      </c>
      <c r="AJ9" s="18">
        <f t="shared" si="6"/>
        <v>1.4449526989301006E-2</v>
      </c>
      <c r="AK9" s="18">
        <f t="shared" si="6"/>
        <v>1.4449526995422733E-2</v>
      </c>
      <c r="AL9" s="18">
        <f t="shared" si="6"/>
        <v>1.4449526995157697E-2</v>
      </c>
      <c r="AN9" s="8">
        <f t="shared" si="4"/>
        <v>0.25</v>
      </c>
      <c r="AO9" s="8">
        <f t="shared" si="3"/>
        <v>28.8</v>
      </c>
      <c r="AX9" s="1" t="s">
        <v>3</v>
      </c>
      <c r="AY9" s="1" t="s">
        <v>1</v>
      </c>
    </row>
    <row r="10" spans="2:56" ht="15" customHeight="1" x14ac:dyDescent="0.2">
      <c r="B10" s="5">
        <v>40</v>
      </c>
      <c r="C10" s="10">
        <f t="shared" si="0"/>
        <v>8.9126559714795009E-2</v>
      </c>
      <c r="D10" s="12">
        <f t="shared" si="1"/>
        <v>50.003627207070735</v>
      </c>
      <c r="E10" s="12">
        <f t="shared" si="2"/>
        <v>50.003759295850493</v>
      </c>
      <c r="F10" s="12">
        <f t="shared" si="5"/>
        <v>50.08747309455584</v>
      </c>
      <c r="H10" s="5">
        <v>2000</v>
      </c>
      <c r="I10" s="5">
        <v>119</v>
      </c>
      <c r="L10" s="4">
        <v>2600</v>
      </c>
      <c r="M10" s="4">
        <f>$M$5*(L10^2) + $N$5*(L10) + $O$5</f>
        <v>76.794285714285735</v>
      </c>
      <c r="N10" s="22">
        <f>$M$6*(L10^2) + $N$6*(L10) + $O$6</f>
        <v>65.883024968345467</v>
      </c>
      <c r="O10" s="4">
        <f>M10-N10</f>
        <v>10.911260745940268</v>
      </c>
      <c r="R10" s="1" t="s">
        <v>66</v>
      </c>
      <c r="S10" s="7">
        <f>S8/S5</f>
        <v>1.4999999999999999E-4</v>
      </c>
      <c r="T10" s="1" t="s">
        <v>8</v>
      </c>
      <c r="AX10" s="4">
        <f>($AY$5)*H6</f>
        <v>0</v>
      </c>
      <c r="AY10" s="4">
        <f>($AY$5^2)*I6</f>
        <v>82.077122223180623</v>
      </c>
    </row>
    <row r="11" spans="2:56" ht="15" customHeight="1" x14ac:dyDescent="0.2">
      <c r="B11" s="5">
        <v>50</v>
      </c>
      <c r="C11" s="10">
        <f t="shared" si="0"/>
        <v>0.11140819964349377</v>
      </c>
      <c r="D11" s="12">
        <f t="shared" si="1"/>
        <v>50.005667511048024</v>
      </c>
      <c r="E11" s="12">
        <f t="shared" si="2"/>
        <v>50.005873899766399</v>
      </c>
      <c r="F11" s="12">
        <f t="shared" si="5"/>
        <v>50.136676710243506</v>
      </c>
      <c r="H11" s="5">
        <v>2500</v>
      </c>
      <c r="I11" s="5">
        <v>84</v>
      </c>
      <c r="L11" s="5">
        <v>2650</v>
      </c>
      <c r="M11" s="5">
        <f t="shared" ref="M11:M15" si="7">$M$5*(L11^2) + $N$5*(L11) + $O$5</f>
        <v>72.790714285714316</v>
      </c>
      <c r="N11" s="5">
        <f t="shared" ref="N11:N15" si="8">$M$6*(L11^2) + $N$6*(L11) + $O$6</f>
        <v>66.499784443817461</v>
      </c>
      <c r="O11" s="5">
        <f t="shared" ref="O11:O15" si="9">M11-N11</f>
        <v>6.2909298418968547</v>
      </c>
      <c r="AC11" s="41" t="s">
        <v>71</v>
      </c>
      <c r="AD11" s="42"/>
      <c r="AE11" s="42"/>
      <c r="AF11" s="42"/>
      <c r="AG11" s="42"/>
      <c r="AH11" s="43"/>
      <c r="AN11" s="3" t="s">
        <v>81</v>
      </c>
      <c r="AO11" s="3" t="s">
        <v>83</v>
      </c>
      <c r="AP11" s="3" t="s">
        <v>84</v>
      </c>
      <c r="AX11" s="5">
        <f t="shared" ref="AX11:AX15" si="10">($AY$5)*H7</f>
        <v>338.57473660480349</v>
      </c>
      <c r="AY11" s="5">
        <f t="shared" ref="AY11:AY15" si="11">($AY$5^2)*I7</f>
        <v>80.701527995976477</v>
      </c>
    </row>
    <row r="12" spans="2:56" ht="15" customHeight="1" x14ac:dyDescent="0.2">
      <c r="B12" s="5">
        <v>60</v>
      </c>
      <c r="C12" s="10">
        <f t="shared" si="0"/>
        <v>0.13368983957219252</v>
      </c>
      <c r="D12" s="12">
        <f t="shared" si="1"/>
        <v>50.008161215909155</v>
      </c>
      <c r="E12" s="12">
        <f t="shared" si="2"/>
        <v>50.008458415663618</v>
      </c>
      <c r="F12" s="12">
        <f t="shared" si="5"/>
        <v>50.196814462750645</v>
      </c>
      <c r="H12" s="8">
        <v>3000</v>
      </c>
      <c r="I12" s="8">
        <v>43</v>
      </c>
      <c r="L12" s="5">
        <v>2700</v>
      </c>
      <c r="M12" s="5">
        <f t="shared" si="7"/>
        <v>68.7104761904762</v>
      </c>
      <c r="N12" s="5">
        <f t="shared" si="8"/>
        <v>67.128291718822254</v>
      </c>
      <c r="O12" s="5">
        <f t="shared" si="9"/>
        <v>1.5821844716539459</v>
      </c>
      <c r="AC12" s="1" t="s">
        <v>2</v>
      </c>
      <c r="AD12" s="1" t="s">
        <v>2</v>
      </c>
      <c r="AE12" s="1" t="s">
        <v>0</v>
      </c>
      <c r="AF12" s="1" t="s">
        <v>62</v>
      </c>
      <c r="AG12" s="1" t="s">
        <v>65</v>
      </c>
      <c r="AH12" s="1" t="s">
        <v>64</v>
      </c>
      <c r="AN12" s="3" t="s">
        <v>82</v>
      </c>
      <c r="AO12" s="3">
        <v>0.69116704189293399</v>
      </c>
      <c r="AP12" s="3">
        <v>-0.28448257123424298</v>
      </c>
      <c r="AX12" s="5">
        <f t="shared" si="10"/>
        <v>677.14947320960698</v>
      </c>
      <c r="AY12" s="5">
        <f t="shared" si="11"/>
        <v>75.657682496227949</v>
      </c>
    </row>
    <row r="13" spans="2:56" ht="15" customHeight="1" x14ac:dyDescent="0.2">
      <c r="B13" s="5">
        <v>70</v>
      </c>
      <c r="C13" s="10">
        <f t="shared" si="0"/>
        <v>0.15597147950089127</v>
      </c>
      <c r="D13" s="12">
        <f t="shared" si="1"/>
        <v>50.011108321654127</v>
      </c>
      <c r="E13" s="12">
        <f t="shared" si="2"/>
        <v>50.011512843542143</v>
      </c>
      <c r="F13" s="12">
        <f t="shared" si="5"/>
        <v>50.267886352077269</v>
      </c>
      <c r="L13" s="5">
        <v>2750</v>
      </c>
      <c r="M13" s="5">
        <f t="shared" si="7"/>
        <v>64.553571428571445</v>
      </c>
      <c r="N13" s="5">
        <f t="shared" si="8"/>
        <v>67.76854679335986</v>
      </c>
      <c r="O13" s="5">
        <f t="shared" si="9"/>
        <v>-3.2149753647884154</v>
      </c>
      <c r="AC13" s="1" t="s">
        <v>3</v>
      </c>
      <c r="AD13" s="1" t="s">
        <v>26</v>
      </c>
      <c r="AE13" s="1" t="s">
        <v>1</v>
      </c>
      <c r="AF13" s="1" t="s">
        <v>63</v>
      </c>
      <c r="AG13" s="1" t="s">
        <v>74</v>
      </c>
      <c r="AH13" s="1" t="s">
        <v>8</v>
      </c>
      <c r="AX13" s="5">
        <f>($AY$5)*H9</f>
        <v>1015.7242098144104</v>
      </c>
      <c r="AY13" s="5">
        <f>($AY$5^2)*I9</f>
        <v>66.487054314866981</v>
      </c>
    </row>
    <row r="14" spans="2:56" ht="15" customHeight="1" x14ac:dyDescent="0.2">
      <c r="B14" s="5">
        <v>80</v>
      </c>
      <c r="C14" s="10">
        <f t="shared" si="0"/>
        <v>0.17825311942959002</v>
      </c>
      <c r="D14" s="12">
        <f t="shared" si="1"/>
        <v>50.014508828282942</v>
      </c>
      <c r="E14" s="12">
        <f t="shared" si="2"/>
        <v>50.015037183401986</v>
      </c>
      <c r="F14" s="12">
        <f t="shared" si="5"/>
        <v>50.349892378223366</v>
      </c>
      <c r="L14" s="5">
        <v>2800</v>
      </c>
      <c r="M14" s="5">
        <f t="shared" si="7"/>
        <v>60.320000000000022</v>
      </c>
      <c r="N14" s="5">
        <f t="shared" si="8"/>
        <v>68.420549667430251</v>
      </c>
      <c r="O14" s="5">
        <f t="shared" si="9"/>
        <v>-8.1005496674302293</v>
      </c>
      <c r="AC14" s="3">
        <f>L15</f>
        <v>2716.5931062734694</v>
      </c>
      <c r="AD14" s="3">
        <f>AC14/(7.48*60)</f>
        <v>6.0530149426770707</v>
      </c>
      <c r="AE14" s="3">
        <f>AVERAGE(M15:N15)</f>
        <v>67.33946114426432</v>
      </c>
      <c r="AF14" s="3">
        <f>AD14/((PI()/4)*S5^2)</f>
        <v>7.7069379898892905</v>
      </c>
      <c r="AG14" s="19">
        <v>1.06E-5</v>
      </c>
      <c r="AH14" s="20">
        <f>(AF14*S5)/AG14</f>
        <v>727069.62168766896</v>
      </c>
      <c r="AX14" s="5">
        <f t="shared" si="10"/>
        <v>1354.298946419214</v>
      </c>
      <c r="AY14" s="5">
        <f t="shared" si="11"/>
        <v>54.565237679097734</v>
      </c>
    </row>
    <row r="15" spans="2:56" ht="15" customHeight="1" x14ac:dyDescent="0.2">
      <c r="B15" s="5">
        <v>90</v>
      </c>
      <c r="C15" s="10">
        <f t="shared" si="0"/>
        <v>0.20053475935828877</v>
      </c>
      <c r="D15" s="12">
        <f t="shared" si="1"/>
        <v>50.018362735795598</v>
      </c>
      <c r="E15" s="12">
        <f t="shared" si="2"/>
        <v>50.019031435243136</v>
      </c>
      <c r="F15" s="12">
        <f t="shared" si="5"/>
        <v>50.442832541188949</v>
      </c>
      <c r="L15" s="3">
        <v>2716.5931062734694</v>
      </c>
      <c r="M15" s="3">
        <f t="shared" si="7"/>
        <v>67.33945657759736</v>
      </c>
      <c r="N15" s="3">
        <f t="shared" si="8"/>
        <v>67.339465710931279</v>
      </c>
      <c r="O15" s="16">
        <f t="shared" si="9"/>
        <v>-9.1333339184984652E-6</v>
      </c>
      <c r="AN15" s="1" t="s">
        <v>19</v>
      </c>
      <c r="AO15" s="1" t="s">
        <v>14</v>
      </c>
      <c r="AQ15" s="1" t="s">
        <v>80</v>
      </c>
      <c r="AX15" s="5">
        <f t="shared" si="10"/>
        <v>1692.8736830240173</v>
      </c>
      <c r="AY15" s="5">
        <f t="shared" si="11"/>
        <v>38.516638361716048</v>
      </c>
    </row>
    <row r="16" spans="2:56" ht="15" customHeight="1" x14ac:dyDescent="0.2">
      <c r="B16" s="5">
        <v>100</v>
      </c>
      <c r="C16" s="10">
        <f t="shared" si="0"/>
        <v>0.22281639928698754</v>
      </c>
      <c r="D16" s="12">
        <f t="shared" si="1"/>
        <v>50.022670044192097</v>
      </c>
      <c r="E16" s="12">
        <f t="shared" si="2"/>
        <v>50.023495599065598</v>
      </c>
      <c r="F16" s="12">
        <f t="shared" si="5"/>
        <v>50.546706840974011</v>
      </c>
      <c r="AC16" s="62" t="s">
        <v>93</v>
      </c>
      <c r="AD16" s="62"/>
      <c r="AE16" s="62"/>
      <c r="AF16" s="62"/>
      <c r="AG16" s="62"/>
      <c r="AH16" s="62"/>
      <c r="AN16" s="24">
        <v>419.50796282288781</v>
      </c>
      <c r="AO16" s="27">
        <f>$AO$12*((AN16)^AP$12)</f>
        <v>0.12401069529914992</v>
      </c>
      <c r="AQ16" s="3">
        <f>AN16</f>
        <v>419.50796282288781</v>
      </c>
      <c r="AX16" s="8">
        <f>($AY$5)*H12</f>
        <v>2031.4484196288208</v>
      </c>
      <c r="AY16" s="8">
        <f>($AY$5^2)*I12</f>
        <v>19.716850589926072</v>
      </c>
    </row>
    <row r="17" spans="2:52" ht="15" customHeight="1" x14ac:dyDescent="0.2">
      <c r="B17" s="5">
        <v>110</v>
      </c>
      <c r="C17" s="10">
        <f t="shared" si="0"/>
        <v>0.24509803921568629</v>
      </c>
      <c r="D17" s="12">
        <f t="shared" si="1"/>
        <v>50.027430753472437</v>
      </c>
      <c r="E17" s="12">
        <f t="shared" si="2"/>
        <v>50.028429674869379</v>
      </c>
      <c r="F17" s="12">
        <f t="shared" si="5"/>
        <v>50.661515277578559</v>
      </c>
      <c r="K17" s="41" t="s">
        <v>70</v>
      </c>
      <c r="L17" s="42"/>
      <c r="M17" s="42"/>
      <c r="N17" s="42"/>
      <c r="O17" s="43"/>
      <c r="AC17" s="41" t="s">
        <v>77</v>
      </c>
      <c r="AD17" s="42"/>
      <c r="AE17" s="42"/>
      <c r="AF17" s="42"/>
      <c r="AG17" s="42"/>
      <c r="AH17" s="43"/>
      <c r="AX17" s="2">
        <f>AN40</f>
        <v>1361.4926327437763</v>
      </c>
    </row>
    <row r="18" spans="2:52" ht="15" customHeight="1" x14ac:dyDescent="0.2">
      <c r="B18" s="5">
        <v>120</v>
      </c>
      <c r="C18" s="10">
        <f t="shared" si="0"/>
        <v>0.26737967914438504</v>
      </c>
      <c r="D18" s="12">
        <f t="shared" si="1"/>
        <v>50.032644863636619</v>
      </c>
      <c r="E18" s="12">
        <f t="shared" si="2"/>
        <v>50.033833662654466</v>
      </c>
      <c r="F18" s="12">
        <f t="shared" si="5"/>
        <v>50.787257851002579</v>
      </c>
      <c r="K18" s="3" t="s">
        <v>37</v>
      </c>
      <c r="L18" s="3" t="s">
        <v>36</v>
      </c>
      <c r="M18" s="3" t="s">
        <v>31</v>
      </c>
      <c r="N18" s="3" t="s">
        <v>30</v>
      </c>
      <c r="O18" s="3" t="s">
        <v>32</v>
      </c>
      <c r="AC18" s="1" t="s">
        <v>2</v>
      </c>
      <c r="AD18" s="1" t="s">
        <v>2</v>
      </c>
      <c r="AE18" s="1" t="s">
        <v>0</v>
      </c>
      <c r="AF18" s="1" t="s">
        <v>73</v>
      </c>
      <c r="AG18" s="1" t="s">
        <v>76</v>
      </c>
      <c r="AH18" s="1" t="s">
        <v>76</v>
      </c>
    </row>
    <row r="19" spans="2:52" ht="15" customHeight="1" x14ac:dyDescent="0.2">
      <c r="B19" s="5">
        <v>130</v>
      </c>
      <c r="C19" s="10">
        <f t="shared" si="0"/>
        <v>0.28966131907308379</v>
      </c>
      <c r="D19" s="12">
        <f t="shared" si="1"/>
        <v>50.038312374684644</v>
      </c>
      <c r="E19" s="12">
        <f t="shared" si="2"/>
        <v>50.039707562420865</v>
      </c>
      <c r="F19" s="12">
        <f t="shared" si="5"/>
        <v>50.923934561246085</v>
      </c>
      <c r="K19" s="3" t="s">
        <v>29</v>
      </c>
      <c r="L19" s="3">
        <v>1</v>
      </c>
      <c r="M19" s="3" cm="1">
        <f t="array" ref="M19:O19">LINEST(I6:I12, H6:H12^{1,2})</f>
        <v>-1.5333333333333331E-5</v>
      </c>
      <c r="N19" s="3">
        <v>4.285714285714157E-4</v>
      </c>
      <c r="O19" s="3">
        <v>179.33333333333337</v>
      </c>
      <c r="AC19" s="1" t="s">
        <v>3</v>
      </c>
      <c r="AD19" s="1" t="s">
        <v>26</v>
      </c>
      <c r="AE19" s="1" t="s">
        <v>1</v>
      </c>
      <c r="AF19" s="1" t="s">
        <v>75</v>
      </c>
      <c r="AG19" s="1" t="s">
        <v>78</v>
      </c>
      <c r="AH19" s="1" t="s">
        <v>79</v>
      </c>
      <c r="AV19" s="3" t="s">
        <v>37</v>
      </c>
      <c r="AW19" s="3" t="s">
        <v>36</v>
      </c>
      <c r="AX19" s="3" t="s">
        <v>31</v>
      </c>
      <c r="AY19" s="3" t="s">
        <v>30</v>
      </c>
      <c r="AZ19" s="3" t="s">
        <v>32</v>
      </c>
    </row>
    <row r="20" spans="2:52" ht="15" customHeight="1" x14ac:dyDescent="0.2">
      <c r="B20" s="5">
        <v>140</v>
      </c>
      <c r="C20" s="10">
        <f t="shared" si="0"/>
        <v>0.31194295900178254</v>
      </c>
      <c r="D20" s="12">
        <f t="shared" si="1"/>
        <v>50.04443328661651</v>
      </c>
      <c r="E20" s="12">
        <f t="shared" si="2"/>
        <v>50.046051374168577</v>
      </c>
      <c r="F20" s="12">
        <f t="shared" si="5"/>
        <v>51.071545408309063</v>
      </c>
      <c r="K20" s="3" t="s">
        <v>34</v>
      </c>
      <c r="L20" s="3">
        <v>2</v>
      </c>
      <c r="M20" s="3" cm="1">
        <f t="array" ref="M20:O20">LINEST(D6:D306, B6:B306^{1,2})</f>
        <v>2.2670044192097026E-6</v>
      </c>
      <c r="N20" s="3">
        <v>-3.0534281063801488E-18</v>
      </c>
      <c r="O20" s="3">
        <v>49.999999999999964</v>
      </c>
      <c r="AC20" s="3">
        <f>L29</f>
        <v>2722.9852654875526</v>
      </c>
      <c r="AD20" s="3">
        <f>AC20/(7.48*60)</f>
        <v>6.067257721674582</v>
      </c>
      <c r="AE20" s="3">
        <f>AVERAGE(M29:N29)</f>
        <v>66.809043794567202</v>
      </c>
      <c r="AF20" s="23">
        <v>1.93</v>
      </c>
      <c r="AG20" s="28">
        <f>($AF$20*$S$9*AE20*AD20)/$S$7</f>
        <v>31488.421682970296</v>
      </c>
      <c r="AH20" s="28">
        <f>AG20/550</f>
        <v>57.251675787218723</v>
      </c>
      <c r="AV20" s="3" t="s">
        <v>29</v>
      </c>
      <c r="AW20" s="3">
        <v>1</v>
      </c>
      <c r="AX20" s="3" cm="1">
        <f t="array" ref="AX20:AZ20">LINEST(AY10:AY16,AX10:AX16^{1,2})</f>
        <v>-1.5333333333333341E-5</v>
      </c>
      <c r="AY20" s="3">
        <v>2.9020691708984037E-4</v>
      </c>
      <c r="AZ20" s="3">
        <v>82.2299660262033</v>
      </c>
    </row>
    <row r="21" spans="2:52" ht="15" customHeight="1" x14ac:dyDescent="0.2">
      <c r="B21" s="5">
        <v>150</v>
      </c>
      <c r="C21" s="10">
        <f t="shared" si="0"/>
        <v>0.33422459893048129</v>
      </c>
      <c r="D21" s="12">
        <f t="shared" si="1"/>
        <v>50.051007599432218</v>
      </c>
      <c r="E21" s="12">
        <f t="shared" si="2"/>
        <v>50.052865097897602</v>
      </c>
      <c r="F21" s="12">
        <f t="shared" si="5"/>
        <v>51.230090392191528</v>
      </c>
      <c r="AV21" s="3" t="s">
        <v>34</v>
      </c>
      <c r="AW21" s="3">
        <v>2</v>
      </c>
      <c r="AX21" s="3" cm="1">
        <f t="array" ref="AX21:AZ21">LINEST(D6:D306,B6:B306^{1,2})</f>
        <v>2.2670044192097026E-6</v>
      </c>
      <c r="AY21" s="3">
        <v>-3.0534281063801488E-18</v>
      </c>
      <c r="AZ21" s="3">
        <v>49.999999999999964</v>
      </c>
    </row>
    <row r="22" spans="2:52" ht="15" customHeight="1" x14ac:dyDescent="0.2">
      <c r="B22" s="5">
        <v>160</v>
      </c>
      <c r="C22" s="10">
        <f t="shared" si="0"/>
        <v>0.35650623885918004</v>
      </c>
      <c r="D22" s="12">
        <f t="shared" si="1"/>
        <v>50.058035313131768</v>
      </c>
      <c r="E22" s="12">
        <f t="shared" si="2"/>
        <v>50.060148733607939</v>
      </c>
      <c r="F22" s="12">
        <f t="shared" si="5"/>
        <v>51.399569512893471</v>
      </c>
      <c r="K22" s="15"/>
      <c r="L22" s="48" t="s">
        <v>2</v>
      </c>
      <c r="M22" s="3" t="s">
        <v>33</v>
      </c>
      <c r="N22" s="3" t="s">
        <v>35</v>
      </c>
      <c r="O22" s="49" t="s">
        <v>38</v>
      </c>
    </row>
    <row r="23" spans="2:52" ht="15" customHeight="1" x14ac:dyDescent="0.2">
      <c r="B23" s="5">
        <v>170</v>
      </c>
      <c r="C23" s="10">
        <f t="shared" si="0"/>
        <v>0.37878787878787878</v>
      </c>
      <c r="D23" s="12">
        <f t="shared" si="1"/>
        <v>50.06551642771516</v>
      </c>
      <c r="E23" s="12">
        <f t="shared" si="2"/>
        <v>50.067902281299581</v>
      </c>
      <c r="F23" s="12">
        <f t="shared" si="5"/>
        <v>51.579982770414894</v>
      </c>
      <c r="K23" s="15"/>
      <c r="L23" s="48"/>
      <c r="M23" s="3" t="s">
        <v>0</v>
      </c>
      <c r="N23" s="3" t="s">
        <v>0</v>
      </c>
      <c r="O23" s="50"/>
      <c r="AV23" s="15"/>
      <c r="AW23" s="49" t="s">
        <v>2</v>
      </c>
      <c r="AX23" s="3" t="s">
        <v>33</v>
      </c>
      <c r="AY23" s="3" t="s">
        <v>35</v>
      </c>
      <c r="AZ23" s="49" t="s">
        <v>38</v>
      </c>
    </row>
    <row r="24" spans="2:52" ht="15" customHeight="1" x14ac:dyDescent="0.2">
      <c r="B24" s="5">
        <v>180</v>
      </c>
      <c r="C24" s="10">
        <f t="shared" si="0"/>
        <v>0.40106951871657753</v>
      </c>
      <c r="D24" s="12">
        <f t="shared" si="1"/>
        <v>50.073450943182394</v>
      </c>
      <c r="E24" s="12">
        <f t="shared" si="2"/>
        <v>50.076125740972543</v>
      </c>
      <c r="F24" s="12">
        <f t="shared" si="5"/>
        <v>51.771330164755803</v>
      </c>
      <c r="L24" s="4">
        <v>2600</v>
      </c>
      <c r="M24" s="4">
        <f t="shared" ref="M24:M29" si="12">$M$19*(L24^2) + $N$19*(L24) + $O$19</f>
        <v>76.794285714285735</v>
      </c>
      <c r="N24" s="4">
        <f t="shared" ref="N24:N29" si="13">$M$20*(L24^2) + $N$20*(L24) + $O$20</f>
        <v>65.324949873857548</v>
      </c>
      <c r="O24" s="4">
        <f>M24-N24</f>
        <v>11.469335840428187</v>
      </c>
      <c r="AV24" s="15"/>
      <c r="AW24" s="50"/>
      <c r="AX24" s="3" t="s">
        <v>0</v>
      </c>
      <c r="AY24" s="3" t="s">
        <v>0</v>
      </c>
      <c r="AZ24" s="50"/>
    </row>
    <row r="25" spans="2:52" ht="15" customHeight="1" x14ac:dyDescent="0.2">
      <c r="B25" s="5">
        <v>190</v>
      </c>
      <c r="C25" s="10">
        <f t="shared" si="0"/>
        <v>0.42335115864527628</v>
      </c>
      <c r="D25" s="12">
        <f t="shared" si="1"/>
        <v>50.08183885953347</v>
      </c>
      <c r="E25" s="12">
        <f t="shared" si="2"/>
        <v>50.084819112626818</v>
      </c>
      <c r="F25" s="12">
        <f t="shared" si="5"/>
        <v>51.973611695916183</v>
      </c>
      <c r="K25" s="2" t="s">
        <v>39</v>
      </c>
      <c r="L25" s="5">
        <v>2650</v>
      </c>
      <c r="M25" s="5">
        <f t="shared" si="12"/>
        <v>72.790714285714316</v>
      </c>
      <c r="N25" s="5">
        <f t="shared" si="13"/>
        <v>65.920038533900097</v>
      </c>
      <c r="O25" s="5">
        <f t="shared" ref="O25:O29" si="14">M25-N25</f>
        <v>6.8706757518142183</v>
      </c>
      <c r="AW25" s="4">
        <f>AX10</f>
        <v>0</v>
      </c>
      <c r="AX25" s="4">
        <f>$AX$20*(AW25^2) + $AY$20*(AW25) + $AZ$20</f>
        <v>82.2299660262033</v>
      </c>
      <c r="AY25" s="4">
        <f>$AX$21*(AW25^2) + $AY$21*(AW25) + $AZ$21</f>
        <v>49.999999999999964</v>
      </c>
      <c r="AZ25" s="4">
        <f>AX25-AY25</f>
        <v>32.229966026203336</v>
      </c>
    </row>
    <row r="26" spans="2:52" ht="15" customHeight="1" x14ac:dyDescent="0.2">
      <c r="B26" s="5">
        <v>200</v>
      </c>
      <c r="C26" s="10">
        <f t="shared" si="0"/>
        <v>0.44563279857397509</v>
      </c>
      <c r="D26" s="12">
        <f t="shared" si="1"/>
        <v>50.090680176768387</v>
      </c>
      <c r="E26" s="12">
        <f t="shared" si="2"/>
        <v>50.093982396262398</v>
      </c>
      <c r="F26" s="12">
        <f t="shared" si="5"/>
        <v>52.18682736389605</v>
      </c>
      <c r="K26" s="2" t="s">
        <v>40</v>
      </c>
      <c r="L26" s="5">
        <v>2700</v>
      </c>
      <c r="M26" s="5">
        <f t="shared" si="12"/>
        <v>68.7104761904762</v>
      </c>
      <c r="N26" s="5">
        <f t="shared" si="13"/>
        <v>66.526462216038681</v>
      </c>
      <c r="O26" s="5">
        <f t="shared" si="14"/>
        <v>2.1840139744375193</v>
      </c>
      <c r="AV26" s="2" t="s">
        <v>39</v>
      </c>
      <c r="AW26" s="5">
        <f t="shared" ref="AW26:AW32" si="15">AX11</f>
        <v>338.57473660480349</v>
      </c>
      <c r="AX26" s="5">
        <f t="shared" ref="AX26:AX32" si="16">$AX$20*(AW26^2) + $AY$20*(AW26) + $AZ$20</f>
        <v>80.570519021957026</v>
      </c>
      <c r="AY26" s="5">
        <f t="shared" ref="AY26:AY31" si="17">$AX$21*(AW26^2) + $AY$21*(AW26) + $AZ$21</f>
        <v>50.259873182675889</v>
      </c>
      <c r="AZ26" s="5">
        <f t="shared" ref="AZ26:AZ29" si="18">AX26-AY26</f>
        <v>30.310645839281136</v>
      </c>
    </row>
    <row r="27" spans="2:52" ht="15" customHeight="1" x14ac:dyDescent="0.2">
      <c r="B27" s="5">
        <v>210</v>
      </c>
      <c r="C27" s="10">
        <f t="shared" si="0"/>
        <v>0.46791443850267384</v>
      </c>
      <c r="D27" s="12">
        <f t="shared" si="1"/>
        <v>50.099974894887147</v>
      </c>
      <c r="E27" s="12">
        <f t="shared" si="2"/>
        <v>50.103615591879297</v>
      </c>
      <c r="F27" s="12">
        <f t="shared" si="5"/>
        <v>52.410977168695396</v>
      </c>
      <c r="K27" s="2" t="s">
        <v>41</v>
      </c>
      <c r="L27" s="5">
        <v>2750</v>
      </c>
      <c r="M27" s="5">
        <f t="shared" si="12"/>
        <v>64.553571428571445</v>
      </c>
      <c r="N27" s="5">
        <f t="shared" si="13"/>
        <v>67.144220920273341</v>
      </c>
      <c r="O27" s="5">
        <f t="shared" si="14"/>
        <v>-2.5906494917018961</v>
      </c>
      <c r="AV27" s="2" t="s">
        <v>40</v>
      </c>
      <c r="AW27" s="5">
        <f t="shared" si="15"/>
        <v>677.14947320960698</v>
      </c>
      <c r="AX27" s="5">
        <f t="shared" si="16"/>
        <v>75.39566454818906</v>
      </c>
      <c r="AY27" s="5">
        <f t="shared" si="17"/>
        <v>51.039492730703678</v>
      </c>
      <c r="AZ27" s="5">
        <f t="shared" si="18"/>
        <v>24.356171817485382</v>
      </c>
    </row>
    <row r="28" spans="2:52" ht="15" customHeight="1" x14ac:dyDescent="0.2">
      <c r="B28" s="5">
        <v>220</v>
      </c>
      <c r="C28" s="10">
        <f t="shared" si="0"/>
        <v>0.49019607843137258</v>
      </c>
      <c r="D28" s="12">
        <f t="shared" si="1"/>
        <v>50.109723013889749</v>
      </c>
      <c r="E28" s="12">
        <f t="shared" si="2"/>
        <v>50.113718699477502</v>
      </c>
      <c r="F28" s="12">
        <f t="shared" si="5"/>
        <v>52.646061110314221</v>
      </c>
      <c r="L28" s="5">
        <v>2800</v>
      </c>
      <c r="M28" s="5">
        <f t="shared" si="12"/>
        <v>60.320000000000022</v>
      </c>
      <c r="N28" s="5">
        <f t="shared" si="13"/>
        <v>67.773314646604021</v>
      </c>
      <c r="O28" s="5">
        <f t="shared" si="14"/>
        <v>-7.4533146466039994</v>
      </c>
      <c r="AV28" s="2" t="s">
        <v>41</v>
      </c>
      <c r="AW28" s="5">
        <f t="shared" si="15"/>
        <v>1015.7242098144104</v>
      </c>
      <c r="AX28" s="5">
        <f t="shared" si="16"/>
        <v>66.705402604899376</v>
      </c>
      <c r="AY28" s="5">
        <f t="shared" si="17"/>
        <v>52.338858644083324</v>
      </c>
      <c r="AZ28" s="5">
        <f t="shared" si="18"/>
        <v>14.366543960816053</v>
      </c>
    </row>
    <row r="29" spans="2:52" ht="15" customHeight="1" x14ac:dyDescent="0.2">
      <c r="B29" s="5">
        <v>230</v>
      </c>
      <c r="C29" s="10">
        <f t="shared" si="0"/>
        <v>0.51247771836007128</v>
      </c>
      <c r="D29" s="12">
        <f t="shared" si="1"/>
        <v>50.119924533776192</v>
      </c>
      <c r="E29" s="12">
        <f t="shared" si="2"/>
        <v>50.124291719057027</v>
      </c>
      <c r="F29" s="12">
        <f t="shared" si="5"/>
        <v>52.892079188752525</v>
      </c>
      <c r="L29" s="3">
        <v>2722.9852654875526</v>
      </c>
      <c r="M29" s="3">
        <f t="shared" si="12"/>
        <v>66.809046092253439</v>
      </c>
      <c r="N29" s="3">
        <f t="shared" si="13"/>
        <v>66.809041496880951</v>
      </c>
      <c r="O29" s="16">
        <f t="shared" si="14"/>
        <v>4.5953724878700086E-6</v>
      </c>
      <c r="AW29" s="5">
        <f t="shared" si="15"/>
        <v>1354.298946419214</v>
      </c>
      <c r="AX29" s="5">
        <f t="shared" si="16"/>
        <v>54.499733192088001</v>
      </c>
      <c r="AY29" s="5">
        <f t="shared" si="17"/>
        <v>54.157970922814826</v>
      </c>
      <c r="AZ29" s="5">
        <f t="shared" si="18"/>
        <v>0.34176226927317543</v>
      </c>
    </row>
    <row r="30" spans="2:52" ht="15" customHeight="1" x14ac:dyDescent="0.2">
      <c r="B30" s="5">
        <v>240</v>
      </c>
      <c r="C30" s="10">
        <f t="shared" si="0"/>
        <v>0.53475935828877008</v>
      </c>
      <c r="D30" s="12">
        <f t="shared" si="1"/>
        <v>50.130579454546478</v>
      </c>
      <c r="E30" s="12">
        <f t="shared" si="2"/>
        <v>50.135334650617857</v>
      </c>
      <c r="F30" s="12">
        <f t="shared" si="5"/>
        <v>53.149031404010316</v>
      </c>
      <c r="AW30" s="5">
        <f t="shared" si="15"/>
        <v>1692.8736830240173</v>
      </c>
      <c r="AX30" s="5">
        <f t="shared" si="16"/>
        <v>38.778656309754922</v>
      </c>
      <c r="AY30" s="5">
        <f t="shared" si="17"/>
        <v>56.496829566898192</v>
      </c>
      <c r="AZ30" s="5">
        <f t="shared" ref="AZ30" si="19">AX30-AY30</f>
        <v>-17.71817325714327</v>
      </c>
    </row>
    <row r="31" spans="2:52" ht="15" customHeight="1" x14ac:dyDescent="0.2">
      <c r="B31" s="5">
        <v>250</v>
      </c>
      <c r="C31" s="10">
        <f t="shared" si="0"/>
        <v>0.55704099821746877</v>
      </c>
      <c r="D31" s="12">
        <f t="shared" si="1"/>
        <v>50.141687776200605</v>
      </c>
      <c r="E31" s="12">
        <f t="shared" si="2"/>
        <v>50.146847494159999</v>
      </c>
      <c r="F31" s="12">
        <f t="shared" si="5"/>
        <v>53.416917756087578</v>
      </c>
      <c r="K31" s="2" t="s">
        <v>42</v>
      </c>
      <c r="AW31" s="5">
        <f t="shared" si="15"/>
        <v>2031.4484196288208</v>
      </c>
      <c r="AX31" s="5">
        <f t="shared" si="16"/>
        <v>19.542171957900123</v>
      </c>
      <c r="AY31" s="5">
        <f t="shared" si="17"/>
        <v>59.355434576333415</v>
      </c>
      <c r="AZ31" s="5">
        <f>AX31-AY31</f>
        <v>-39.813262618433292</v>
      </c>
    </row>
    <row r="32" spans="2:52" ht="15" customHeight="1" x14ac:dyDescent="0.2">
      <c r="B32" s="5">
        <v>260</v>
      </c>
      <c r="C32" s="10">
        <f t="shared" si="0"/>
        <v>0.57932263814616758</v>
      </c>
      <c r="D32" s="12">
        <f t="shared" si="1"/>
        <v>50.153249498738575</v>
      </c>
      <c r="E32" s="12">
        <f t="shared" si="2"/>
        <v>50.158830249683454</v>
      </c>
      <c r="F32" s="12">
        <f t="shared" si="5"/>
        <v>53.695738244984327</v>
      </c>
      <c r="K32" s="2" t="s">
        <v>43</v>
      </c>
      <c r="AW32" s="3">
        <f t="shared" si="15"/>
        <v>1361.4926327437763</v>
      </c>
      <c r="AX32" s="3">
        <f t="shared" si="16"/>
        <v>54.202260374220174</v>
      </c>
      <c r="AY32" s="3">
        <f>$AX$21*(AW32^2) + $AY$21*(AW32) + $AZ$21</f>
        <v>54.202260374220209</v>
      </c>
      <c r="AZ32" s="16">
        <f>AX32-AY32</f>
        <v>0</v>
      </c>
    </row>
    <row r="33" spans="2:52" ht="15" customHeight="1" x14ac:dyDescent="0.2">
      <c r="B33" s="5">
        <v>270</v>
      </c>
      <c r="C33" s="10">
        <f t="shared" si="0"/>
        <v>0.60160427807486638</v>
      </c>
      <c r="D33" s="12">
        <f t="shared" si="1"/>
        <v>50.165264622160386</v>
      </c>
      <c r="E33" s="12">
        <f t="shared" si="2"/>
        <v>50.171282917188222</v>
      </c>
      <c r="F33" s="12">
        <f t="shared" si="5"/>
        <v>53.985492870700554</v>
      </c>
      <c r="K33" s="2" t="s">
        <v>44</v>
      </c>
    </row>
    <row r="34" spans="2:52" ht="15" customHeight="1" x14ac:dyDescent="0.2">
      <c r="B34" s="5">
        <v>280</v>
      </c>
      <c r="C34" s="10">
        <f t="shared" si="0"/>
        <v>0.62388591800356508</v>
      </c>
      <c r="D34" s="12">
        <f t="shared" si="1"/>
        <v>50.177733146466039</v>
      </c>
      <c r="E34" s="12">
        <f t="shared" si="2"/>
        <v>50.184205496674302</v>
      </c>
      <c r="F34" s="12">
        <f t="shared" si="5"/>
        <v>54.286181633236261</v>
      </c>
      <c r="K34" s="2" t="s">
        <v>45</v>
      </c>
    </row>
    <row r="35" spans="2:52" ht="15" customHeight="1" x14ac:dyDescent="0.2">
      <c r="B35" s="5">
        <v>290</v>
      </c>
      <c r="C35" s="10">
        <f t="shared" si="0"/>
        <v>0.64616755793226388</v>
      </c>
      <c r="D35" s="12">
        <f t="shared" si="1"/>
        <v>50.190655071655534</v>
      </c>
      <c r="E35" s="12">
        <f t="shared" si="2"/>
        <v>50.197597988141695</v>
      </c>
      <c r="F35" s="12">
        <f t="shared" si="5"/>
        <v>54.597804532591454</v>
      </c>
    </row>
    <row r="36" spans="2:52" ht="15" customHeight="1" x14ac:dyDescent="0.2">
      <c r="B36" s="5">
        <v>300</v>
      </c>
      <c r="C36" s="10">
        <f t="shared" si="0"/>
        <v>0.66844919786096257</v>
      </c>
      <c r="D36" s="12">
        <f t="shared" si="1"/>
        <v>50.204030397728872</v>
      </c>
      <c r="E36" s="12">
        <f t="shared" si="2"/>
        <v>50.2114603915904</v>
      </c>
      <c r="F36" s="12">
        <f t="shared" si="5"/>
        <v>54.920361568766118</v>
      </c>
      <c r="L36" s="54" t="s">
        <v>49</v>
      </c>
      <c r="M36" s="54"/>
      <c r="N36" s="54"/>
      <c r="O36" s="54"/>
      <c r="AN36" s="62" t="s">
        <v>94</v>
      </c>
      <c r="AO36" s="62"/>
      <c r="AP36" s="62"/>
      <c r="AQ36" s="62"/>
      <c r="AR36" s="62"/>
      <c r="AS36" s="62"/>
      <c r="AT36" s="62"/>
    </row>
    <row r="37" spans="2:52" ht="15" customHeight="1" x14ac:dyDescent="0.2">
      <c r="B37" s="5">
        <v>310</v>
      </c>
      <c r="C37" s="10">
        <f t="shared" si="0"/>
        <v>0.69073083778966138</v>
      </c>
      <c r="D37" s="12">
        <f t="shared" si="1"/>
        <v>50.217859124686051</v>
      </c>
      <c r="E37" s="12">
        <f t="shared" si="2"/>
        <v>50.225792707020418</v>
      </c>
      <c r="F37" s="12">
        <f t="shared" si="5"/>
        <v>55.253852741760262</v>
      </c>
      <c r="L37" s="54" t="s">
        <v>47</v>
      </c>
      <c r="M37" s="54"/>
      <c r="N37" s="54" t="s">
        <v>48</v>
      </c>
      <c r="O37" s="54"/>
      <c r="AN37" s="54" t="s">
        <v>2</v>
      </c>
      <c r="AO37" s="54" t="s">
        <v>2</v>
      </c>
      <c r="AP37" s="55" t="s">
        <v>72</v>
      </c>
      <c r="AQ37" s="55" t="s">
        <v>85</v>
      </c>
      <c r="AR37" s="54" t="s">
        <v>38</v>
      </c>
      <c r="AS37" s="54" t="s">
        <v>76</v>
      </c>
      <c r="AT37" s="54" t="s">
        <v>76</v>
      </c>
      <c r="AV37" s="31">
        <f>$S$6+((1/(2*$S$9*((PI()/4)*($S$5)^2)^2))*($AA$5*($S$3/$S$5)+2*$V$5+$X$5))*(AD20^2)</f>
        <v>66.809041496881008</v>
      </c>
    </row>
    <row r="38" spans="2:52" ht="15" customHeight="1" x14ac:dyDescent="0.2">
      <c r="B38" s="5">
        <v>320</v>
      </c>
      <c r="C38" s="10">
        <f t="shared" si="0"/>
        <v>0.71301247771836007</v>
      </c>
      <c r="D38" s="12">
        <f t="shared" si="1"/>
        <v>50.232141252527072</v>
      </c>
      <c r="E38" s="12">
        <f t="shared" si="2"/>
        <v>50.240594934431741</v>
      </c>
      <c r="F38" s="12">
        <f t="shared" si="5"/>
        <v>55.598278051573892</v>
      </c>
      <c r="L38" s="1" t="s">
        <v>30</v>
      </c>
      <c r="M38" s="1" t="s">
        <v>46</v>
      </c>
      <c r="N38" s="1" t="s">
        <v>30</v>
      </c>
      <c r="O38" s="1" t="s">
        <v>46</v>
      </c>
      <c r="AN38" s="54"/>
      <c r="AO38" s="54"/>
      <c r="AP38" s="55"/>
      <c r="AQ38" s="55"/>
      <c r="AR38" s="54"/>
      <c r="AS38" s="54"/>
      <c r="AT38" s="54"/>
      <c r="AV38" s="31">
        <f>$S$6+((1/(2*$S$9*((PI()/4)*($S$5)^2)^2))*($AA$5*($S$3/$S$5)+2*$V$5+$X$5))*(AO40^2)</f>
        <v>54.202260374220252</v>
      </c>
    </row>
    <row r="39" spans="2:52" ht="15" customHeight="1" x14ac:dyDescent="0.2">
      <c r="B39" s="5">
        <v>330</v>
      </c>
      <c r="C39" s="10">
        <f t="shared" si="0"/>
        <v>0.73529411764705888</v>
      </c>
      <c r="D39" s="12">
        <f t="shared" si="1"/>
        <v>50.246876781251935</v>
      </c>
      <c r="E39" s="12">
        <f t="shared" si="2"/>
        <v>50.255867073824383</v>
      </c>
      <c r="F39" s="12">
        <f t="shared" si="5"/>
        <v>55.953637498207001</v>
      </c>
      <c r="L39" s="4">
        <v>0</v>
      </c>
      <c r="M39" s="4">
        <f>AVERAGE($M$29:$N$29)</f>
        <v>66.809043794567202</v>
      </c>
      <c r="N39" s="4">
        <f>$L$29</f>
        <v>2722.9852654875526</v>
      </c>
      <c r="O39" s="4">
        <v>0</v>
      </c>
      <c r="AN39" s="1" t="s">
        <v>3</v>
      </c>
      <c r="AO39" s="1" t="s">
        <v>26</v>
      </c>
      <c r="AP39" s="1" t="s">
        <v>1</v>
      </c>
      <c r="AQ39" s="1" t="s">
        <v>1</v>
      </c>
      <c r="AR39" s="54"/>
      <c r="AS39" s="1" t="s">
        <v>78</v>
      </c>
      <c r="AT39" s="1" t="s">
        <v>79</v>
      </c>
      <c r="AX39" s="32" t="s">
        <v>100</v>
      </c>
      <c r="AY39" s="33"/>
      <c r="AZ39" s="34"/>
    </row>
    <row r="40" spans="2:52" ht="15" customHeight="1" x14ac:dyDescent="0.2">
      <c r="B40" s="5">
        <v>340</v>
      </c>
      <c r="C40" s="10">
        <f t="shared" si="0"/>
        <v>0.75757575757575757</v>
      </c>
      <c r="D40" s="12">
        <f t="shared" si="1"/>
        <v>50.262065710860639</v>
      </c>
      <c r="E40" s="12">
        <f t="shared" si="2"/>
        <v>50.271609125198331</v>
      </c>
      <c r="F40" s="12">
        <f t="shared" si="5"/>
        <v>56.31993108165959</v>
      </c>
      <c r="L40" s="8">
        <f>$L$29</f>
        <v>2722.9852654875526</v>
      </c>
      <c r="M40" s="8">
        <f>AVERAGE($M$29:$N$29)</f>
        <v>66.809043794567202</v>
      </c>
      <c r="N40" s="8">
        <f>$L$29</f>
        <v>2722.9852654875526</v>
      </c>
      <c r="O40" s="8">
        <f>AVERAGE($M$29:$N$29)</f>
        <v>66.809043794567202</v>
      </c>
      <c r="AN40" s="3">
        <f>AC20/2</f>
        <v>1361.4926327437763</v>
      </c>
      <c r="AO40" s="3">
        <f>AD20/2</f>
        <v>3.033628860837291</v>
      </c>
      <c r="AP40" s="3">
        <f>$S$6+((1/(2*$S$9*((PI()/4)*($S$5)^2)^2))*($Z$5*($S$3/$S$5)+2*$V$5+$AQ$16))*($AO40^2)</f>
        <v>151.49400994436508</v>
      </c>
      <c r="AQ40" s="3">
        <f>$M$19*(AN40^2) + $N$19*(AN40) + $O$19</f>
        <v>151.49400994436562</v>
      </c>
      <c r="AR40" s="3">
        <f>AP40-AQ40</f>
        <v>-5.4001247917767614E-13</v>
      </c>
      <c r="AS40" s="28">
        <f>($AF$20*$S$9*AP40*AO40)/$S$7</f>
        <v>35701.059292515842</v>
      </c>
      <c r="AT40" s="28">
        <f>AS40/550</f>
        <v>64.911016895483343</v>
      </c>
      <c r="AV40" s="2">
        <f>SQRT(AV38/AV37)</f>
        <v>0.90072263899584826</v>
      </c>
      <c r="AX40" s="3" t="s">
        <v>31</v>
      </c>
      <c r="AY40" s="3" t="s">
        <v>30</v>
      </c>
      <c r="AZ40" s="3" t="s">
        <v>32</v>
      </c>
    </row>
    <row r="41" spans="2:52" ht="15" customHeight="1" x14ac:dyDescent="0.2">
      <c r="B41" s="5">
        <v>350</v>
      </c>
      <c r="C41" s="10">
        <f t="shared" si="0"/>
        <v>0.77985739750445637</v>
      </c>
      <c r="D41" s="12">
        <f t="shared" si="1"/>
        <v>50.277708041353186</v>
      </c>
      <c r="E41" s="12">
        <f t="shared" si="2"/>
        <v>50.287821088553599</v>
      </c>
      <c r="F41" s="12">
        <f t="shared" si="5"/>
        <v>56.697158801931657</v>
      </c>
      <c r="AX41" s="3" cm="1">
        <f t="array" ref="AX41:AZ41">LINEST(I6:I12, H6:H12^{1,2})</f>
        <v>-1.5333333333333331E-5</v>
      </c>
      <c r="AY41" s="3">
        <v>4.285714285714157E-4</v>
      </c>
      <c r="AZ41" s="3">
        <v>179.33333333333337</v>
      </c>
    </row>
    <row r="42" spans="2:52" ht="15" customHeight="1" x14ac:dyDescent="0.2">
      <c r="B42" s="5">
        <v>360</v>
      </c>
      <c r="C42" s="10">
        <f t="shared" si="0"/>
        <v>0.80213903743315507</v>
      </c>
      <c r="D42" s="12">
        <f t="shared" si="1"/>
        <v>50.293803772729575</v>
      </c>
      <c r="E42" s="12">
        <f t="shared" si="2"/>
        <v>50.304502963890172</v>
      </c>
      <c r="F42" s="12">
        <f t="shared" si="5"/>
        <v>57.085320659023211</v>
      </c>
    </row>
    <row r="43" spans="2:52" ht="15" customHeight="1" x14ac:dyDescent="0.2">
      <c r="B43" s="5">
        <v>370</v>
      </c>
      <c r="C43" s="10">
        <f t="shared" si="0"/>
        <v>0.82442067736185387</v>
      </c>
      <c r="D43" s="12">
        <f t="shared" si="1"/>
        <v>50.310352904989806</v>
      </c>
      <c r="E43" s="12">
        <f t="shared" si="2"/>
        <v>50.321654751208065</v>
      </c>
      <c r="F43" s="12">
        <f t="shared" si="5"/>
        <v>57.484416652934236</v>
      </c>
      <c r="AX43" s="3" t="s">
        <v>97</v>
      </c>
      <c r="AY43" s="3" t="s">
        <v>98</v>
      </c>
      <c r="AZ43" s="3" t="s">
        <v>99</v>
      </c>
    </row>
    <row r="44" spans="2:52" ht="15" customHeight="1" x14ac:dyDescent="0.2">
      <c r="B44" s="5">
        <v>380</v>
      </c>
      <c r="C44" s="10">
        <f t="shared" si="0"/>
        <v>0.84670231729055256</v>
      </c>
      <c r="D44" s="12">
        <f t="shared" si="1"/>
        <v>50.327355438133878</v>
      </c>
      <c r="E44" s="12">
        <f t="shared" si="2"/>
        <v>50.339276450507263</v>
      </c>
      <c r="F44" s="12">
        <f t="shared" si="5"/>
        <v>57.894446783664748</v>
      </c>
      <c r="AX44" s="3">
        <f>-(AY32/((AW32)^2))+AX41</f>
        <v>-4.4573968814496856E-5</v>
      </c>
      <c r="AY44" s="3">
        <f>AY41</f>
        <v>4.285714285714157E-4</v>
      </c>
      <c r="AZ44" s="3">
        <f>AZ41</f>
        <v>179.33333333333337</v>
      </c>
    </row>
    <row r="45" spans="2:52" ht="15" customHeight="1" x14ac:dyDescent="0.2">
      <c r="B45" s="5">
        <v>390</v>
      </c>
      <c r="C45" s="10">
        <f t="shared" si="0"/>
        <v>0.86898395721925137</v>
      </c>
      <c r="D45" s="12">
        <f t="shared" si="1"/>
        <v>50.344811372161793</v>
      </c>
      <c r="E45" s="12">
        <f t="shared" si="2"/>
        <v>50.357368061787774</v>
      </c>
      <c r="F45" s="12">
        <f t="shared" si="5"/>
        <v>58.315411051214738</v>
      </c>
    </row>
    <row r="46" spans="2:52" ht="15" customHeight="1" x14ac:dyDescent="0.2">
      <c r="B46" s="5">
        <v>400</v>
      </c>
      <c r="C46" s="10">
        <f t="shared" si="0"/>
        <v>0.89126559714795017</v>
      </c>
      <c r="D46" s="12">
        <f t="shared" si="1"/>
        <v>50.362720707073549</v>
      </c>
      <c r="E46" s="12">
        <f t="shared" si="2"/>
        <v>50.375929585049597</v>
      </c>
      <c r="F46" s="12">
        <f t="shared" si="5"/>
        <v>58.747309455584208</v>
      </c>
      <c r="AX46" s="2">
        <f>(-AY44+SQRT((AY44^2)-(4*AX44*AZ44)))/(2*AX44)</f>
        <v>-2001.0086469612011</v>
      </c>
      <c r="AY46" s="2">
        <f>(-AY44-SQRT((AY44^2)-(4*AX44*AZ44)))/(2*AX44)</f>
        <v>2010.62348360173</v>
      </c>
    </row>
    <row r="47" spans="2:52" ht="15" customHeight="1" x14ac:dyDescent="0.2">
      <c r="B47" s="5">
        <v>410</v>
      </c>
      <c r="C47" s="10">
        <f t="shared" si="0"/>
        <v>0.91354723707664887</v>
      </c>
      <c r="D47" s="12">
        <f t="shared" si="1"/>
        <v>50.381083442869148</v>
      </c>
      <c r="E47" s="12">
        <f t="shared" si="2"/>
        <v>50.394961020292733</v>
      </c>
      <c r="F47" s="12">
        <f t="shared" si="5"/>
        <v>59.190141996773157</v>
      </c>
      <c r="AW47" s="2" t="s">
        <v>101</v>
      </c>
      <c r="AX47" s="2">
        <f>$AW$32/AX46</f>
        <v>-0.68040317307543108</v>
      </c>
      <c r="AY47" s="2">
        <f>$AW$32/AY46</f>
        <v>0.67714947320960694</v>
      </c>
    </row>
    <row r="48" spans="2:52" ht="15" customHeight="1" x14ac:dyDescent="0.2">
      <c r="B48" s="5">
        <v>420</v>
      </c>
      <c r="C48" s="10">
        <f t="shared" si="0"/>
        <v>0.93582887700534767</v>
      </c>
      <c r="D48" s="12">
        <f t="shared" si="1"/>
        <v>50.399899579548588</v>
      </c>
      <c r="E48" s="12">
        <f t="shared" si="2"/>
        <v>50.414462367517181</v>
      </c>
      <c r="F48" s="12">
        <f t="shared" si="5"/>
        <v>59.643908674781592</v>
      </c>
    </row>
    <row r="49" spans="2:19" ht="15" customHeight="1" x14ac:dyDescent="0.2">
      <c r="B49" s="5">
        <v>430</v>
      </c>
      <c r="C49" s="10">
        <f t="shared" si="0"/>
        <v>0.95811051693404636</v>
      </c>
      <c r="D49" s="12">
        <f t="shared" si="1"/>
        <v>50.419169117111878</v>
      </c>
      <c r="E49" s="12">
        <f t="shared" si="2"/>
        <v>50.434433626722942</v>
      </c>
      <c r="F49" s="12">
        <f t="shared" si="5"/>
        <v>60.108609489609499</v>
      </c>
    </row>
    <row r="50" spans="2:19" ht="15" customHeight="1" x14ac:dyDescent="0.2">
      <c r="B50" s="5">
        <v>440</v>
      </c>
      <c r="C50" s="10">
        <f t="shared" si="0"/>
        <v>0.98039215686274517</v>
      </c>
      <c r="D50" s="12">
        <f t="shared" si="1"/>
        <v>50.438892055559002</v>
      </c>
      <c r="E50" s="12">
        <f t="shared" si="2"/>
        <v>50.454874797910016</v>
      </c>
      <c r="F50" s="12">
        <f t="shared" si="5"/>
        <v>60.584244441256892</v>
      </c>
    </row>
    <row r="51" spans="2:19" ht="15" customHeight="1" x14ac:dyDescent="0.2">
      <c r="B51" s="5">
        <v>450</v>
      </c>
      <c r="C51" s="10">
        <f t="shared" si="0"/>
        <v>1.0026737967914439</v>
      </c>
      <c r="D51" s="12">
        <f t="shared" si="1"/>
        <v>50.459068394889968</v>
      </c>
      <c r="E51" s="12">
        <f t="shared" si="2"/>
        <v>50.475785881078394</v>
      </c>
      <c r="F51" s="12">
        <f t="shared" si="5"/>
        <v>61.070813529723765</v>
      </c>
    </row>
    <row r="52" spans="2:19" ht="15" customHeight="1" x14ac:dyDescent="0.2">
      <c r="B52" s="5">
        <v>460</v>
      </c>
      <c r="C52" s="10">
        <f t="shared" si="0"/>
        <v>1.0249554367201426</v>
      </c>
      <c r="D52" s="12">
        <f t="shared" si="1"/>
        <v>50.479698135104776</v>
      </c>
      <c r="E52" s="12">
        <f t="shared" si="2"/>
        <v>50.497166876228093</v>
      </c>
      <c r="F52" s="12">
        <f t="shared" si="5"/>
        <v>61.568316755010116</v>
      </c>
    </row>
    <row r="53" spans="2:19" ht="15" customHeight="1" x14ac:dyDescent="0.2">
      <c r="B53" s="5">
        <v>470</v>
      </c>
      <c r="C53" s="10">
        <f t="shared" si="0"/>
        <v>1.0472370766488415</v>
      </c>
      <c r="D53" s="12">
        <f t="shared" si="1"/>
        <v>50.500781276203426</v>
      </c>
      <c r="E53" s="12">
        <f t="shared" si="2"/>
        <v>50.519017783359104</v>
      </c>
      <c r="F53" s="12">
        <f t="shared" si="5"/>
        <v>62.076754117115946</v>
      </c>
    </row>
    <row r="54" spans="2:19" ht="15" customHeight="1" x14ac:dyDescent="0.2">
      <c r="B54" s="5">
        <v>480</v>
      </c>
      <c r="C54" s="10">
        <f t="shared" si="0"/>
        <v>1.0695187165775402</v>
      </c>
      <c r="D54" s="12">
        <f t="shared" si="1"/>
        <v>50.522317818185918</v>
      </c>
      <c r="E54" s="12">
        <f t="shared" si="2"/>
        <v>50.54133860247142</v>
      </c>
      <c r="F54" s="12">
        <f t="shared" si="5"/>
        <v>62.596125616041263</v>
      </c>
    </row>
    <row r="55" spans="2:19" ht="15" customHeight="1" x14ac:dyDescent="0.2">
      <c r="B55" s="5">
        <v>490</v>
      </c>
      <c r="C55" s="10">
        <f t="shared" si="0"/>
        <v>1.0918003565062389</v>
      </c>
      <c r="D55" s="12">
        <f t="shared" si="1"/>
        <v>50.544307761052252</v>
      </c>
      <c r="E55" s="12">
        <f t="shared" si="2"/>
        <v>50.564129333565056</v>
      </c>
      <c r="F55" s="12">
        <f t="shared" si="5"/>
        <v>63.126431251786052</v>
      </c>
    </row>
    <row r="56" spans="2:19" ht="15" customHeight="1" x14ac:dyDescent="0.2">
      <c r="B56" s="5">
        <v>500</v>
      </c>
      <c r="C56" s="10">
        <f t="shared" si="0"/>
        <v>1.1140819964349375</v>
      </c>
      <c r="D56" s="12">
        <f t="shared" si="1"/>
        <v>50.566751104802428</v>
      </c>
      <c r="E56" s="12">
        <f t="shared" si="2"/>
        <v>50.587389976639997</v>
      </c>
      <c r="F56" s="12">
        <f t="shared" si="5"/>
        <v>63.667671024350319</v>
      </c>
    </row>
    <row r="57" spans="2:19" ht="15" customHeight="1" x14ac:dyDescent="0.2">
      <c r="B57" s="5">
        <v>510</v>
      </c>
      <c r="C57" s="10">
        <f t="shared" si="0"/>
        <v>1.1363636363636365</v>
      </c>
      <c r="D57" s="12">
        <f t="shared" si="1"/>
        <v>50.589647849436446</v>
      </c>
      <c r="E57" s="12">
        <f t="shared" si="2"/>
        <v>50.611120531696251</v>
      </c>
      <c r="F57" s="12">
        <f t="shared" si="5"/>
        <v>64.21984493373408</v>
      </c>
    </row>
    <row r="58" spans="2:19" ht="15" customHeight="1" x14ac:dyDescent="0.2">
      <c r="B58" s="5">
        <v>520</v>
      </c>
      <c r="C58" s="10">
        <f t="shared" si="0"/>
        <v>1.1586452762923352</v>
      </c>
      <c r="D58" s="12">
        <f t="shared" si="1"/>
        <v>50.612997994954306</v>
      </c>
      <c r="E58" s="12">
        <f t="shared" si="2"/>
        <v>50.635320998733818</v>
      </c>
      <c r="F58" s="12">
        <f t="shared" si="5"/>
        <v>64.782952979937306</v>
      </c>
    </row>
    <row r="59" spans="2:19" ht="15" customHeight="1" x14ac:dyDescent="0.2">
      <c r="B59" s="5">
        <v>530</v>
      </c>
      <c r="C59" s="10">
        <f t="shared" si="0"/>
        <v>1.1809269162210339</v>
      </c>
      <c r="D59" s="12">
        <f t="shared" si="1"/>
        <v>50.636801541356007</v>
      </c>
      <c r="E59" s="12">
        <f t="shared" si="2"/>
        <v>50.659991377752696</v>
      </c>
      <c r="F59" s="12">
        <f t="shared" si="5"/>
        <v>65.356995162960018</v>
      </c>
    </row>
    <row r="60" spans="2:19" ht="15" customHeight="1" x14ac:dyDescent="0.2">
      <c r="B60" s="5">
        <v>540</v>
      </c>
      <c r="C60" s="10">
        <f t="shared" si="0"/>
        <v>1.2032085561497328</v>
      </c>
      <c r="D60" s="12">
        <f t="shared" si="1"/>
        <v>50.661058488641551</v>
      </c>
      <c r="E60" s="12">
        <f t="shared" si="2"/>
        <v>50.685131668752895</v>
      </c>
      <c r="F60" s="12">
        <f t="shared" si="5"/>
        <v>65.941971482802217</v>
      </c>
      <c r="R60" s="56" t="s">
        <v>96</v>
      </c>
      <c r="S60" s="57"/>
    </row>
    <row r="61" spans="2:19" ht="15" customHeight="1" x14ac:dyDescent="0.2">
      <c r="B61" s="5">
        <v>550</v>
      </c>
      <c r="C61" s="10">
        <f t="shared" si="0"/>
        <v>1.2254901960784315</v>
      </c>
      <c r="D61" s="12">
        <f t="shared" si="1"/>
        <v>50.685768836810936</v>
      </c>
      <c r="E61" s="12">
        <f t="shared" si="2"/>
        <v>50.710741871734399</v>
      </c>
      <c r="F61" s="12">
        <f t="shared" si="5"/>
        <v>66.537881939463887</v>
      </c>
      <c r="R61" s="1" t="s">
        <v>30</v>
      </c>
      <c r="S61" s="1" t="s">
        <v>46</v>
      </c>
    </row>
    <row r="62" spans="2:19" ht="15" customHeight="1" x14ac:dyDescent="0.2">
      <c r="B62" s="5">
        <v>560</v>
      </c>
      <c r="C62" s="10">
        <f t="shared" si="0"/>
        <v>1.2477718360071302</v>
      </c>
      <c r="D62" s="12">
        <f t="shared" si="1"/>
        <v>50.710932585864164</v>
      </c>
      <c r="E62" s="12">
        <f t="shared" si="2"/>
        <v>50.736821986697208</v>
      </c>
      <c r="F62" s="12">
        <f t="shared" si="5"/>
        <v>67.144726532945043</v>
      </c>
      <c r="Q62" s="30" t="s">
        <v>91</v>
      </c>
      <c r="R62" s="35">
        <f>$L$29</f>
        <v>2722.9852654875526</v>
      </c>
      <c r="S62" s="14">
        <f>AVERAGE($M$29:$N$29)</f>
        <v>66.809043794567202</v>
      </c>
    </row>
    <row r="63" spans="2:19" ht="15" customHeight="1" x14ac:dyDescent="0.2">
      <c r="B63" s="5">
        <v>570</v>
      </c>
      <c r="C63" s="10">
        <f t="shared" si="0"/>
        <v>1.2700534759358288</v>
      </c>
      <c r="D63" s="12">
        <f t="shared" si="1"/>
        <v>50.736549735801233</v>
      </c>
      <c r="E63" s="12">
        <f t="shared" si="2"/>
        <v>50.763372013641337</v>
      </c>
      <c r="F63" s="12">
        <f t="shared" si="5"/>
        <v>67.762505263245686</v>
      </c>
      <c r="Q63" s="30" t="s">
        <v>86</v>
      </c>
      <c r="R63" s="36">
        <f>$AN$40</f>
        <v>1361.4926327437763</v>
      </c>
      <c r="S63" s="12">
        <f>AVERAGE($AP$40:$AQ$40)</f>
        <v>151.49400994436536</v>
      </c>
    </row>
    <row r="64" spans="2:19" ht="15" customHeight="1" x14ac:dyDescent="0.2">
      <c r="B64" s="5">
        <v>580</v>
      </c>
      <c r="C64" s="10">
        <f t="shared" si="0"/>
        <v>1.2923351158645278</v>
      </c>
      <c r="D64" s="12">
        <f t="shared" si="1"/>
        <v>50.762620286622145</v>
      </c>
      <c r="E64" s="12">
        <f t="shared" si="2"/>
        <v>50.790391952566779</v>
      </c>
      <c r="F64" s="12">
        <f t="shared" si="5"/>
        <v>68.3912181303658</v>
      </c>
      <c r="Q64" s="30" t="s">
        <v>90</v>
      </c>
      <c r="R64" s="37">
        <f>R63</f>
        <v>1361.4926327437763</v>
      </c>
      <c r="S64" s="13">
        <f>AVERAGE(AX32:AY32)</f>
        <v>54.202260374220188</v>
      </c>
    </row>
    <row r="65" spans="2:6" ht="15" customHeight="1" x14ac:dyDescent="0.2">
      <c r="B65" s="5">
        <v>590</v>
      </c>
      <c r="C65" s="10">
        <f t="shared" si="0"/>
        <v>1.3146167557932265</v>
      </c>
      <c r="D65" s="12">
        <f t="shared" si="1"/>
        <v>50.789144238326898</v>
      </c>
      <c r="E65" s="12">
        <f t="shared" si="2"/>
        <v>50.817881803473533</v>
      </c>
      <c r="F65" s="12">
        <f t="shared" si="5"/>
        <v>69.030865134305401</v>
      </c>
    </row>
    <row r="66" spans="2:6" ht="15" customHeight="1" x14ac:dyDescent="0.2">
      <c r="B66" s="5">
        <v>600</v>
      </c>
      <c r="C66" s="10">
        <f>B66*(1/(7.48*60))</f>
        <v>1.3368983957219251</v>
      </c>
      <c r="D66" s="12">
        <f t="shared" si="1"/>
        <v>50.816121590915493</v>
      </c>
      <c r="E66" s="12">
        <f t="shared" si="2"/>
        <v>50.845841566361592</v>
      </c>
      <c r="F66" s="12">
        <f t="shared" si="5"/>
        <v>69.681446275064474</v>
      </c>
    </row>
    <row r="67" spans="2:6" ht="15" customHeight="1" x14ac:dyDescent="0.2">
      <c r="B67" s="5">
        <v>610</v>
      </c>
      <c r="C67" s="10">
        <f t="shared" ref="C67:C130" si="20">B67*(1/(7.48*60))</f>
        <v>1.3591800356506238</v>
      </c>
      <c r="D67" s="12">
        <f t="shared" si="1"/>
        <v>50.84355234438793</v>
      </c>
      <c r="E67" s="12">
        <f t="shared" si="2"/>
        <v>50.874271241230971</v>
      </c>
      <c r="F67" s="12">
        <f t="shared" si="5"/>
        <v>70.342961552643018</v>
      </c>
    </row>
    <row r="68" spans="2:6" ht="15" customHeight="1" x14ac:dyDescent="0.2">
      <c r="B68" s="5">
        <v>620</v>
      </c>
      <c r="C68" s="10">
        <f t="shared" si="20"/>
        <v>1.3814616755793228</v>
      </c>
      <c r="D68" s="12">
        <f t="shared" si="1"/>
        <v>50.87143649874421</v>
      </c>
      <c r="E68" s="12">
        <f t="shared" si="2"/>
        <v>50.903170828081656</v>
      </c>
      <c r="F68" s="12">
        <f t="shared" si="5"/>
        <v>71.015410967041063</v>
      </c>
    </row>
    <row r="69" spans="2:6" ht="15" customHeight="1" x14ac:dyDescent="0.2">
      <c r="B69" s="5">
        <v>630</v>
      </c>
      <c r="C69" s="10">
        <f t="shared" si="20"/>
        <v>1.4037433155080214</v>
      </c>
      <c r="D69" s="12">
        <f t="shared" si="1"/>
        <v>50.899774053984331</v>
      </c>
      <c r="E69" s="12">
        <f t="shared" si="2"/>
        <v>50.93254032691366</v>
      </c>
      <c r="F69" s="12">
        <f t="shared" si="5"/>
        <v>71.69879451825858</v>
      </c>
    </row>
    <row r="70" spans="2:6" ht="15" customHeight="1" x14ac:dyDescent="0.2">
      <c r="B70" s="5">
        <v>640</v>
      </c>
      <c r="C70" s="10">
        <f t="shared" si="20"/>
        <v>1.4260249554367201</v>
      </c>
      <c r="D70" s="12">
        <f t="shared" ref="D70:D133" si="21">$S$6+((1/(2*$S$9*((PI()/4)*($S$5)^2)^2))*($AA$5*($S$3/$S$5)+2*$V$5+$X$5))*($C70^2)</f>
        <v>50.928565010108294</v>
      </c>
      <c r="E70" s="12">
        <f t="shared" ref="E70:E133" si="22">$S$6+((1/(2*$S$9*((PI()/4)*($S$5)^2)^2))*($Z$5*($S$3/$S$5)+2*$V$5+$X$5))*($C70^2)</f>
        <v>50.96237973772697</v>
      </c>
      <c r="F70" s="12">
        <f t="shared" si="5"/>
        <v>72.393112206295569</v>
      </c>
    </row>
    <row r="71" spans="2:6" ht="15" customHeight="1" x14ac:dyDescent="0.2">
      <c r="B71" s="5">
        <v>650</v>
      </c>
      <c r="C71" s="10">
        <f t="shared" si="20"/>
        <v>1.4483065953654191</v>
      </c>
      <c r="D71" s="12">
        <f t="shared" si="21"/>
        <v>50.957809367116099</v>
      </c>
      <c r="E71" s="12">
        <f t="shared" si="22"/>
        <v>50.992689060521592</v>
      </c>
      <c r="F71" s="12">
        <f t="shared" ref="F71:F134" si="23">$S$6+((1/(2*$S$9*((PI()/4)*($S$5)^2)^2))*($AA$5*($S$3/$S$5)+2*$V$5+$AQ$16))*($C71^2)</f>
        <v>73.098364031152045</v>
      </c>
    </row>
    <row r="72" spans="2:6" ht="15" customHeight="1" x14ac:dyDescent="0.2">
      <c r="B72" s="5">
        <v>660</v>
      </c>
      <c r="C72" s="10">
        <f t="shared" si="20"/>
        <v>1.4705882352941178</v>
      </c>
      <c r="D72" s="12">
        <f t="shared" si="21"/>
        <v>50.987507125007745</v>
      </c>
      <c r="E72" s="12">
        <f t="shared" si="22"/>
        <v>51.023468295297533</v>
      </c>
      <c r="F72" s="12">
        <f t="shared" si="23"/>
        <v>73.814549992828006</v>
      </c>
    </row>
    <row r="73" spans="2:6" ht="15" customHeight="1" x14ac:dyDescent="0.2">
      <c r="B73" s="5">
        <v>670</v>
      </c>
      <c r="C73" s="10">
        <f t="shared" si="20"/>
        <v>1.4928698752228164</v>
      </c>
      <c r="D73" s="12">
        <f t="shared" si="21"/>
        <v>51.017658283783234</v>
      </c>
      <c r="E73" s="12">
        <f t="shared" si="22"/>
        <v>51.05471744205478</v>
      </c>
      <c r="F73" s="12">
        <f t="shared" si="23"/>
        <v>74.541670091323439</v>
      </c>
    </row>
    <row r="74" spans="2:6" ht="15" customHeight="1" x14ac:dyDescent="0.2">
      <c r="B74" s="5">
        <v>680</v>
      </c>
      <c r="C74" s="10">
        <f t="shared" si="20"/>
        <v>1.5151515151515151</v>
      </c>
      <c r="D74" s="12">
        <f t="shared" si="21"/>
        <v>51.048262843442565</v>
      </c>
      <c r="E74" s="12">
        <f t="shared" si="22"/>
        <v>51.08643650079334</v>
      </c>
      <c r="F74" s="12">
        <f t="shared" si="23"/>
        <v>75.279724326638359</v>
      </c>
    </row>
    <row r="75" spans="2:6" ht="15" customHeight="1" x14ac:dyDescent="0.2">
      <c r="B75" s="5">
        <v>690</v>
      </c>
      <c r="C75" s="10">
        <f t="shared" si="20"/>
        <v>1.5374331550802141</v>
      </c>
      <c r="D75" s="12">
        <f t="shared" si="21"/>
        <v>51.079320803985738</v>
      </c>
      <c r="E75" s="12">
        <f t="shared" si="22"/>
        <v>51.118625471513212</v>
      </c>
      <c r="F75" s="12">
        <f t="shared" si="23"/>
        <v>76.028712698772765</v>
      </c>
    </row>
    <row r="76" spans="2:6" ht="15" customHeight="1" x14ac:dyDescent="0.2">
      <c r="B76" s="5">
        <v>700</v>
      </c>
      <c r="C76" s="10">
        <f t="shared" si="20"/>
        <v>1.5597147950089127</v>
      </c>
      <c r="D76" s="12">
        <f t="shared" si="21"/>
        <v>51.110832165412752</v>
      </c>
      <c r="E76" s="12">
        <f t="shared" si="22"/>
        <v>51.15128435421439</v>
      </c>
      <c r="F76" s="12">
        <f t="shared" si="23"/>
        <v>76.788635207726628</v>
      </c>
    </row>
    <row r="77" spans="2:6" ht="15" customHeight="1" x14ac:dyDescent="0.2">
      <c r="B77" s="5">
        <v>710</v>
      </c>
      <c r="C77" s="10">
        <f t="shared" si="20"/>
        <v>1.5819964349376114</v>
      </c>
      <c r="D77" s="12">
        <f t="shared" si="21"/>
        <v>51.142796927723609</v>
      </c>
      <c r="E77" s="12">
        <f t="shared" si="22"/>
        <v>51.184413148896887</v>
      </c>
      <c r="F77" s="12">
        <f t="shared" si="23"/>
        <v>77.559491853499992</v>
      </c>
    </row>
    <row r="78" spans="2:6" ht="15" customHeight="1" x14ac:dyDescent="0.2">
      <c r="B78" s="5">
        <v>720</v>
      </c>
      <c r="C78" s="10">
        <f t="shared" si="20"/>
        <v>1.6042780748663101</v>
      </c>
      <c r="D78" s="12">
        <f t="shared" si="21"/>
        <v>51.175215090918307</v>
      </c>
      <c r="E78" s="12">
        <f t="shared" si="22"/>
        <v>51.218011855560697</v>
      </c>
      <c r="F78" s="12">
        <f t="shared" si="23"/>
        <v>78.341282636092828</v>
      </c>
    </row>
    <row r="79" spans="2:6" ht="15" customHeight="1" x14ac:dyDescent="0.2">
      <c r="B79" s="5">
        <v>730</v>
      </c>
      <c r="C79" s="10">
        <f t="shared" si="20"/>
        <v>1.626559714795009</v>
      </c>
      <c r="D79" s="12">
        <f t="shared" si="21"/>
        <v>51.208086654996848</v>
      </c>
      <c r="E79" s="12">
        <f t="shared" si="22"/>
        <v>51.252080474205819</v>
      </c>
      <c r="F79" s="12">
        <f t="shared" si="23"/>
        <v>79.13400755550515</v>
      </c>
    </row>
    <row r="80" spans="2:6" ht="15" customHeight="1" x14ac:dyDescent="0.2">
      <c r="B80" s="5">
        <v>740</v>
      </c>
      <c r="C80" s="10">
        <f t="shared" si="20"/>
        <v>1.6488413547237077</v>
      </c>
      <c r="D80" s="12">
        <f t="shared" si="21"/>
        <v>51.241411619959237</v>
      </c>
      <c r="E80" s="12">
        <f t="shared" si="22"/>
        <v>51.286619004832247</v>
      </c>
      <c r="F80" s="12">
        <f t="shared" si="23"/>
        <v>79.937666611736944</v>
      </c>
    </row>
    <row r="81" spans="2:6" ht="15" customHeight="1" x14ac:dyDescent="0.2">
      <c r="B81" s="5">
        <v>750</v>
      </c>
      <c r="C81" s="10">
        <f t="shared" si="20"/>
        <v>1.6711229946524064</v>
      </c>
      <c r="D81" s="12">
        <f t="shared" si="21"/>
        <v>51.275189985805461</v>
      </c>
      <c r="E81" s="12">
        <f t="shared" si="22"/>
        <v>51.321627447439994</v>
      </c>
      <c r="F81" s="12">
        <f t="shared" si="23"/>
        <v>80.752259804788224</v>
      </c>
    </row>
    <row r="82" spans="2:6" ht="15" customHeight="1" x14ac:dyDescent="0.2">
      <c r="B82" s="5">
        <v>760</v>
      </c>
      <c r="C82" s="10">
        <f t="shared" si="20"/>
        <v>1.6934046345811051</v>
      </c>
      <c r="D82" s="12">
        <f t="shared" si="21"/>
        <v>51.309421752535528</v>
      </c>
      <c r="E82" s="12">
        <f t="shared" si="22"/>
        <v>51.357105802029047</v>
      </c>
      <c r="F82" s="12">
        <f t="shared" si="23"/>
        <v>81.57778713465899</v>
      </c>
    </row>
    <row r="83" spans="2:6" ht="15" customHeight="1" x14ac:dyDescent="0.2">
      <c r="B83" s="5">
        <v>770</v>
      </c>
      <c r="C83" s="10">
        <f t="shared" si="20"/>
        <v>1.715686274509804</v>
      </c>
      <c r="D83" s="12">
        <f t="shared" si="21"/>
        <v>51.344106920149436</v>
      </c>
      <c r="E83" s="12">
        <f t="shared" si="22"/>
        <v>51.393054068599419</v>
      </c>
      <c r="F83" s="12">
        <f t="shared" si="23"/>
        <v>82.414248601349229</v>
      </c>
    </row>
    <row r="84" spans="2:6" ht="15" customHeight="1" x14ac:dyDescent="0.2">
      <c r="B84" s="5">
        <v>780</v>
      </c>
      <c r="C84" s="10">
        <f t="shared" si="20"/>
        <v>1.7379679144385027</v>
      </c>
      <c r="D84" s="12">
        <f t="shared" si="21"/>
        <v>51.379245488647186</v>
      </c>
      <c r="E84" s="12">
        <f t="shared" si="22"/>
        <v>51.429472247151097</v>
      </c>
      <c r="F84" s="12">
        <f t="shared" si="23"/>
        <v>83.261644204858953</v>
      </c>
    </row>
    <row r="85" spans="2:6" ht="15" customHeight="1" x14ac:dyDescent="0.2">
      <c r="B85" s="5">
        <v>790</v>
      </c>
      <c r="C85" s="10">
        <f t="shared" si="20"/>
        <v>1.7602495543672014</v>
      </c>
      <c r="D85" s="12">
        <f t="shared" si="21"/>
        <v>51.414837458028778</v>
      </c>
      <c r="E85" s="12">
        <f t="shared" si="22"/>
        <v>51.466360337684087</v>
      </c>
      <c r="F85" s="12">
        <f t="shared" si="23"/>
        <v>84.11997394518815</v>
      </c>
    </row>
    <row r="86" spans="2:6" ht="15" customHeight="1" x14ac:dyDescent="0.2">
      <c r="B86" s="5">
        <v>800</v>
      </c>
      <c r="C86" s="10">
        <f t="shared" si="20"/>
        <v>1.7825311942959003</v>
      </c>
      <c r="D86" s="12">
        <f t="shared" si="21"/>
        <v>51.450882828294212</v>
      </c>
      <c r="E86" s="12">
        <f t="shared" si="22"/>
        <v>51.50371834019839</v>
      </c>
      <c r="F86" s="12">
        <f t="shared" si="23"/>
        <v>84.989237822336833</v>
      </c>
    </row>
    <row r="87" spans="2:6" ht="15" customHeight="1" x14ac:dyDescent="0.2">
      <c r="B87" s="5">
        <v>810</v>
      </c>
      <c r="C87" s="10">
        <f t="shared" si="20"/>
        <v>1.804812834224599</v>
      </c>
      <c r="D87" s="12">
        <f t="shared" si="21"/>
        <v>51.487381599443488</v>
      </c>
      <c r="E87" s="12">
        <f t="shared" si="22"/>
        <v>51.541546254694005</v>
      </c>
      <c r="F87" s="12">
        <f t="shared" si="23"/>
        <v>85.869435836305001</v>
      </c>
    </row>
    <row r="88" spans="2:6" ht="15" customHeight="1" x14ac:dyDescent="0.2">
      <c r="B88" s="5">
        <v>820</v>
      </c>
      <c r="C88" s="10">
        <f t="shared" si="20"/>
        <v>1.8270944741532977</v>
      </c>
      <c r="D88" s="12">
        <f t="shared" si="21"/>
        <v>51.524333771476606</v>
      </c>
      <c r="E88" s="12">
        <f t="shared" si="22"/>
        <v>51.579844081170933</v>
      </c>
      <c r="F88" s="12">
        <f t="shared" si="23"/>
        <v>86.760567987092628</v>
      </c>
    </row>
    <row r="89" spans="2:6" ht="15" customHeight="1" x14ac:dyDescent="0.2">
      <c r="B89" s="5">
        <v>830</v>
      </c>
      <c r="C89" s="10">
        <f t="shared" si="20"/>
        <v>1.8493761140819964</v>
      </c>
      <c r="D89" s="12">
        <f t="shared" si="21"/>
        <v>51.561739344393565</v>
      </c>
      <c r="E89" s="12">
        <f t="shared" si="22"/>
        <v>51.618611819629173</v>
      </c>
      <c r="F89" s="12">
        <f t="shared" si="23"/>
        <v>87.662634274699755</v>
      </c>
    </row>
    <row r="90" spans="2:6" ht="15" customHeight="1" x14ac:dyDescent="0.2">
      <c r="B90" s="5">
        <v>840</v>
      </c>
      <c r="C90" s="10">
        <f t="shared" si="20"/>
        <v>1.8716577540106953</v>
      </c>
      <c r="D90" s="12">
        <f t="shared" si="21"/>
        <v>51.599598318194367</v>
      </c>
      <c r="E90" s="12">
        <f t="shared" si="22"/>
        <v>51.657849470068726</v>
      </c>
      <c r="F90" s="12">
        <f t="shared" si="23"/>
        <v>88.575634699126368</v>
      </c>
    </row>
    <row r="91" spans="2:6" ht="15" customHeight="1" x14ac:dyDescent="0.2">
      <c r="B91" s="5">
        <v>850</v>
      </c>
      <c r="C91" s="10">
        <f t="shared" si="20"/>
        <v>1.893939393939394</v>
      </c>
      <c r="D91" s="12">
        <f t="shared" si="21"/>
        <v>51.637910692879011</v>
      </c>
      <c r="E91" s="12">
        <f t="shared" si="22"/>
        <v>51.697557032489591</v>
      </c>
      <c r="F91" s="12">
        <f t="shared" si="23"/>
        <v>89.499569260372439</v>
      </c>
    </row>
    <row r="92" spans="2:6" ht="15" customHeight="1" x14ac:dyDescent="0.2">
      <c r="B92" s="5">
        <v>860</v>
      </c>
      <c r="C92" s="10">
        <f t="shared" si="20"/>
        <v>1.9162210338680927</v>
      </c>
      <c r="D92" s="12">
        <f t="shared" si="21"/>
        <v>51.676676468447496</v>
      </c>
      <c r="E92" s="12">
        <f t="shared" si="22"/>
        <v>51.737734506891762</v>
      </c>
      <c r="F92" s="12">
        <f t="shared" si="23"/>
        <v>90.434437958437996</v>
      </c>
    </row>
    <row r="93" spans="2:6" ht="15" customHeight="1" x14ac:dyDescent="0.2">
      <c r="B93" s="5">
        <v>870</v>
      </c>
      <c r="C93" s="10">
        <f t="shared" si="20"/>
        <v>1.9385026737967914</v>
      </c>
      <c r="D93" s="12">
        <f t="shared" si="21"/>
        <v>51.715895644899824</v>
      </c>
      <c r="E93" s="12">
        <f t="shared" si="22"/>
        <v>51.778381893275252</v>
      </c>
      <c r="F93" s="12">
        <f t="shared" si="23"/>
        <v>91.38024079332304</v>
      </c>
    </row>
    <row r="94" spans="2:6" ht="15" customHeight="1" x14ac:dyDescent="0.2">
      <c r="B94" s="5">
        <v>880</v>
      </c>
      <c r="C94" s="10">
        <f t="shared" si="20"/>
        <v>1.9607843137254903</v>
      </c>
      <c r="D94" s="12">
        <f t="shared" si="21"/>
        <v>51.755568222235993</v>
      </c>
      <c r="E94" s="12">
        <f t="shared" si="22"/>
        <v>51.819499191640055</v>
      </c>
      <c r="F94" s="12">
        <f t="shared" si="23"/>
        <v>92.336977765027569</v>
      </c>
    </row>
    <row r="95" spans="2:6" ht="15" customHeight="1" x14ac:dyDescent="0.2">
      <c r="B95" s="5">
        <v>890</v>
      </c>
      <c r="C95" s="10">
        <f t="shared" si="20"/>
        <v>1.983065953654189</v>
      </c>
      <c r="D95" s="12">
        <f t="shared" si="21"/>
        <v>51.795694200456005</v>
      </c>
      <c r="E95" s="12">
        <f t="shared" si="22"/>
        <v>51.861086401986164</v>
      </c>
      <c r="F95" s="12">
        <f t="shared" si="23"/>
        <v>93.304648873551571</v>
      </c>
    </row>
    <row r="96" spans="2:6" ht="15" customHeight="1" x14ac:dyDescent="0.2">
      <c r="B96" s="5">
        <v>900</v>
      </c>
      <c r="C96" s="10">
        <f t="shared" si="20"/>
        <v>2.0053475935828877</v>
      </c>
      <c r="D96" s="12">
        <f t="shared" si="21"/>
        <v>51.836273579559858</v>
      </c>
      <c r="E96" s="12">
        <f t="shared" si="22"/>
        <v>51.903143524313585</v>
      </c>
      <c r="F96" s="12">
        <f t="shared" si="23"/>
        <v>94.283254118895044</v>
      </c>
    </row>
    <row r="97" spans="2:6" ht="15" customHeight="1" x14ac:dyDescent="0.2">
      <c r="B97" s="5">
        <v>910</v>
      </c>
      <c r="C97" s="10">
        <f t="shared" si="20"/>
        <v>2.0276292335115866</v>
      </c>
      <c r="D97" s="12">
        <f t="shared" si="21"/>
        <v>51.877306359547553</v>
      </c>
      <c r="E97" s="12">
        <f t="shared" si="22"/>
        <v>51.945670558622325</v>
      </c>
      <c r="F97" s="12">
        <f t="shared" si="23"/>
        <v>95.272793501058032</v>
      </c>
    </row>
    <row r="98" spans="2:6" ht="15" customHeight="1" x14ac:dyDescent="0.2">
      <c r="B98" s="5">
        <v>920</v>
      </c>
      <c r="C98" s="10">
        <f t="shared" si="20"/>
        <v>2.0499108734402851</v>
      </c>
      <c r="D98" s="12">
        <f t="shared" si="21"/>
        <v>51.918792540419091</v>
      </c>
      <c r="E98" s="12">
        <f t="shared" si="22"/>
        <v>51.988667504912371</v>
      </c>
      <c r="F98" s="12">
        <f t="shared" si="23"/>
        <v>96.273267020040464</v>
      </c>
    </row>
    <row r="99" spans="2:6" ht="15" customHeight="1" x14ac:dyDescent="0.2">
      <c r="B99" s="5">
        <v>930</v>
      </c>
      <c r="C99" s="10">
        <f t="shared" si="20"/>
        <v>2.072192513368984</v>
      </c>
      <c r="D99" s="12">
        <f t="shared" si="21"/>
        <v>51.96073212217447</v>
      </c>
      <c r="E99" s="12">
        <f t="shared" si="22"/>
        <v>52.032134363183729</v>
      </c>
      <c r="F99" s="12">
        <f t="shared" si="23"/>
        <v>97.284674675842382</v>
      </c>
    </row>
    <row r="100" spans="2:6" ht="15" customHeight="1" x14ac:dyDescent="0.2">
      <c r="B100" s="5">
        <v>940</v>
      </c>
      <c r="C100" s="10">
        <f t="shared" si="20"/>
        <v>2.0944741532976829</v>
      </c>
      <c r="D100" s="12">
        <f t="shared" si="21"/>
        <v>52.003125104813691</v>
      </c>
      <c r="E100" s="12">
        <f t="shared" si="22"/>
        <v>52.0760711334364</v>
      </c>
      <c r="F100" s="12">
        <f t="shared" si="23"/>
        <v>98.307016468463786</v>
      </c>
    </row>
    <row r="101" spans="2:6" ht="15" customHeight="1" x14ac:dyDescent="0.2">
      <c r="B101" s="5">
        <v>950</v>
      </c>
      <c r="C101" s="10">
        <f t="shared" si="20"/>
        <v>2.1167557932263814</v>
      </c>
      <c r="D101" s="12">
        <f t="shared" si="21"/>
        <v>52.045971488336761</v>
      </c>
      <c r="E101" s="12">
        <f t="shared" si="22"/>
        <v>52.120477815670384</v>
      </c>
      <c r="F101" s="12">
        <f t="shared" si="23"/>
        <v>99.340292397904676</v>
      </c>
    </row>
    <row r="102" spans="2:6" ht="15" customHeight="1" x14ac:dyDescent="0.2">
      <c r="B102" s="5">
        <v>960</v>
      </c>
      <c r="C102" s="10">
        <f t="shared" si="20"/>
        <v>2.1390374331550803</v>
      </c>
      <c r="D102" s="12">
        <f t="shared" si="21"/>
        <v>52.089271272743666</v>
      </c>
      <c r="E102" s="12">
        <f t="shared" si="22"/>
        <v>52.16535440988568</v>
      </c>
      <c r="F102" s="12">
        <f t="shared" si="23"/>
        <v>100.38450246416504</v>
      </c>
    </row>
    <row r="103" spans="2:6" ht="15" customHeight="1" x14ac:dyDescent="0.2">
      <c r="B103" s="5">
        <v>970</v>
      </c>
      <c r="C103" s="10">
        <f t="shared" si="20"/>
        <v>2.1613190730837792</v>
      </c>
      <c r="D103" s="12">
        <f t="shared" si="21"/>
        <v>52.133024458034413</v>
      </c>
      <c r="E103" s="12">
        <f t="shared" si="22"/>
        <v>52.210700916082288</v>
      </c>
      <c r="F103" s="12">
        <f t="shared" si="23"/>
        <v>101.43964666724489</v>
      </c>
    </row>
    <row r="104" spans="2:6" ht="15" customHeight="1" x14ac:dyDescent="0.2">
      <c r="B104" s="5">
        <v>980</v>
      </c>
      <c r="C104" s="10">
        <f t="shared" si="20"/>
        <v>2.1836007130124777</v>
      </c>
      <c r="D104" s="12">
        <f t="shared" si="21"/>
        <v>52.177231044209002</v>
      </c>
      <c r="E104" s="12">
        <f t="shared" si="22"/>
        <v>52.256517334260209</v>
      </c>
      <c r="F104" s="12">
        <f t="shared" si="23"/>
        <v>102.50572500714421</v>
      </c>
    </row>
    <row r="105" spans="2:6" ht="15" customHeight="1" x14ac:dyDescent="0.2">
      <c r="B105" s="5">
        <v>990</v>
      </c>
      <c r="C105" s="10">
        <f t="shared" si="20"/>
        <v>2.2058823529411766</v>
      </c>
      <c r="D105" s="12">
        <f t="shared" si="21"/>
        <v>52.221891031267432</v>
      </c>
      <c r="E105" s="12">
        <f t="shared" si="22"/>
        <v>52.302803664419443</v>
      </c>
      <c r="F105" s="12">
        <f t="shared" si="23"/>
        <v>103.58273748386301</v>
      </c>
    </row>
    <row r="106" spans="2:6" ht="15" customHeight="1" x14ac:dyDescent="0.2">
      <c r="B106" s="5">
        <v>1000</v>
      </c>
      <c r="C106" s="10">
        <f t="shared" si="20"/>
        <v>2.2281639928698751</v>
      </c>
      <c r="D106" s="12">
        <f t="shared" si="21"/>
        <v>52.267004419209705</v>
      </c>
      <c r="E106" s="12">
        <f t="shared" si="22"/>
        <v>52.349559906559982</v>
      </c>
      <c r="F106" s="12">
        <f t="shared" si="23"/>
        <v>104.67068409740128</v>
      </c>
    </row>
    <row r="107" spans="2:6" ht="15" customHeight="1" x14ac:dyDescent="0.2">
      <c r="B107" s="5">
        <v>1010</v>
      </c>
      <c r="C107" s="10">
        <f t="shared" si="20"/>
        <v>2.250445632798574</v>
      </c>
      <c r="D107" s="12">
        <f t="shared" si="21"/>
        <v>52.31257120803582</v>
      </c>
      <c r="E107" s="12">
        <f t="shared" si="22"/>
        <v>52.396786060681841</v>
      </c>
      <c r="F107" s="12">
        <f t="shared" si="23"/>
        <v>105.76956484775906</v>
      </c>
    </row>
    <row r="108" spans="2:6" ht="15" customHeight="1" x14ac:dyDescent="0.2">
      <c r="B108" s="5">
        <v>1020</v>
      </c>
      <c r="C108" s="10">
        <f t="shared" si="20"/>
        <v>2.2727272727272729</v>
      </c>
      <c r="D108" s="12">
        <f t="shared" si="21"/>
        <v>52.358591397745776</v>
      </c>
      <c r="E108" s="12">
        <f t="shared" si="22"/>
        <v>52.444482126785012</v>
      </c>
      <c r="F108" s="12">
        <f t="shared" si="23"/>
        <v>106.87937973493632</v>
      </c>
    </row>
    <row r="109" spans="2:6" ht="15" customHeight="1" x14ac:dyDescent="0.2">
      <c r="B109" s="5">
        <v>1030</v>
      </c>
      <c r="C109" s="10">
        <f t="shared" si="20"/>
        <v>2.2950089126559714</v>
      </c>
      <c r="D109" s="12">
        <f t="shared" si="21"/>
        <v>52.405064988339575</v>
      </c>
      <c r="E109" s="12">
        <f t="shared" si="22"/>
        <v>52.492648104869488</v>
      </c>
      <c r="F109" s="12">
        <f t="shared" si="23"/>
        <v>108.00012875893303</v>
      </c>
    </row>
    <row r="110" spans="2:6" ht="15" customHeight="1" x14ac:dyDescent="0.2">
      <c r="B110" s="5">
        <v>1040</v>
      </c>
      <c r="C110" s="10">
        <f t="shared" si="20"/>
        <v>2.3172905525846703</v>
      </c>
      <c r="D110" s="12">
        <f t="shared" si="21"/>
        <v>52.451991979817215</v>
      </c>
      <c r="E110" s="12">
        <f t="shared" si="22"/>
        <v>52.541283994935277</v>
      </c>
      <c r="F110" s="12">
        <f t="shared" si="23"/>
        <v>109.13181191974925</v>
      </c>
    </row>
    <row r="111" spans="2:6" ht="15" customHeight="1" x14ac:dyDescent="0.2">
      <c r="B111" s="5">
        <v>1050</v>
      </c>
      <c r="C111" s="10">
        <f t="shared" si="20"/>
        <v>2.3395721925133692</v>
      </c>
      <c r="D111" s="12">
        <f t="shared" si="21"/>
        <v>52.499372372178698</v>
      </c>
      <c r="E111" s="12">
        <f t="shared" si="22"/>
        <v>52.590389796982386</v>
      </c>
      <c r="F111" s="12">
        <f t="shared" si="23"/>
        <v>110.27442921738495</v>
      </c>
    </row>
    <row r="112" spans="2:6" ht="15" customHeight="1" x14ac:dyDescent="0.2">
      <c r="B112" s="5">
        <v>1060</v>
      </c>
      <c r="C112" s="10">
        <f t="shared" si="20"/>
        <v>2.3618538324420677</v>
      </c>
      <c r="D112" s="12">
        <f t="shared" si="21"/>
        <v>52.547206165424022</v>
      </c>
      <c r="E112" s="12">
        <f t="shared" si="22"/>
        <v>52.6399655110108</v>
      </c>
      <c r="F112" s="12">
        <f t="shared" si="23"/>
        <v>111.42798065184009</v>
      </c>
    </row>
    <row r="113" spans="2:6" ht="15" customHeight="1" x14ac:dyDescent="0.2">
      <c r="B113" s="5">
        <v>1070</v>
      </c>
      <c r="C113" s="10">
        <f t="shared" si="20"/>
        <v>2.3841354723707666</v>
      </c>
      <c r="D113" s="12">
        <f t="shared" si="21"/>
        <v>52.595493359553188</v>
      </c>
      <c r="E113" s="12">
        <f t="shared" si="22"/>
        <v>52.690011137020527</v>
      </c>
      <c r="F113" s="12">
        <f t="shared" si="23"/>
        <v>112.59246622311474</v>
      </c>
    </row>
    <row r="114" spans="2:6" ht="15" customHeight="1" x14ac:dyDescent="0.2">
      <c r="B114" s="5">
        <v>1080</v>
      </c>
      <c r="C114" s="10">
        <f t="shared" si="20"/>
        <v>2.4064171122994655</v>
      </c>
      <c r="D114" s="12">
        <f t="shared" si="21"/>
        <v>52.644233954566197</v>
      </c>
      <c r="E114" s="12">
        <f t="shared" si="22"/>
        <v>52.740526675011566</v>
      </c>
      <c r="F114" s="12">
        <f t="shared" si="23"/>
        <v>113.76788593120888</v>
      </c>
    </row>
    <row r="115" spans="2:6" ht="15" customHeight="1" x14ac:dyDescent="0.2">
      <c r="B115" s="5">
        <v>1090</v>
      </c>
      <c r="C115" s="10">
        <f t="shared" si="20"/>
        <v>2.428698752228164</v>
      </c>
      <c r="D115" s="12">
        <f t="shared" si="21"/>
        <v>52.693427950463047</v>
      </c>
      <c r="E115" s="12">
        <f t="shared" si="22"/>
        <v>52.791512124983917</v>
      </c>
      <c r="F115" s="12">
        <f t="shared" si="23"/>
        <v>114.95423977612248</v>
      </c>
    </row>
    <row r="116" spans="2:6" ht="15" customHeight="1" x14ac:dyDescent="0.2">
      <c r="B116" s="5">
        <v>1100</v>
      </c>
      <c r="C116" s="10">
        <f t="shared" si="20"/>
        <v>2.4509803921568629</v>
      </c>
      <c r="D116" s="12">
        <f t="shared" si="21"/>
        <v>52.743075347243739</v>
      </c>
      <c r="E116" s="12">
        <f t="shared" si="22"/>
        <v>52.842967486937582</v>
      </c>
      <c r="F116" s="12">
        <f t="shared" si="23"/>
        <v>116.15152775785558</v>
      </c>
    </row>
    <row r="117" spans="2:6" ht="15" customHeight="1" x14ac:dyDescent="0.2">
      <c r="B117" s="5">
        <v>1110</v>
      </c>
      <c r="C117" s="10">
        <f t="shared" si="20"/>
        <v>2.4732620320855614</v>
      </c>
      <c r="D117" s="12">
        <f t="shared" si="21"/>
        <v>52.793176144908273</v>
      </c>
      <c r="E117" s="12">
        <f t="shared" si="22"/>
        <v>52.894892760872558</v>
      </c>
      <c r="F117" s="12">
        <f t="shared" si="23"/>
        <v>117.35974987640813</v>
      </c>
    </row>
    <row r="118" spans="2:6" ht="15" customHeight="1" x14ac:dyDescent="0.2">
      <c r="B118" s="5">
        <v>1120</v>
      </c>
      <c r="C118" s="10">
        <f t="shared" si="20"/>
        <v>2.4955436720142603</v>
      </c>
      <c r="D118" s="12">
        <f t="shared" si="21"/>
        <v>52.843730343456656</v>
      </c>
      <c r="E118" s="12">
        <f t="shared" si="22"/>
        <v>52.947287946788848</v>
      </c>
      <c r="F118" s="12">
        <f t="shared" si="23"/>
        <v>118.57890613178019</v>
      </c>
    </row>
    <row r="119" spans="2:6" ht="15" customHeight="1" x14ac:dyDescent="0.2">
      <c r="B119" s="5">
        <v>1130</v>
      </c>
      <c r="C119" s="10">
        <f t="shared" si="20"/>
        <v>2.5178253119429592</v>
      </c>
      <c r="D119" s="12">
        <f t="shared" si="21"/>
        <v>52.894737942888874</v>
      </c>
      <c r="E119" s="12">
        <f t="shared" si="22"/>
        <v>53.000153044686442</v>
      </c>
      <c r="F119" s="12">
        <f t="shared" si="23"/>
        <v>119.80899652397173</v>
      </c>
    </row>
    <row r="120" spans="2:6" ht="15" customHeight="1" x14ac:dyDescent="0.2">
      <c r="B120" s="5">
        <v>1140</v>
      </c>
      <c r="C120" s="10">
        <f t="shared" si="20"/>
        <v>2.5401069518716577</v>
      </c>
      <c r="D120" s="12">
        <f t="shared" si="21"/>
        <v>52.946198943204934</v>
      </c>
      <c r="E120" s="12">
        <f t="shared" si="22"/>
        <v>53.053488054565356</v>
      </c>
      <c r="F120" s="12">
        <f t="shared" si="23"/>
        <v>121.05002105298273</v>
      </c>
    </row>
    <row r="121" spans="2:6" ht="15" customHeight="1" x14ac:dyDescent="0.2">
      <c r="B121" s="5">
        <v>1150</v>
      </c>
      <c r="C121" s="10">
        <f t="shared" si="20"/>
        <v>2.5623885918003566</v>
      </c>
      <c r="D121" s="12">
        <f t="shared" si="21"/>
        <v>52.998113344404835</v>
      </c>
      <c r="E121" s="12">
        <f t="shared" si="22"/>
        <v>53.107292976425583</v>
      </c>
      <c r="F121" s="12">
        <f t="shared" si="23"/>
        <v>122.30197971881321</v>
      </c>
    </row>
    <row r="122" spans="2:6" ht="15" customHeight="1" x14ac:dyDescent="0.2">
      <c r="B122" s="5">
        <v>1160</v>
      </c>
      <c r="C122" s="10">
        <f t="shared" si="20"/>
        <v>2.5846702317290555</v>
      </c>
      <c r="D122" s="12">
        <f t="shared" si="21"/>
        <v>53.050481146488579</v>
      </c>
      <c r="E122" s="12">
        <f t="shared" si="22"/>
        <v>53.161567810267115</v>
      </c>
      <c r="F122" s="12">
        <f t="shared" si="23"/>
        <v>123.5648725214632</v>
      </c>
    </row>
    <row r="123" spans="2:6" ht="15" customHeight="1" x14ac:dyDescent="0.2">
      <c r="B123" s="5">
        <v>1170</v>
      </c>
      <c r="C123" s="10">
        <f t="shared" si="20"/>
        <v>2.606951871657754</v>
      </c>
      <c r="D123" s="12">
        <f t="shared" si="21"/>
        <v>53.103302349456165</v>
      </c>
      <c r="E123" s="12">
        <f t="shared" si="22"/>
        <v>53.21631255608996</v>
      </c>
      <c r="F123" s="12">
        <f t="shared" si="23"/>
        <v>124.83869946093263</v>
      </c>
    </row>
    <row r="124" spans="2:6" ht="15" customHeight="1" x14ac:dyDescent="0.2">
      <c r="B124" s="5">
        <v>1180</v>
      </c>
      <c r="C124" s="10">
        <f t="shared" si="20"/>
        <v>2.6292335115864529</v>
      </c>
      <c r="D124" s="12">
        <f t="shared" si="21"/>
        <v>53.156576953307592</v>
      </c>
      <c r="E124" s="12">
        <f t="shared" si="22"/>
        <v>53.271527213894124</v>
      </c>
      <c r="F124" s="12">
        <f t="shared" si="23"/>
        <v>126.12346053722158</v>
      </c>
    </row>
    <row r="125" spans="2:6" ht="15" customHeight="1" x14ac:dyDescent="0.2">
      <c r="B125" s="5">
        <v>1190</v>
      </c>
      <c r="C125" s="10">
        <f t="shared" si="20"/>
        <v>2.6515151515151518</v>
      </c>
      <c r="D125" s="12">
        <f t="shared" si="21"/>
        <v>53.210304958042862</v>
      </c>
      <c r="E125" s="12">
        <f t="shared" si="22"/>
        <v>53.327211783679594</v>
      </c>
      <c r="F125" s="12">
        <f t="shared" si="23"/>
        <v>127.41915575032999</v>
      </c>
    </row>
    <row r="126" spans="2:6" ht="15" customHeight="1" x14ac:dyDescent="0.2">
      <c r="B126" s="5">
        <v>1200</v>
      </c>
      <c r="C126" s="10">
        <f t="shared" si="20"/>
        <v>2.6737967914438503</v>
      </c>
      <c r="D126" s="12">
        <f t="shared" si="21"/>
        <v>53.264486363661973</v>
      </c>
      <c r="E126" s="12">
        <f t="shared" si="22"/>
        <v>53.383366265446377</v>
      </c>
      <c r="F126" s="12">
        <f t="shared" si="23"/>
        <v>128.72578510025787</v>
      </c>
    </row>
    <row r="127" spans="2:6" ht="15" customHeight="1" x14ac:dyDescent="0.2">
      <c r="B127" s="5">
        <v>1210</v>
      </c>
      <c r="C127" s="10">
        <f t="shared" si="20"/>
        <v>2.6960784313725492</v>
      </c>
      <c r="D127" s="12">
        <f t="shared" si="21"/>
        <v>53.319121170164927</v>
      </c>
      <c r="E127" s="12">
        <f t="shared" si="22"/>
        <v>53.439990659194478</v>
      </c>
      <c r="F127" s="12">
        <f t="shared" si="23"/>
        <v>130.04334858700526</v>
      </c>
    </row>
    <row r="128" spans="2:6" ht="15" customHeight="1" x14ac:dyDescent="0.2">
      <c r="B128" s="5">
        <v>1220</v>
      </c>
      <c r="C128" s="10">
        <f t="shared" si="20"/>
        <v>2.7183600713012477</v>
      </c>
      <c r="D128" s="12">
        <f t="shared" si="21"/>
        <v>53.374209377551722</v>
      </c>
      <c r="E128" s="12">
        <f t="shared" si="22"/>
        <v>53.497084964923879</v>
      </c>
      <c r="F128" s="12">
        <f t="shared" si="23"/>
        <v>131.37184621057207</v>
      </c>
    </row>
    <row r="129" spans="2:6" ht="15" customHeight="1" x14ac:dyDescent="0.2">
      <c r="B129" s="5">
        <v>1230</v>
      </c>
      <c r="C129" s="10">
        <f t="shared" si="20"/>
        <v>2.7406417112299466</v>
      </c>
      <c r="D129" s="12">
        <f t="shared" si="21"/>
        <v>53.429750985822359</v>
      </c>
      <c r="E129" s="12">
        <f t="shared" si="22"/>
        <v>53.554649182634606</v>
      </c>
      <c r="F129" s="12">
        <f t="shared" si="23"/>
        <v>132.71127797095841</v>
      </c>
    </row>
    <row r="130" spans="2:6" ht="15" customHeight="1" x14ac:dyDescent="0.2">
      <c r="B130" s="5">
        <v>1240</v>
      </c>
      <c r="C130" s="10">
        <f t="shared" si="20"/>
        <v>2.7629233511586455</v>
      </c>
      <c r="D130" s="12">
        <f t="shared" si="21"/>
        <v>53.485745994976838</v>
      </c>
      <c r="E130" s="12">
        <f t="shared" si="22"/>
        <v>53.612683312326631</v>
      </c>
      <c r="F130" s="12">
        <f t="shared" si="23"/>
        <v>134.06164386816425</v>
      </c>
    </row>
    <row r="131" spans="2:6" ht="15" customHeight="1" x14ac:dyDescent="0.2">
      <c r="B131" s="5">
        <v>1250</v>
      </c>
      <c r="C131" s="10">
        <f t="shared" ref="C131:C194" si="24">B131*(1/(7.48*60))</f>
        <v>2.785204991087344</v>
      </c>
      <c r="D131" s="12">
        <f t="shared" si="21"/>
        <v>53.542194405015159</v>
      </c>
      <c r="E131" s="12">
        <f t="shared" si="22"/>
        <v>53.671187353999976</v>
      </c>
      <c r="F131" s="12">
        <f t="shared" si="23"/>
        <v>135.4229439021895</v>
      </c>
    </row>
    <row r="132" spans="2:6" ht="15" customHeight="1" x14ac:dyDescent="0.2">
      <c r="B132" s="5">
        <v>1260</v>
      </c>
      <c r="C132" s="10">
        <f t="shared" si="24"/>
        <v>2.8074866310160429</v>
      </c>
      <c r="D132" s="12">
        <f t="shared" si="21"/>
        <v>53.599096215937323</v>
      </c>
      <c r="E132" s="12">
        <f t="shared" si="22"/>
        <v>53.730161307654633</v>
      </c>
      <c r="F132" s="12">
        <f t="shared" si="23"/>
        <v>136.79517807303432</v>
      </c>
    </row>
    <row r="133" spans="2:6" ht="15" customHeight="1" x14ac:dyDescent="0.2">
      <c r="B133" s="5">
        <v>1270</v>
      </c>
      <c r="C133" s="10">
        <f t="shared" si="24"/>
        <v>2.8297682709447418</v>
      </c>
      <c r="D133" s="12">
        <f t="shared" si="21"/>
        <v>53.656451427743335</v>
      </c>
      <c r="E133" s="12">
        <f t="shared" si="22"/>
        <v>53.789605173290603</v>
      </c>
      <c r="F133" s="12">
        <f t="shared" si="23"/>
        <v>138.17834638069854</v>
      </c>
    </row>
    <row r="134" spans="2:6" ht="15" customHeight="1" x14ac:dyDescent="0.2">
      <c r="B134" s="5">
        <v>1280</v>
      </c>
      <c r="C134" s="10">
        <f t="shared" si="24"/>
        <v>2.8520499108734403</v>
      </c>
      <c r="D134" s="12">
        <f t="shared" ref="D134:D197" si="25">$S$6+((1/(2*$S$9*((PI()/4)*($S$5)^2)^2))*($AA$5*($S$3/$S$5)+2*$V$5+$X$5))*($C134^2)</f>
        <v>53.714260040433182</v>
      </c>
      <c r="E134" s="12">
        <f t="shared" ref="E134:E197" si="26">$S$6+((1/(2*$S$9*((PI()/4)*($S$5)^2)^2))*($Z$5*($S$3/$S$5)+2*$V$5+$X$5))*($C134^2)</f>
        <v>53.849518950907878</v>
      </c>
      <c r="F134" s="12">
        <f t="shared" si="23"/>
        <v>139.57244882518228</v>
      </c>
    </row>
    <row r="135" spans="2:6" ht="15" customHeight="1" x14ac:dyDescent="0.2">
      <c r="B135" s="5">
        <v>1290</v>
      </c>
      <c r="C135" s="10">
        <f t="shared" si="24"/>
        <v>2.8743315508021392</v>
      </c>
      <c r="D135" s="12">
        <f t="shared" si="25"/>
        <v>53.77252205400687</v>
      </c>
      <c r="E135" s="12">
        <f t="shared" si="26"/>
        <v>53.909902640506473</v>
      </c>
      <c r="F135" s="12">
        <f t="shared" ref="F135:F198" si="27">$S$6+((1/(2*$S$9*((PI()/4)*($S$5)^2)^2))*($AA$5*($S$3/$S$5)+2*$V$5+$AQ$16))*($C135^2)</f>
        <v>140.9774854064855</v>
      </c>
    </row>
    <row r="136" spans="2:6" ht="15" customHeight="1" x14ac:dyDescent="0.2">
      <c r="B136" s="5">
        <v>1300</v>
      </c>
      <c r="C136" s="10">
        <f t="shared" si="24"/>
        <v>2.8966131907308381</v>
      </c>
      <c r="D136" s="12">
        <f t="shared" si="25"/>
        <v>53.831237468464401</v>
      </c>
      <c r="E136" s="12">
        <f t="shared" si="26"/>
        <v>53.970756242086374</v>
      </c>
      <c r="F136" s="12">
        <f t="shared" si="27"/>
        <v>142.39345612460821</v>
      </c>
    </row>
    <row r="137" spans="2:6" ht="15" customHeight="1" x14ac:dyDescent="0.2">
      <c r="B137" s="5">
        <v>1310</v>
      </c>
      <c r="C137" s="10">
        <f t="shared" si="24"/>
        <v>2.9188948306595366</v>
      </c>
      <c r="D137" s="12">
        <f t="shared" si="25"/>
        <v>53.890406283805774</v>
      </c>
      <c r="E137" s="12">
        <f t="shared" si="26"/>
        <v>54.032079755647587</v>
      </c>
      <c r="F137" s="12">
        <f t="shared" si="27"/>
        <v>143.82036097955034</v>
      </c>
    </row>
    <row r="138" spans="2:6" ht="15" customHeight="1" x14ac:dyDescent="0.2">
      <c r="B138" s="5">
        <v>1320</v>
      </c>
      <c r="C138" s="10">
        <f t="shared" si="24"/>
        <v>2.9411764705882355</v>
      </c>
      <c r="D138" s="12">
        <f t="shared" si="25"/>
        <v>53.950028500030989</v>
      </c>
      <c r="E138" s="12">
        <f t="shared" si="26"/>
        <v>54.093873181190119</v>
      </c>
      <c r="F138" s="12">
        <f t="shared" si="27"/>
        <v>145.25819997131202</v>
      </c>
    </row>
    <row r="139" spans="2:6" ht="15" customHeight="1" x14ac:dyDescent="0.2">
      <c r="B139" s="5">
        <v>1330</v>
      </c>
      <c r="C139" s="10">
        <f t="shared" si="24"/>
        <v>2.963458110516934</v>
      </c>
      <c r="D139" s="12">
        <f t="shared" si="25"/>
        <v>54.010104117140045</v>
      </c>
      <c r="E139" s="12">
        <f t="shared" si="26"/>
        <v>54.156136518713957</v>
      </c>
      <c r="F139" s="12">
        <f t="shared" si="27"/>
        <v>146.70697309989316</v>
      </c>
    </row>
    <row r="140" spans="2:6" ht="15" customHeight="1" x14ac:dyDescent="0.2">
      <c r="B140" s="5">
        <v>1340</v>
      </c>
      <c r="C140" s="10">
        <f t="shared" si="24"/>
        <v>2.9857397504456329</v>
      </c>
      <c r="D140" s="12">
        <f t="shared" si="25"/>
        <v>54.070633135132944</v>
      </c>
      <c r="E140" s="12">
        <f t="shared" si="26"/>
        <v>54.218869768219108</v>
      </c>
      <c r="F140" s="12">
        <f t="shared" si="27"/>
        <v>148.16668036529376</v>
      </c>
    </row>
    <row r="141" spans="2:6" ht="15" customHeight="1" x14ac:dyDescent="0.2">
      <c r="B141" s="5">
        <v>1350</v>
      </c>
      <c r="C141" s="10">
        <f t="shared" si="24"/>
        <v>3.0080213903743318</v>
      </c>
      <c r="D141" s="12">
        <f t="shared" si="25"/>
        <v>54.131615554009684</v>
      </c>
      <c r="E141" s="12">
        <f t="shared" si="26"/>
        <v>54.282072929705578</v>
      </c>
      <c r="F141" s="12">
        <f t="shared" si="27"/>
        <v>149.63732176751387</v>
      </c>
    </row>
    <row r="142" spans="2:6" ht="15" customHeight="1" x14ac:dyDescent="0.2">
      <c r="B142" s="5">
        <v>1360</v>
      </c>
      <c r="C142" s="10">
        <f t="shared" si="24"/>
        <v>3.0303030303030303</v>
      </c>
      <c r="D142" s="12">
        <f t="shared" si="25"/>
        <v>54.193051373770267</v>
      </c>
      <c r="E142" s="12">
        <f t="shared" si="26"/>
        <v>54.345746003173346</v>
      </c>
      <c r="F142" s="12">
        <f t="shared" si="27"/>
        <v>151.11889730655344</v>
      </c>
    </row>
    <row r="143" spans="2:6" ht="15" customHeight="1" x14ac:dyDescent="0.2">
      <c r="B143" s="5">
        <v>1370</v>
      </c>
      <c r="C143" s="10">
        <f t="shared" si="24"/>
        <v>3.0525846702317292</v>
      </c>
      <c r="D143" s="12">
        <f t="shared" si="25"/>
        <v>54.254940594414691</v>
      </c>
      <c r="E143" s="12">
        <f t="shared" si="26"/>
        <v>54.409888988622434</v>
      </c>
      <c r="F143" s="12">
        <f t="shared" si="27"/>
        <v>152.61140698241252</v>
      </c>
    </row>
    <row r="144" spans="2:6" ht="15" customHeight="1" x14ac:dyDescent="0.2">
      <c r="B144" s="5">
        <v>1380</v>
      </c>
      <c r="C144" s="10">
        <f t="shared" si="24"/>
        <v>3.0748663101604281</v>
      </c>
      <c r="D144" s="12">
        <f t="shared" si="25"/>
        <v>54.317283215942957</v>
      </c>
      <c r="E144" s="12">
        <f t="shared" si="26"/>
        <v>54.474501886052835</v>
      </c>
      <c r="F144" s="12">
        <f t="shared" si="27"/>
        <v>154.11485079509106</v>
      </c>
    </row>
    <row r="145" spans="2:6" ht="15" customHeight="1" x14ac:dyDescent="0.2">
      <c r="B145" s="5">
        <v>1390</v>
      </c>
      <c r="C145" s="10">
        <f t="shared" si="24"/>
        <v>3.0971479500891266</v>
      </c>
      <c r="D145" s="12">
        <f t="shared" si="25"/>
        <v>54.380079238355066</v>
      </c>
      <c r="E145" s="12">
        <f t="shared" si="26"/>
        <v>54.539584695464548</v>
      </c>
      <c r="F145" s="12">
        <f t="shared" si="27"/>
        <v>155.62922874458906</v>
      </c>
    </row>
    <row r="146" spans="2:6" ht="15" customHeight="1" x14ac:dyDescent="0.2">
      <c r="B146" s="5">
        <v>1400</v>
      </c>
      <c r="C146" s="10">
        <f t="shared" si="24"/>
        <v>3.1194295900178255</v>
      </c>
      <c r="D146" s="12">
        <f t="shared" si="25"/>
        <v>54.443328661651023</v>
      </c>
      <c r="E146" s="12">
        <f t="shared" si="26"/>
        <v>54.605137416857573</v>
      </c>
      <c r="F146" s="12">
        <f t="shared" si="27"/>
        <v>157.15454083090654</v>
      </c>
    </row>
    <row r="147" spans="2:6" ht="15" customHeight="1" x14ac:dyDescent="0.2">
      <c r="B147" s="5">
        <v>1410</v>
      </c>
      <c r="C147" s="10">
        <f t="shared" si="24"/>
        <v>3.1417112299465244</v>
      </c>
      <c r="D147" s="12">
        <f t="shared" si="25"/>
        <v>54.507031485830815</v>
      </c>
      <c r="E147" s="12">
        <f t="shared" si="26"/>
        <v>54.671160050231904</v>
      </c>
      <c r="F147" s="12">
        <f t="shared" si="27"/>
        <v>158.69078705404354</v>
      </c>
    </row>
    <row r="148" spans="2:6" ht="15" customHeight="1" x14ac:dyDescent="0.2">
      <c r="B148" s="5">
        <v>1420</v>
      </c>
      <c r="C148" s="10">
        <f t="shared" si="24"/>
        <v>3.1639928698752229</v>
      </c>
      <c r="D148" s="12">
        <f t="shared" si="25"/>
        <v>54.571187710894449</v>
      </c>
      <c r="E148" s="12">
        <f t="shared" si="26"/>
        <v>54.737652595587555</v>
      </c>
      <c r="F148" s="12">
        <f t="shared" si="27"/>
        <v>160.23796741399997</v>
      </c>
    </row>
    <row r="149" spans="2:6" ht="15" customHeight="1" x14ac:dyDescent="0.2">
      <c r="B149" s="5">
        <v>1430</v>
      </c>
      <c r="C149" s="10">
        <f t="shared" si="24"/>
        <v>3.1862745098039218</v>
      </c>
      <c r="D149" s="12">
        <f t="shared" si="25"/>
        <v>54.635797336841925</v>
      </c>
      <c r="E149" s="12">
        <f t="shared" si="26"/>
        <v>54.804615052924518</v>
      </c>
      <c r="F149" s="12">
        <f t="shared" si="27"/>
        <v>161.79608191077591</v>
      </c>
    </row>
    <row r="150" spans="2:6" ht="15" customHeight="1" x14ac:dyDescent="0.2">
      <c r="B150" s="5">
        <v>1440</v>
      </c>
      <c r="C150" s="10">
        <f t="shared" si="24"/>
        <v>3.2085561497326203</v>
      </c>
      <c r="D150" s="12">
        <f t="shared" si="25"/>
        <v>54.700860363673243</v>
      </c>
      <c r="E150" s="12">
        <f t="shared" si="26"/>
        <v>54.872047422242787</v>
      </c>
      <c r="F150" s="12">
        <f t="shared" si="27"/>
        <v>163.36513054437131</v>
      </c>
    </row>
    <row r="151" spans="2:6" ht="15" customHeight="1" x14ac:dyDescent="0.2">
      <c r="B151" s="5">
        <v>1450</v>
      </c>
      <c r="C151" s="10">
        <f t="shared" si="24"/>
        <v>3.2308377896613192</v>
      </c>
      <c r="D151" s="12">
        <f t="shared" si="25"/>
        <v>54.766376791388403</v>
      </c>
      <c r="E151" s="12">
        <f t="shared" si="26"/>
        <v>54.939949703542368</v>
      </c>
      <c r="F151" s="12">
        <f t="shared" si="27"/>
        <v>164.94511331478623</v>
      </c>
    </row>
    <row r="152" spans="2:6" ht="15" customHeight="1" x14ac:dyDescent="0.2">
      <c r="B152" s="5">
        <v>1460</v>
      </c>
      <c r="C152" s="10">
        <f t="shared" si="24"/>
        <v>3.2531194295900181</v>
      </c>
      <c r="D152" s="12">
        <f t="shared" si="25"/>
        <v>54.832346619987405</v>
      </c>
      <c r="E152" s="12">
        <f t="shared" si="26"/>
        <v>55.008321896823269</v>
      </c>
      <c r="F152" s="12">
        <f t="shared" si="27"/>
        <v>166.53603022202063</v>
      </c>
    </row>
    <row r="153" spans="2:6" ht="15" customHeight="1" x14ac:dyDescent="0.2">
      <c r="B153" s="5">
        <v>1470</v>
      </c>
      <c r="C153" s="10">
        <f t="shared" si="24"/>
        <v>3.2754010695187166</v>
      </c>
      <c r="D153" s="12">
        <f t="shared" si="25"/>
        <v>54.898769849470249</v>
      </c>
      <c r="E153" s="12">
        <f t="shared" si="26"/>
        <v>55.077164002085475</v>
      </c>
      <c r="F153" s="12">
        <f t="shared" si="27"/>
        <v>168.13788126607446</v>
      </c>
    </row>
    <row r="154" spans="2:6" ht="15" customHeight="1" x14ac:dyDescent="0.2">
      <c r="B154" s="5">
        <v>1480</v>
      </c>
      <c r="C154" s="10">
        <f t="shared" si="24"/>
        <v>3.2976827094474155</v>
      </c>
      <c r="D154" s="12">
        <f t="shared" si="25"/>
        <v>54.965646479836934</v>
      </c>
      <c r="E154" s="12">
        <f t="shared" si="26"/>
        <v>55.146476019328993</v>
      </c>
      <c r="F154" s="12">
        <f t="shared" si="27"/>
        <v>169.7506664469478</v>
      </c>
    </row>
    <row r="155" spans="2:6" ht="15" customHeight="1" x14ac:dyDescent="0.2">
      <c r="B155" s="5">
        <v>1490</v>
      </c>
      <c r="C155" s="10">
        <f t="shared" si="24"/>
        <v>3.3199643493761144</v>
      </c>
      <c r="D155" s="12">
        <f t="shared" si="25"/>
        <v>55.032976511087462</v>
      </c>
      <c r="E155" s="12">
        <f t="shared" si="26"/>
        <v>55.216257948553825</v>
      </c>
      <c r="F155" s="12">
        <f t="shared" si="27"/>
        <v>171.37438576464064</v>
      </c>
    </row>
    <row r="156" spans="2:6" ht="15" customHeight="1" x14ac:dyDescent="0.2">
      <c r="B156" s="5">
        <v>1500</v>
      </c>
      <c r="C156" s="10">
        <f t="shared" si="24"/>
        <v>3.3422459893048129</v>
      </c>
      <c r="D156" s="12">
        <f t="shared" si="25"/>
        <v>55.100759943221831</v>
      </c>
      <c r="E156" s="12">
        <f t="shared" si="26"/>
        <v>55.286509789759968</v>
      </c>
      <c r="F156" s="12">
        <f t="shared" si="27"/>
        <v>173.00903921915292</v>
      </c>
    </row>
    <row r="157" spans="2:6" ht="15" customHeight="1" x14ac:dyDescent="0.2">
      <c r="B157" s="5">
        <v>1510</v>
      </c>
      <c r="C157" s="10">
        <f t="shared" si="24"/>
        <v>3.3645276292335118</v>
      </c>
      <c r="D157" s="12">
        <f t="shared" si="25"/>
        <v>55.168996776240043</v>
      </c>
      <c r="E157" s="12">
        <f t="shared" si="26"/>
        <v>55.357231542947424</v>
      </c>
      <c r="F157" s="12">
        <f t="shared" si="27"/>
        <v>174.65462681048473</v>
      </c>
    </row>
    <row r="158" spans="2:6" ht="15" customHeight="1" x14ac:dyDescent="0.2">
      <c r="B158" s="5">
        <v>1520</v>
      </c>
      <c r="C158" s="10">
        <f t="shared" si="24"/>
        <v>3.3868092691622103</v>
      </c>
      <c r="D158" s="12">
        <f t="shared" si="25"/>
        <v>55.237687010142096</v>
      </c>
      <c r="E158" s="12">
        <f t="shared" si="26"/>
        <v>55.428423208116186</v>
      </c>
      <c r="F158" s="12">
        <f t="shared" si="27"/>
        <v>176.31114853863596</v>
      </c>
    </row>
    <row r="159" spans="2:6" ht="15" customHeight="1" x14ac:dyDescent="0.2">
      <c r="B159" s="5">
        <v>1530</v>
      </c>
      <c r="C159" s="10">
        <f t="shared" si="24"/>
        <v>3.4090909090909092</v>
      </c>
      <c r="D159" s="12">
        <f t="shared" si="25"/>
        <v>55.306830644927999</v>
      </c>
      <c r="E159" s="12">
        <f t="shared" si="26"/>
        <v>55.500084785266267</v>
      </c>
      <c r="F159" s="12">
        <f t="shared" si="27"/>
        <v>177.97860440360671</v>
      </c>
    </row>
    <row r="160" spans="2:6" ht="15" customHeight="1" x14ac:dyDescent="0.2">
      <c r="B160" s="5">
        <v>1540</v>
      </c>
      <c r="C160" s="10">
        <f t="shared" si="24"/>
        <v>3.4313725490196081</v>
      </c>
      <c r="D160" s="12">
        <f t="shared" si="25"/>
        <v>55.376427680597736</v>
      </c>
      <c r="E160" s="12">
        <f t="shared" si="26"/>
        <v>55.572216274397661</v>
      </c>
      <c r="F160" s="12">
        <f t="shared" si="27"/>
        <v>179.65699440539692</v>
      </c>
    </row>
    <row r="161" spans="2:6" ht="15" customHeight="1" x14ac:dyDescent="0.2">
      <c r="B161" s="5">
        <v>1550</v>
      </c>
      <c r="C161" s="10">
        <f t="shared" si="24"/>
        <v>3.4536541889483066</v>
      </c>
      <c r="D161" s="12">
        <f t="shared" si="25"/>
        <v>55.446478117151315</v>
      </c>
      <c r="E161" s="12">
        <f t="shared" si="26"/>
        <v>55.644817675510367</v>
      </c>
      <c r="F161" s="12">
        <f t="shared" si="27"/>
        <v>181.34631854400661</v>
      </c>
    </row>
    <row r="162" spans="2:6" ht="15" customHeight="1" x14ac:dyDescent="0.2">
      <c r="B162" s="5">
        <v>1560</v>
      </c>
      <c r="C162" s="10">
        <f t="shared" si="24"/>
        <v>3.4759358288770055</v>
      </c>
      <c r="D162" s="12">
        <f t="shared" si="25"/>
        <v>55.516981954588736</v>
      </c>
      <c r="E162" s="12">
        <f t="shared" si="26"/>
        <v>55.717888988604379</v>
      </c>
      <c r="F162" s="12">
        <f t="shared" si="27"/>
        <v>183.04657681943581</v>
      </c>
    </row>
    <row r="163" spans="2:6" ht="15" customHeight="1" x14ac:dyDescent="0.2">
      <c r="B163" s="5">
        <v>1570</v>
      </c>
      <c r="C163" s="10">
        <f t="shared" si="24"/>
        <v>3.4982174688057044</v>
      </c>
      <c r="D163" s="12">
        <f t="shared" si="25"/>
        <v>55.58793919291</v>
      </c>
      <c r="E163" s="12">
        <f t="shared" si="26"/>
        <v>55.79143021367971</v>
      </c>
      <c r="F163" s="12">
        <f t="shared" si="27"/>
        <v>184.75776923168448</v>
      </c>
    </row>
    <row r="164" spans="2:6" ht="15" customHeight="1" x14ac:dyDescent="0.2">
      <c r="B164" s="5">
        <v>1580</v>
      </c>
      <c r="C164" s="10">
        <f t="shared" si="24"/>
        <v>3.5204991087344029</v>
      </c>
      <c r="D164" s="12">
        <f t="shared" si="25"/>
        <v>55.659349832115105</v>
      </c>
      <c r="E164" s="12">
        <f t="shared" si="26"/>
        <v>55.865441350736347</v>
      </c>
      <c r="F164" s="12">
        <f t="shared" si="27"/>
        <v>186.4798957807526</v>
      </c>
    </row>
    <row r="165" spans="2:6" ht="15" customHeight="1" x14ac:dyDescent="0.2">
      <c r="B165" s="5">
        <v>1590</v>
      </c>
      <c r="C165" s="10">
        <f t="shared" si="24"/>
        <v>3.5427807486631018</v>
      </c>
      <c r="D165" s="12">
        <f t="shared" si="25"/>
        <v>55.731213872204052</v>
      </c>
      <c r="E165" s="12">
        <f t="shared" si="26"/>
        <v>55.939922399774296</v>
      </c>
      <c r="F165" s="12">
        <f t="shared" si="27"/>
        <v>188.21295646664024</v>
      </c>
    </row>
    <row r="166" spans="2:6" ht="15" customHeight="1" x14ac:dyDescent="0.2">
      <c r="B166" s="5">
        <v>1600</v>
      </c>
      <c r="C166" s="10">
        <f t="shared" si="24"/>
        <v>3.5650623885918007</v>
      </c>
      <c r="D166" s="12">
        <f t="shared" si="25"/>
        <v>55.80353131317684</v>
      </c>
      <c r="E166" s="12">
        <f t="shared" si="26"/>
        <v>56.014873360793565</v>
      </c>
      <c r="F166" s="12">
        <f t="shared" si="27"/>
        <v>189.95695128934733</v>
      </c>
    </row>
    <row r="167" spans="2:6" ht="15" customHeight="1" x14ac:dyDescent="0.2">
      <c r="B167" s="5">
        <v>1610</v>
      </c>
      <c r="C167" s="10">
        <f t="shared" si="24"/>
        <v>3.5873440285204992</v>
      </c>
      <c r="D167" s="12">
        <f t="shared" si="25"/>
        <v>55.876302155033471</v>
      </c>
      <c r="E167" s="12">
        <f t="shared" si="26"/>
        <v>56.09029423379414</v>
      </c>
      <c r="F167" s="12">
        <f t="shared" si="27"/>
        <v>191.71188024887388</v>
      </c>
    </row>
    <row r="168" spans="2:6" ht="15" customHeight="1" x14ac:dyDescent="0.2">
      <c r="B168" s="5">
        <v>1620</v>
      </c>
      <c r="C168" s="10">
        <f t="shared" si="24"/>
        <v>3.6096256684491981</v>
      </c>
      <c r="D168" s="12">
        <f t="shared" si="25"/>
        <v>55.949526397773944</v>
      </c>
      <c r="E168" s="12">
        <f t="shared" si="26"/>
        <v>56.166185018776027</v>
      </c>
      <c r="F168" s="12">
        <f t="shared" si="27"/>
        <v>193.47774334521998</v>
      </c>
    </row>
    <row r="169" spans="2:6" ht="15" customHeight="1" x14ac:dyDescent="0.2">
      <c r="B169" s="5">
        <v>1630</v>
      </c>
      <c r="C169" s="10">
        <f t="shared" si="24"/>
        <v>3.6319073083778965</v>
      </c>
      <c r="D169" s="12">
        <f t="shared" si="25"/>
        <v>56.023204041398259</v>
      </c>
      <c r="E169" s="12">
        <f t="shared" si="26"/>
        <v>56.242545715739226</v>
      </c>
      <c r="F169" s="12">
        <f t="shared" si="27"/>
        <v>195.2545405783855</v>
      </c>
    </row>
    <row r="170" spans="2:6" ht="15" customHeight="1" x14ac:dyDescent="0.2">
      <c r="B170" s="5">
        <v>1640</v>
      </c>
      <c r="C170" s="10">
        <f t="shared" si="24"/>
        <v>3.6541889483065955</v>
      </c>
      <c r="D170" s="12">
        <f t="shared" si="25"/>
        <v>56.097335085906423</v>
      </c>
      <c r="E170" s="12">
        <f t="shared" si="26"/>
        <v>56.319376324683738</v>
      </c>
      <c r="F170" s="12">
        <f t="shared" si="27"/>
        <v>197.04227194837054</v>
      </c>
    </row>
    <row r="171" spans="2:6" ht="15" customHeight="1" x14ac:dyDescent="0.2">
      <c r="B171" s="5">
        <v>1650</v>
      </c>
      <c r="C171" s="10">
        <f t="shared" si="24"/>
        <v>3.6764705882352944</v>
      </c>
      <c r="D171" s="12">
        <f t="shared" si="25"/>
        <v>56.171919531298421</v>
      </c>
      <c r="E171" s="12">
        <f t="shared" si="26"/>
        <v>56.396676845609562</v>
      </c>
      <c r="F171" s="12">
        <f t="shared" si="27"/>
        <v>198.84093745517504</v>
      </c>
    </row>
    <row r="172" spans="2:6" ht="15" customHeight="1" x14ac:dyDescent="0.2">
      <c r="B172" s="5">
        <v>1660</v>
      </c>
      <c r="C172" s="10">
        <f t="shared" si="24"/>
        <v>3.6987522281639929</v>
      </c>
      <c r="D172" s="12">
        <f t="shared" si="25"/>
        <v>56.246957377574262</v>
      </c>
      <c r="E172" s="12">
        <f t="shared" si="26"/>
        <v>56.474447278516692</v>
      </c>
      <c r="F172" s="12">
        <f t="shared" si="27"/>
        <v>200.65053709879902</v>
      </c>
    </row>
    <row r="173" spans="2:6" ht="15" customHeight="1" x14ac:dyDescent="0.2">
      <c r="B173" s="5">
        <v>1670</v>
      </c>
      <c r="C173" s="10">
        <f t="shared" si="24"/>
        <v>3.7210338680926918</v>
      </c>
      <c r="D173" s="12">
        <f t="shared" si="25"/>
        <v>56.322448624733944</v>
      </c>
      <c r="E173" s="12">
        <f t="shared" si="26"/>
        <v>56.552687623405141</v>
      </c>
      <c r="F173" s="12">
        <f t="shared" si="27"/>
        <v>202.47107087924246</v>
      </c>
    </row>
    <row r="174" spans="2:6" ht="15" customHeight="1" x14ac:dyDescent="0.2">
      <c r="B174" s="5">
        <v>1680</v>
      </c>
      <c r="C174" s="10">
        <f t="shared" si="24"/>
        <v>3.7433155080213907</v>
      </c>
      <c r="D174" s="12">
        <f t="shared" si="25"/>
        <v>56.398393272777469</v>
      </c>
      <c r="E174" s="12">
        <f t="shared" si="26"/>
        <v>56.631397880274903</v>
      </c>
      <c r="F174" s="12">
        <f t="shared" si="27"/>
        <v>204.30253879650544</v>
      </c>
    </row>
    <row r="175" spans="2:6" ht="15" customHeight="1" x14ac:dyDescent="0.2">
      <c r="B175" s="5">
        <v>1690</v>
      </c>
      <c r="C175" s="10">
        <f t="shared" si="24"/>
        <v>3.7655971479500892</v>
      </c>
      <c r="D175" s="12">
        <f t="shared" si="25"/>
        <v>56.474791321704835</v>
      </c>
      <c r="E175" s="12">
        <f t="shared" si="26"/>
        <v>56.710578049125971</v>
      </c>
      <c r="F175" s="12">
        <f t="shared" si="27"/>
        <v>206.14494085058783</v>
      </c>
    </row>
    <row r="176" spans="2:6" ht="15" customHeight="1" x14ac:dyDescent="0.2">
      <c r="B176" s="5">
        <v>1700</v>
      </c>
      <c r="C176" s="10">
        <f t="shared" si="24"/>
        <v>3.7878787878787881</v>
      </c>
      <c r="D176" s="12">
        <f t="shared" si="25"/>
        <v>56.551642771516043</v>
      </c>
      <c r="E176" s="12">
        <f t="shared" si="26"/>
        <v>56.790228129958358</v>
      </c>
      <c r="F176" s="12">
        <f t="shared" si="27"/>
        <v>207.99827704148976</v>
      </c>
    </row>
    <row r="177" spans="2:6" ht="15" customHeight="1" x14ac:dyDescent="0.2">
      <c r="B177" s="5">
        <v>1710</v>
      </c>
      <c r="C177" s="10">
        <f t="shared" si="24"/>
        <v>3.810160427807487</v>
      </c>
      <c r="D177" s="12">
        <f t="shared" si="25"/>
        <v>56.628947622211093</v>
      </c>
      <c r="E177" s="12">
        <f t="shared" si="26"/>
        <v>56.870348122772057</v>
      </c>
      <c r="F177" s="12">
        <f t="shared" si="27"/>
        <v>209.86254736921114</v>
      </c>
    </row>
    <row r="178" spans="2:6" ht="15" customHeight="1" x14ac:dyDescent="0.2">
      <c r="B178" s="5">
        <v>1720</v>
      </c>
      <c r="C178" s="10">
        <f t="shared" si="24"/>
        <v>3.8324420677361855</v>
      </c>
      <c r="D178" s="12">
        <f t="shared" si="25"/>
        <v>56.706705873789986</v>
      </c>
      <c r="E178" s="12">
        <f t="shared" si="26"/>
        <v>56.950938027567062</v>
      </c>
      <c r="F178" s="12">
        <f t="shared" si="27"/>
        <v>211.73775183375199</v>
      </c>
    </row>
    <row r="179" spans="2:6" ht="15" customHeight="1" x14ac:dyDescent="0.2">
      <c r="B179" s="5">
        <v>1730</v>
      </c>
      <c r="C179" s="10">
        <f t="shared" si="24"/>
        <v>3.8547237076648844</v>
      </c>
      <c r="D179" s="12">
        <f t="shared" si="25"/>
        <v>56.78491752625272</v>
      </c>
      <c r="E179" s="12">
        <f t="shared" si="26"/>
        <v>57.03199784434338</v>
      </c>
      <c r="F179" s="12">
        <f t="shared" si="27"/>
        <v>213.62389043511234</v>
      </c>
    </row>
    <row r="180" spans="2:6" ht="15" customHeight="1" x14ac:dyDescent="0.2">
      <c r="B180" s="5">
        <v>1740</v>
      </c>
      <c r="C180" s="10">
        <f t="shared" si="24"/>
        <v>3.8770053475935828</v>
      </c>
      <c r="D180" s="12">
        <f t="shared" si="25"/>
        <v>56.863582579599296</v>
      </c>
      <c r="E180" s="12">
        <f t="shared" si="26"/>
        <v>57.11352757310101</v>
      </c>
      <c r="F180" s="12">
        <f t="shared" si="27"/>
        <v>215.52096317329216</v>
      </c>
    </row>
    <row r="181" spans="2:6" ht="15" customHeight="1" x14ac:dyDescent="0.2">
      <c r="B181" s="5">
        <v>1750</v>
      </c>
      <c r="C181" s="10">
        <f t="shared" si="24"/>
        <v>3.8992869875222818</v>
      </c>
      <c r="D181" s="12">
        <f t="shared" si="25"/>
        <v>56.942701033829721</v>
      </c>
      <c r="E181" s="12">
        <f t="shared" si="26"/>
        <v>57.195527213839952</v>
      </c>
      <c r="F181" s="12">
        <f t="shared" si="27"/>
        <v>217.42897004829149</v>
      </c>
    </row>
    <row r="182" spans="2:6" ht="15" customHeight="1" x14ac:dyDescent="0.2">
      <c r="B182" s="5">
        <v>1760</v>
      </c>
      <c r="C182" s="10">
        <f t="shared" si="24"/>
        <v>3.9215686274509807</v>
      </c>
      <c r="D182" s="12">
        <f t="shared" si="25"/>
        <v>57.022272888943981</v>
      </c>
      <c r="E182" s="12">
        <f t="shared" si="26"/>
        <v>57.277996766560214</v>
      </c>
      <c r="F182" s="12">
        <f t="shared" si="27"/>
        <v>219.34791106011028</v>
      </c>
    </row>
    <row r="183" spans="2:6" ht="15" customHeight="1" x14ac:dyDescent="0.2">
      <c r="B183" s="5">
        <v>1770</v>
      </c>
      <c r="C183" s="10">
        <f t="shared" si="24"/>
        <v>3.9438502673796791</v>
      </c>
      <c r="D183" s="12">
        <f t="shared" si="25"/>
        <v>57.102298144942083</v>
      </c>
      <c r="E183" s="12">
        <f t="shared" si="26"/>
        <v>57.360936231261775</v>
      </c>
      <c r="F183" s="12">
        <f t="shared" si="27"/>
        <v>221.27778620874852</v>
      </c>
    </row>
    <row r="184" spans="2:6" ht="15" customHeight="1" x14ac:dyDescent="0.2">
      <c r="B184" s="5">
        <v>1780</v>
      </c>
      <c r="C184" s="10">
        <f t="shared" si="24"/>
        <v>3.9661319073083781</v>
      </c>
      <c r="D184" s="12">
        <f t="shared" si="25"/>
        <v>57.182776801824026</v>
      </c>
      <c r="E184" s="12">
        <f t="shared" si="26"/>
        <v>57.444345607944655</v>
      </c>
      <c r="F184" s="12">
        <f t="shared" si="27"/>
        <v>223.21859549420628</v>
      </c>
    </row>
    <row r="185" spans="2:6" ht="15" customHeight="1" x14ac:dyDescent="0.2">
      <c r="B185" s="5">
        <v>1790</v>
      </c>
      <c r="C185" s="10">
        <f t="shared" si="24"/>
        <v>3.988413547237077</v>
      </c>
      <c r="D185" s="12">
        <f t="shared" si="25"/>
        <v>57.263708859589812</v>
      </c>
      <c r="E185" s="12">
        <f t="shared" si="26"/>
        <v>57.528224896608847</v>
      </c>
      <c r="F185" s="12">
        <f t="shared" si="27"/>
        <v>225.17033891648353</v>
      </c>
    </row>
    <row r="186" spans="2:6" ht="15" customHeight="1" x14ac:dyDescent="0.2">
      <c r="B186" s="5">
        <v>1800</v>
      </c>
      <c r="C186" s="10">
        <f t="shared" si="24"/>
        <v>4.0106951871657754</v>
      </c>
      <c r="D186" s="12">
        <f t="shared" si="25"/>
        <v>57.34509431823944</v>
      </c>
      <c r="E186" s="12">
        <f t="shared" si="26"/>
        <v>57.612574097254353</v>
      </c>
      <c r="F186" s="12">
        <f t="shared" si="27"/>
        <v>227.13301647558018</v>
      </c>
    </row>
    <row r="187" spans="2:6" ht="15" customHeight="1" x14ac:dyDescent="0.2">
      <c r="B187" s="5">
        <v>1810</v>
      </c>
      <c r="C187" s="10">
        <f t="shared" si="24"/>
        <v>4.0329768270944744</v>
      </c>
      <c r="D187" s="12">
        <f t="shared" si="25"/>
        <v>57.426933177772909</v>
      </c>
      <c r="E187" s="12">
        <f t="shared" si="26"/>
        <v>57.69739320988117</v>
      </c>
      <c r="F187" s="12">
        <f t="shared" si="27"/>
        <v>229.10662817149637</v>
      </c>
    </row>
    <row r="188" spans="2:6" ht="15" customHeight="1" x14ac:dyDescent="0.2">
      <c r="B188" s="5">
        <v>1820</v>
      </c>
      <c r="C188" s="10">
        <f t="shared" si="24"/>
        <v>4.0552584670231733</v>
      </c>
      <c r="D188" s="12">
        <f t="shared" si="25"/>
        <v>57.509225438190228</v>
      </c>
      <c r="E188" s="12">
        <f t="shared" si="26"/>
        <v>57.7826822344893</v>
      </c>
      <c r="F188" s="12">
        <f t="shared" si="27"/>
        <v>231.0911740042321</v>
      </c>
    </row>
    <row r="189" spans="2:6" ht="15" customHeight="1" x14ac:dyDescent="0.2">
      <c r="B189" s="5">
        <v>1830</v>
      </c>
      <c r="C189" s="10">
        <f t="shared" si="24"/>
        <v>4.0775401069518722</v>
      </c>
      <c r="D189" s="12">
        <f t="shared" si="25"/>
        <v>57.591971099491374</v>
      </c>
      <c r="E189" s="12">
        <f t="shared" si="26"/>
        <v>57.868441171078736</v>
      </c>
      <c r="F189" s="12">
        <f t="shared" si="27"/>
        <v>233.08665397378724</v>
      </c>
    </row>
    <row r="190" spans="2:6" ht="15" customHeight="1" x14ac:dyDescent="0.2">
      <c r="B190" s="5">
        <v>1840</v>
      </c>
      <c r="C190" s="10">
        <f t="shared" si="24"/>
        <v>4.0998217468805702</v>
      </c>
      <c r="D190" s="12">
        <f t="shared" si="25"/>
        <v>57.67517016167637</v>
      </c>
      <c r="E190" s="12">
        <f t="shared" si="26"/>
        <v>57.954670019649484</v>
      </c>
      <c r="F190" s="12">
        <f t="shared" si="27"/>
        <v>235.09306808016183</v>
      </c>
    </row>
    <row r="191" spans="2:6" ht="15" customHeight="1" x14ac:dyDescent="0.2">
      <c r="B191" s="5">
        <v>1850</v>
      </c>
      <c r="C191" s="10">
        <f t="shared" si="24"/>
        <v>4.1221033868092691</v>
      </c>
      <c r="D191" s="12">
        <f t="shared" si="25"/>
        <v>57.758822624745207</v>
      </c>
      <c r="E191" s="12">
        <f t="shared" si="26"/>
        <v>58.041368780201552</v>
      </c>
      <c r="F191" s="12">
        <f t="shared" si="27"/>
        <v>237.11041632335593</v>
      </c>
    </row>
    <row r="192" spans="2:6" ht="15" customHeight="1" x14ac:dyDescent="0.2">
      <c r="B192" s="5">
        <v>1860</v>
      </c>
      <c r="C192" s="10">
        <f t="shared" si="24"/>
        <v>4.144385026737968</v>
      </c>
      <c r="D192" s="12">
        <f t="shared" si="25"/>
        <v>57.842928488697893</v>
      </c>
      <c r="E192" s="12">
        <f t="shared" si="26"/>
        <v>58.128537452734925</v>
      </c>
      <c r="F192" s="12">
        <f t="shared" si="27"/>
        <v>239.13869870336953</v>
      </c>
    </row>
    <row r="193" spans="2:6" ht="15" customHeight="1" x14ac:dyDescent="0.2">
      <c r="B193" s="5">
        <v>1870</v>
      </c>
      <c r="C193" s="10">
        <f t="shared" si="24"/>
        <v>4.166666666666667</v>
      </c>
      <c r="D193" s="12">
        <f t="shared" si="25"/>
        <v>57.927487753534415</v>
      </c>
      <c r="E193" s="12">
        <f t="shared" si="26"/>
        <v>58.21617603724961</v>
      </c>
      <c r="F193" s="12">
        <f t="shared" si="27"/>
        <v>241.17791522020261</v>
      </c>
    </row>
    <row r="194" spans="2:6" ht="15" customHeight="1" x14ac:dyDescent="0.2">
      <c r="B194" s="5">
        <v>1880</v>
      </c>
      <c r="C194" s="10">
        <f t="shared" si="24"/>
        <v>4.1889483065953659</v>
      </c>
      <c r="D194" s="12">
        <f t="shared" si="25"/>
        <v>58.012500419254778</v>
      </c>
      <c r="E194" s="12">
        <f t="shared" si="26"/>
        <v>58.304284533745616</v>
      </c>
      <c r="F194" s="12">
        <f t="shared" si="27"/>
        <v>243.22806587385517</v>
      </c>
    </row>
    <row r="195" spans="2:6" ht="15" customHeight="1" x14ac:dyDescent="0.2">
      <c r="B195" s="5">
        <v>1890</v>
      </c>
      <c r="C195" s="10">
        <f t="shared" ref="C195:C258" si="28">B195*(1/(7.48*60))</f>
        <v>4.2112299465240639</v>
      </c>
      <c r="D195" s="12">
        <f t="shared" si="25"/>
        <v>58.097966485858983</v>
      </c>
      <c r="E195" s="12">
        <f t="shared" si="26"/>
        <v>58.392862942222919</v>
      </c>
      <c r="F195" s="12">
        <f t="shared" si="27"/>
        <v>245.28915066432717</v>
      </c>
    </row>
    <row r="196" spans="2:6" ht="15" customHeight="1" x14ac:dyDescent="0.2">
      <c r="B196" s="5">
        <v>1900</v>
      </c>
      <c r="C196" s="10">
        <f t="shared" si="28"/>
        <v>4.2335115864527628</v>
      </c>
      <c r="D196" s="12">
        <f t="shared" si="25"/>
        <v>58.18388595334703</v>
      </c>
      <c r="E196" s="12">
        <f t="shared" si="26"/>
        <v>58.48191126268155</v>
      </c>
      <c r="F196" s="12">
        <f t="shared" si="27"/>
        <v>247.36116959161868</v>
      </c>
    </row>
    <row r="197" spans="2:6" ht="15" customHeight="1" x14ac:dyDescent="0.2">
      <c r="B197" s="5">
        <v>1910</v>
      </c>
      <c r="C197" s="10">
        <f t="shared" si="28"/>
        <v>4.2557932263814617</v>
      </c>
      <c r="D197" s="12">
        <f t="shared" si="25"/>
        <v>58.270258821718919</v>
      </c>
      <c r="E197" s="12">
        <f t="shared" si="26"/>
        <v>58.571429495121478</v>
      </c>
      <c r="F197" s="12">
        <f t="shared" si="27"/>
        <v>249.44412265572967</v>
      </c>
    </row>
    <row r="198" spans="2:6" ht="15" customHeight="1" x14ac:dyDescent="0.2">
      <c r="B198" s="5">
        <v>1920</v>
      </c>
      <c r="C198" s="10">
        <f t="shared" si="28"/>
        <v>4.2780748663101607</v>
      </c>
      <c r="D198" s="12">
        <f t="shared" ref="D198:D261" si="29">$S$6+((1/(2*$S$9*((PI()/4)*($S$5)^2)^2))*($AA$5*($S$3/$S$5)+2*$V$5+$X$5))*($C198^2)</f>
        <v>58.35708509097465</v>
      </c>
      <c r="E198" s="12">
        <f t="shared" ref="E198:E261" si="30">$S$6+((1/(2*$S$9*((PI()/4)*($S$5)^2)^2))*($Z$5*($S$3/$S$5)+2*$V$5+$X$5))*($C198^2)</f>
        <v>58.661417639542734</v>
      </c>
      <c r="F198" s="12">
        <f t="shared" si="27"/>
        <v>251.53800985666015</v>
      </c>
    </row>
    <row r="199" spans="2:6" ht="15" customHeight="1" x14ac:dyDescent="0.2">
      <c r="B199" s="5">
        <v>1930</v>
      </c>
      <c r="C199" s="10">
        <f t="shared" si="28"/>
        <v>4.3003565062388596</v>
      </c>
      <c r="D199" s="12">
        <f t="shared" si="29"/>
        <v>58.44436476111423</v>
      </c>
      <c r="E199" s="12">
        <f t="shared" si="30"/>
        <v>58.751875695945287</v>
      </c>
      <c r="F199" s="12">
        <f t="shared" ref="F199:F262" si="31">$S$6+((1/(2*$S$9*((PI()/4)*($S$5)^2)^2))*($AA$5*($S$3/$S$5)+2*$V$5+$AQ$16))*($C199^2)</f>
        <v>253.64283119441009</v>
      </c>
    </row>
    <row r="200" spans="2:6" ht="15" customHeight="1" x14ac:dyDescent="0.2">
      <c r="B200" s="5">
        <v>1940</v>
      </c>
      <c r="C200" s="10">
        <f t="shared" si="28"/>
        <v>4.3226381461675585</v>
      </c>
      <c r="D200" s="12">
        <f t="shared" si="29"/>
        <v>58.532097832137644</v>
      </c>
      <c r="E200" s="12">
        <f t="shared" si="30"/>
        <v>58.842803664329168</v>
      </c>
      <c r="F200" s="12">
        <f t="shared" si="31"/>
        <v>255.75858666897958</v>
      </c>
    </row>
    <row r="201" spans="2:6" ht="15" customHeight="1" x14ac:dyDescent="0.2">
      <c r="B201" s="5">
        <v>1950</v>
      </c>
      <c r="C201" s="10">
        <f t="shared" si="28"/>
        <v>4.3449197860962565</v>
      </c>
      <c r="D201" s="12">
        <f t="shared" si="29"/>
        <v>58.620284304044894</v>
      </c>
      <c r="E201" s="12">
        <f t="shared" si="30"/>
        <v>58.934201544694346</v>
      </c>
      <c r="F201" s="12">
        <f t="shared" si="31"/>
        <v>257.88527628036843</v>
      </c>
    </row>
    <row r="202" spans="2:6" ht="15" customHeight="1" x14ac:dyDescent="0.2">
      <c r="B202" s="5">
        <v>1960</v>
      </c>
      <c r="C202" s="10">
        <f t="shared" si="28"/>
        <v>4.3672014260249554</v>
      </c>
      <c r="D202" s="12">
        <f t="shared" si="29"/>
        <v>58.708924176836</v>
      </c>
      <c r="E202" s="12">
        <f t="shared" si="30"/>
        <v>59.026069337040838</v>
      </c>
      <c r="F202" s="12">
        <f t="shared" si="31"/>
        <v>260.02290002857683</v>
      </c>
    </row>
    <row r="203" spans="2:6" ht="15" customHeight="1" x14ac:dyDescent="0.2">
      <c r="B203" s="5">
        <v>1970</v>
      </c>
      <c r="C203" s="10">
        <f t="shared" si="28"/>
        <v>4.3894830659536543</v>
      </c>
      <c r="D203" s="12">
        <f t="shared" si="29"/>
        <v>58.79801745051094</v>
      </c>
      <c r="E203" s="12">
        <f t="shared" si="30"/>
        <v>59.118407041368648</v>
      </c>
      <c r="F203" s="12">
        <f t="shared" si="31"/>
        <v>262.17145791360474</v>
      </c>
    </row>
    <row r="204" spans="2:6" ht="15" customHeight="1" x14ac:dyDescent="0.2">
      <c r="B204" s="5">
        <v>1980</v>
      </c>
      <c r="C204" s="10">
        <f t="shared" si="28"/>
        <v>4.4117647058823533</v>
      </c>
      <c r="D204" s="12">
        <f t="shared" si="29"/>
        <v>58.887564125069723</v>
      </c>
      <c r="E204" s="12">
        <f t="shared" si="30"/>
        <v>59.211214657677772</v>
      </c>
      <c r="F204" s="12">
        <f t="shared" si="31"/>
        <v>264.33094993545205</v>
      </c>
    </row>
    <row r="205" spans="2:6" ht="15" customHeight="1" x14ac:dyDescent="0.2">
      <c r="B205" s="5">
        <v>1990</v>
      </c>
      <c r="C205" s="10">
        <f t="shared" si="28"/>
        <v>4.4340463458110522</v>
      </c>
      <c r="D205" s="12">
        <f t="shared" si="29"/>
        <v>58.977564200512347</v>
      </c>
      <c r="E205" s="12">
        <f t="shared" si="30"/>
        <v>59.304492185968201</v>
      </c>
      <c r="F205" s="12">
        <f t="shared" si="31"/>
        <v>266.50137609411888</v>
      </c>
    </row>
    <row r="206" spans="2:6" ht="15" customHeight="1" x14ac:dyDescent="0.2">
      <c r="B206" s="5">
        <v>2000</v>
      </c>
      <c r="C206" s="10">
        <f t="shared" si="28"/>
        <v>4.4563279857397502</v>
      </c>
      <c r="D206" s="12">
        <f t="shared" si="29"/>
        <v>59.068017676838814</v>
      </c>
      <c r="E206" s="12">
        <f t="shared" si="30"/>
        <v>59.398239626239942</v>
      </c>
      <c r="F206" s="12">
        <f t="shared" si="31"/>
        <v>268.68273638960511</v>
      </c>
    </row>
    <row r="207" spans="2:6" ht="15" customHeight="1" x14ac:dyDescent="0.2">
      <c r="B207" s="5">
        <v>2010</v>
      </c>
      <c r="C207" s="10">
        <f t="shared" si="28"/>
        <v>4.4786096256684491</v>
      </c>
      <c r="D207" s="12">
        <f t="shared" si="29"/>
        <v>59.158924554049122</v>
      </c>
      <c r="E207" s="12">
        <f t="shared" si="30"/>
        <v>59.492456978492996</v>
      </c>
      <c r="F207" s="12">
        <f t="shared" si="31"/>
        <v>270.87503082191097</v>
      </c>
    </row>
    <row r="208" spans="2:6" ht="15" customHeight="1" x14ac:dyDescent="0.2">
      <c r="B208" s="5">
        <v>2020</v>
      </c>
      <c r="C208" s="10">
        <f t="shared" si="28"/>
        <v>4.500891265597148</v>
      </c>
      <c r="D208" s="12">
        <f t="shared" si="29"/>
        <v>59.250284832143279</v>
      </c>
      <c r="E208" s="12">
        <f t="shared" si="30"/>
        <v>59.587144242727362</v>
      </c>
      <c r="F208" s="12">
        <f t="shared" si="31"/>
        <v>273.07825939103623</v>
      </c>
    </row>
    <row r="209" spans="2:6" ht="15" customHeight="1" x14ac:dyDescent="0.2">
      <c r="B209" s="5">
        <v>2030</v>
      </c>
      <c r="C209" s="10">
        <f t="shared" si="28"/>
        <v>4.5231729055258469</v>
      </c>
      <c r="D209" s="12">
        <f t="shared" si="29"/>
        <v>59.342098511121264</v>
      </c>
      <c r="E209" s="12">
        <f t="shared" si="30"/>
        <v>59.682301418943041</v>
      </c>
      <c r="F209" s="12">
        <f t="shared" si="31"/>
        <v>275.292422096981</v>
      </c>
    </row>
    <row r="210" spans="2:6" ht="15" customHeight="1" x14ac:dyDescent="0.2">
      <c r="B210" s="5">
        <v>2040</v>
      </c>
      <c r="C210" s="10">
        <f t="shared" si="28"/>
        <v>4.5454545454545459</v>
      </c>
      <c r="D210" s="12">
        <f t="shared" si="29"/>
        <v>59.434365590983106</v>
      </c>
      <c r="E210" s="12">
        <f t="shared" si="30"/>
        <v>59.777928507140032</v>
      </c>
      <c r="F210" s="12">
        <f t="shared" si="31"/>
        <v>277.51751893974529</v>
      </c>
    </row>
    <row r="211" spans="2:6" ht="15" customHeight="1" x14ac:dyDescent="0.2">
      <c r="B211" s="5">
        <v>2050</v>
      </c>
      <c r="C211" s="10">
        <f t="shared" si="28"/>
        <v>4.5677361853832448</v>
      </c>
      <c r="D211" s="12">
        <f t="shared" si="29"/>
        <v>59.527086071728782</v>
      </c>
      <c r="E211" s="12">
        <f t="shared" si="30"/>
        <v>59.874025507318336</v>
      </c>
      <c r="F211" s="12">
        <f t="shared" si="31"/>
        <v>279.75354991932898</v>
      </c>
    </row>
    <row r="212" spans="2:6" ht="15" customHeight="1" x14ac:dyDescent="0.2">
      <c r="B212" s="5">
        <v>2060</v>
      </c>
      <c r="C212" s="10">
        <f t="shared" si="28"/>
        <v>4.5900178253119428</v>
      </c>
      <c r="D212" s="12">
        <f t="shared" si="29"/>
        <v>59.6202599533583</v>
      </c>
      <c r="E212" s="12">
        <f t="shared" si="30"/>
        <v>59.970592419477953</v>
      </c>
      <c r="F212" s="12">
        <f t="shared" si="31"/>
        <v>282.00051503573212</v>
      </c>
    </row>
    <row r="213" spans="2:6" ht="15" customHeight="1" x14ac:dyDescent="0.2">
      <c r="B213" s="5">
        <v>2070</v>
      </c>
      <c r="C213" s="10">
        <f t="shared" si="28"/>
        <v>4.6122994652406417</v>
      </c>
      <c r="D213" s="12">
        <f t="shared" si="29"/>
        <v>59.71388723587166</v>
      </c>
      <c r="E213" s="12">
        <f t="shared" si="30"/>
        <v>60.067629243618882</v>
      </c>
      <c r="F213" s="12">
        <f t="shared" si="31"/>
        <v>284.25841428895478</v>
      </c>
    </row>
    <row r="214" spans="2:6" ht="15" customHeight="1" x14ac:dyDescent="0.2">
      <c r="B214" s="5">
        <v>2080</v>
      </c>
      <c r="C214" s="10">
        <f t="shared" si="28"/>
        <v>4.6345811051693406</v>
      </c>
      <c r="D214" s="12">
        <f t="shared" si="29"/>
        <v>59.807967919268862</v>
      </c>
      <c r="E214" s="12">
        <f t="shared" si="30"/>
        <v>60.165135979741123</v>
      </c>
      <c r="F214" s="12">
        <f t="shared" si="31"/>
        <v>286.52724767899701</v>
      </c>
    </row>
    <row r="215" spans="2:6" ht="15" customHeight="1" x14ac:dyDescent="0.2">
      <c r="B215" s="5">
        <v>2090</v>
      </c>
      <c r="C215" s="10">
        <f t="shared" si="28"/>
        <v>4.6568627450980395</v>
      </c>
      <c r="D215" s="12">
        <f t="shared" si="29"/>
        <v>59.902502003549905</v>
      </c>
      <c r="E215" s="12">
        <f t="shared" si="30"/>
        <v>60.263112627844677</v>
      </c>
      <c r="F215" s="12">
        <f t="shared" si="31"/>
        <v>288.80701520585865</v>
      </c>
    </row>
    <row r="216" spans="2:6" ht="15" customHeight="1" x14ac:dyDescent="0.2">
      <c r="B216" s="5">
        <v>2100</v>
      </c>
      <c r="C216" s="10">
        <f t="shared" si="28"/>
        <v>4.6791443850267385</v>
      </c>
      <c r="D216" s="12">
        <f t="shared" si="29"/>
        <v>59.997489488714791</v>
      </c>
      <c r="E216" s="12">
        <f t="shared" si="30"/>
        <v>60.361559187929537</v>
      </c>
      <c r="F216" s="12">
        <f t="shared" si="31"/>
        <v>291.09771686953979</v>
      </c>
    </row>
    <row r="217" spans="2:6" ht="15" customHeight="1" x14ac:dyDescent="0.2">
      <c r="B217" s="5">
        <v>2110</v>
      </c>
      <c r="C217" s="10">
        <f t="shared" si="28"/>
        <v>4.7014260249554365</v>
      </c>
      <c r="D217" s="12">
        <f t="shared" si="29"/>
        <v>60.092930374763519</v>
      </c>
      <c r="E217" s="12">
        <f t="shared" si="30"/>
        <v>60.460475659995708</v>
      </c>
      <c r="F217" s="12">
        <f t="shared" si="31"/>
        <v>293.39935267004023</v>
      </c>
    </row>
    <row r="218" spans="2:6" ht="15" customHeight="1" x14ac:dyDescent="0.2">
      <c r="B218" s="5">
        <v>2120</v>
      </c>
      <c r="C218" s="10">
        <f t="shared" si="28"/>
        <v>4.7237076648841354</v>
      </c>
      <c r="D218" s="12">
        <f t="shared" si="29"/>
        <v>60.188824661696088</v>
      </c>
      <c r="E218" s="12">
        <f t="shared" si="30"/>
        <v>60.5598620440432</v>
      </c>
      <c r="F218" s="12">
        <f t="shared" si="31"/>
        <v>295.71192260736035</v>
      </c>
    </row>
    <row r="219" spans="2:6" ht="15" customHeight="1" x14ac:dyDescent="0.2">
      <c r="B219" s="5">
        <v>2130</v>
      </c>
      <c r="C219" s="10">
        <f t="shared" si="28"/>
        <v>4.7459893048128343</v>
      </c>
      <c r="D219" s="12">
        <f t="shared" si="29"/>
        <v>60.285172349512507</v>
      </c>
      <c r="E219" s="12">
        <f t="shared" si="30"/>
        <v>60.659718340071997</v>
      </c>
      <c r="F219" s="12">
        <f t="shared" si="31"/>
        <v>298.03542668149993</v>
      </c>
    </row>
    <row r="220" spans="2:6" ht="15" customHeight="1" x14ac:dyDescent="0.2">
      <c r="B220" s="5">
        <v>2140</v>
      </c>
      <c r="C220" s="10">
        <f t="shared" si="28"/>
        <v>4.7682709447415332</v>
      </c>
      <c r="D220" s="12">
        <f t="shared" si="29"/>
        <v>60.381973438212761</v>
      </c>
      <c r="E220" s="12">
        <f t="shared" si="30"/>
        <v>60.760044548082107</v>
      </c>
      <c r="F220" s="12">
        <f t="shared" si="31"/>
        <v>300.36986489245896</v>
      </c>
    </row>
    <row r="221" spans="2:6" ht="15" customHeight="1" x14ac:dyDescent="0.2">
      <c r="B221" s="5">
        <v>2150</v>
      </c>
      <c r="C221" s="10">
        <f t="shared" si="28"/>
        <v>4.7905525846702322</v>
      </c>
      <c r="D221" s="12">
        <f t="shared" si="29"/>
        <v>60.479227927796856</v>
      </c>
      <c r="E221" s="12">
        <f t="shared" si="30"/>
        <v>60.860840668073536</v>
      </c>
      <c r="F221" s="12">
        <f t="shared" si="31"/>
        <v>302.71523724023751</v>
      </c>
    </row>
    <row r="222" spans="2:6" ht="15" customHeight="1" x14ac:dyDescent="0.2">
      <c r="B222" s="5">
        <v>2160</v>
      </c>
      <c r="C222" s="10">
        <f t="shared" si="28"/>
        <v>4.8128342245989311</v>
      </c>
      <c r="D222" s="12">
        <f t="shared" si="29"/>
        <v>60.576935818264793</v>
      </c>
      <c r="E222" s="12">
        <f t="shared" si="30"/>
        <v>60.96210670004627</v>
      </c>
      <c r="F222" s="12">
        <f t="shared" si="31"/>
        <v>305.07154372483552</v>
      </c>
    </row>
    <row r="223" spans="2:6" ht="15" customHeight="1" x14ac:dyDescent="0.2">
      <c r="B223" s="5">
        <v>2170</v>
      </c>
      <c r="C223" s="10">
        <f t="shared" si="28"/>
        <v>4.8351158645276291</v>
      </c>
      <c r="D223" s="12">
        <f t="shared" si="29"/>
        <v>60.675097109616573</v>
      </c>
      <c r="E223" s="12">
        <f t="shared" si="30"/>
        <v>61.063842644000317</v>
      </c>
      <c r="F223" s="12">
        <f t="shared" si="31"/>
        <v>307.43878434625293</v>
      </c>
    </row>
    <row r="224" spans="2:6" ht="15" customHeight="1" x14ac:dyDescent="0.2">
      <c r="B224" s="5">
        <v>2180</v>
      </c>
      <c r="C224" s="10">
        <f t="shared" si="28"/>
        <v>4.857397504456328</v>
      </c>
      <c r="D224" s="12">
        <f t="shared" si="29"/>
        <v>60.773711801852194</v>
      </c>
      <c r="E224" s="12">
        <f t="shared" si="30"/>
        <v>61.16604849993567</v>
      </c>
      <c r="F224" s="12">
        <f t="shared" si="31"/>
        <v>309.81695910448991</v>
      </c>
    </row>
    <row r="225" spans="2:6" ht="15" customHeight="1" x14ac:dyDescent="0.2">
      <c r="B225" s="5">
        <v>2190</v>
      </c>
      <c r="C225" s="10">
        <f t="shared" si="28"/>
        <v>4.8796791443850269</v>
      </c>
      <c r="D225" s="12">
        <f t="shared" si="29"/>
        <v>60.872779894971657</v>
      </c>
      <c r="E225" s="12">
        <f t="shared" si="30"/>
        <v>61.268724267852349</v>
      </c>
      <c r="F225" s="12">
        <f t="shared" si="31"/>
        <v>312.20606799954635</v>
      </c>
    </row>
    <row r="226" spans="2:6" ht="15" customHeight="1" x14ac:dyDescent="0.2">
      <c r="B226" s="5">
        <v>2200</v>
      </c>
      <c r="C226" s="10">
        <f t="shared" si="28"/>
        <v>4.9019607843137258</v>
      </c>
      <c r="D226" s="12">
        <f t="shared" si="29"/>
        <v>60.972301388974969</v>
      </c>
      <c r="E226" s="12">
        <f t="shared" si="30"/>
        <v>61.371869947750326</v>
      </c>
      <c r="F226" s="12">
        <f t="shared" si="31"/>
        <v>314.6061110314223</v>
      </c>
    </row>
    <row r="227" spans="2:6" ht="15" customHeight="1" x14ac:dyDescent="0.2">
      <c r="B227" s="5">
        <v>2210</v>
      </c>
      <c r="C227" s="10">
        <f t="shared" si="28"/>
        <v>4.9242424242424248</v>
      </c>
      <c r="D227" s="12">
        <f t="shared" si="29"/>
        <v>61.072276283862116</v>
      </c>
      <c r="E227" s="12">
        <f t="shared" si="30"/>
        <v>61.475485539629624</v>
      </c>
      <c r="F227" s="12">
        <f t="shared" si="31"/>
        <v>317.01708820011771</v>
      </c>
    </row>
    <row r="228" spans="2:6" ht="15" customHeight="1" x14ac:dyDescent="0.2">
      <c r="B228" s="5">
        <v>2220</v>
      </c>
      <c r="C228" s="10">
        <f t="shared" si="28"/>
        <v>4.9465240641711228</v>
      </c>
      <c r="D228" s="12">
        <f t="shared" si="29"/>
        <v>61.172704579633105</v>
      </c>
      <c r="E228" s="12">
        <f t="shared" si="30"/>
        <v>61.579571043490233</v>
      </c>
      <c r="F228" s="12">
        <f t="shared" si="31"/>
        <v>319.43899950563252</v>
      </c>
    </row>
    <row r="229" spans="2:6" ht="15" customHeight="1" x14ac:dyDescent="0.2">
      <c r="B229" s="5">
        <v>2230</v>
      </c>
      <c r="C229" s="10">
        <f t="shared" si="28"/>
        <v>4.9688057040998217</v>
      </c>
      <c r="D229" s="12">
        <f t="shared" si="29"/>
        <v>61.273586276287929</v>
      </c>
      <c r="E229" s="12">
        <f t="shared" si="30"/>
        <v>61.684126459332148</v>
      </c>
      <c r="F229" s="12">
        <f t="shared" si="31"/>
        <v>321.87184494796685</v>
      </c>
    </row>
    <row r="230" spans="2:6" ht="15" customHeight="1" x14ac:dyDescent="0.2">
      <c r="B230" s="5">
        <v>2240</v>
      </c>
      <c r="C230" s="10">
        <f t="shared" si="28"/>
        <v>4.9910873440285206</v>
      </c>
      <c r="D230" s="12">
        <f t="shared" si="29"/>
        <v>61.374921373826609</v>
      </c>
      <c r="E230" s="12">
        <f t="shared" si="30"/>
        <v>61.789151787155383</v>
      </c>
      <c r="F230" s="12">
        <f t="shared" si="31"/>
        <v>324.31562452712075</v>
      </c>
    </row>
    <row r="231" spans="2:6" ht="15" customHeight="1" x14ac:dyDescent="0.2">
      <c r="B231" s="5">
        <v>2250</v>
      </c>
      <c r="C231" s="10">
        <f t="shared" si="28"/>
        <v>5.0133689839572195</v>
      </c>
      <c r="D231" s="12">
        <f t="shared" si="29"/>
        <v>61.476709872249124</v>
      </c>
      <c r="E231" s="12">
        <f t="shared" si="30"/>
        <v>61.89464702695993</v>
      </c>
      <c r="F231" s="12">
        <f t="shared" si="31"/>
        <v>326.7703382430941</v>
      </c>
    </row>
    <row r="232" spans="2:6" ht="15" customHeight="1" x14ac:dyDescent="0.2">
      <c r="B232" s="5">
        <v>2260</v>
      </c>
      <c r="C232" s="10">
        <f t="shared" si="28"/>
        <v>5.0356506238859184</v>
      </c>
      <c r="D232" s="12">
        <f t="shared" si="29"/>
        <v>61.578951771555481</v>
      </c>
      <c r="E232" s="12">
        <f t="shared" si="30"/>
        <v>62.000612178745783</v>
      </c>
      <c r="F232" s="12">
        <f t="shared" si="31"/>
        <v>329.23598609588691</v>
      </c>
    </row>
    <row r="233" spans="2:6" ht="15" customHeight="1" x14ac:dyDescent="0.2">
      <c r="B233" s="5">
        <v>2270</v>
      </c>
      <c r="C233" s="10">
        <f t="shared" si="28"/>
        <v>5.0579322638146174</v>
      </c>
      <c r="D233" s="12">
        <f t="shared" si="29"/>
        <v>61.681647071745687</v>
      </c>
      <c r="E233" s="12">
        <f t="shared" si="30"/>
        <v>62.107047242512948</v>
      </c>
      <c r="F233" s="12">
        <f t="shared" si="31"/>
        <v>331.71256808549919</v>
      </c>
    </row>
    <row r="234" spans="2:6" ht="15" customHeight="1" x14ac:dyDescent="0.2">
      <c r="B234" s="5">
        <v>2280</v>
      </c>
      <c r="C234" s="10">
        <f t="shared" si="28"/>
        <v>5.0802139037433154</v>
      </c>
      <c r="D234" s="12">
        <f t="shared" si="29"/>
        <v>61.78479577281972</v>
      </c>
      <c r="E234" s="12">
        <f t="shared" si="30"/>
        <v>62.213952218261426</v>
      </c>
      <c r="F234" s="12">
        <f t="shared" si="31"/>
        <v>334.20008421193091</v>
      </c>
    </row>
    <row r="235" spans="2:6" ht="15" customHeight="1" x14ac:dyDescent="0.2">
      <c r="B235" s="5">
        <v>2290</v>
      </c>
      <c r="C235" s="10">
        <f t="shared" si="28"/>
        <v>5.1024955436720143</v>
      </c>
      <c r="D235" s="12">
        <f t="shared" si="29"/>
        <v>61.88839787477761</v>
      </c>
      <c r="E235" s="12">
        <f t="shared" si="30"/>
        <v>62.321327105991216</v>
      </c>
      <c r="F235" s="12">
        <f t="shared" si="31"/>
        <v>336.6985344751821</v>
      </c>
    </row>
    <row r="236" spans="2:6" ht="15" customHeight="1" x14ac:dyDescent="0.2">
      <c r="B236" s="5">
        <v>2300</v>
      </c>
      <c r="C236" s="10">
        <f t="shared" si="28"/>
        <v>5.1247771836007132</v>
      </c>
      <c r="D236" s="12">
        <f t="shared" si="29"/>
        <v>61.992453377619334</v>
      </c>
      <c r="E236" s="12">
        <f t="shared" si="30"/>
        <v>62.429171905702319</v>
      </c>
      <c r="F236" s="12">
        <f t="shared" si="31"/>
        <v>339.20791887525286</v>
      </c>
    </row>
    <row r="237" spans="2:6" ht="15" customHeight="1" x14ac:dyDescent="0.2">
      <c r="B237" s="5">
        <v>2310</v>
      </c>
      <c r="C237" s="10">
        <f t="shared" si="28"/>
        <v>5.1470588235294121</v>
      </c>
      <c r="D237" s="12">
        <f t="shared" si="29"/>
        <v>62.096962281344901</v>
      </c>
      <c r="E237" s="12">
        <f t="shared" si="30"/>
        <v>62.537486617394741</v>
      </c>
      <c r="F237" s="12">
        <f t="shared" si="31"/>
        <v>341.72823741214307</v>
      </c>
    </row>
    <row r="238" spans="2:6" ht="15" customHeight="1" x14ac:dyDescent="0.2">
      <c r="B238" s="5">
        <v>2320</v>
      </c>
      <c r="C238" s="10">
        <f t="shared" si="28"/>
        <v>5.169340463458111</v>
      </c>
      <c r="D238" s="12">
        <f t="shared" si="29"/>
        <v>62.201924585954309</v>
      </c>
      <c r="E238" s="12">
        <f t="shared" si="30"/>
        <v>62.646271241068469</v>
      </c>
      <c r="F238" s="12">
        <f t="shared" si="31"/>
        <v>344.2594900858528</v>
      </c>
    </row>
    <row r="239" spans="2:6" ht="15" customHeight="1" x14ac:dyDescent="0.2">
      <c r="B239" s="5">
        <v>2330</v>
      </c>
      <c r="C239" s="10">
        <f t="shared" si="28"/>
        <v>5.1916221033868091</v>
      </c>
      <c r="D239" s="12">
        <f t="shared" si="29"/>
        <v>62.307340291447559</v>
      </c>
      <c r="E239" s="12">
        <f t="shared" si="30"/>
        <v>62.755525776723502</v>
      </c>
      <c r="F239" s="12">
        <f t="shared" si="31"/>
        <v>346.80167689638188</v>
      </c>
    </row>
    <row r="240" spans="2:6" ht="15" customHeight="1" x14ac:dyDescent="0.2">
      <c r="B240" s="5">
        <v>2340</v>
      </c>
      <c r="C240" s="10">
        <f t="shared" si="28"/>
        <v>5.213903743315508</v>
      </c>
      <c r="D240" s="12">
        <f t="shared" si="29"/>
        <v>62.413209397824652</v>
      </c>
      <c r="E240" s="12">
        <f t="shared" si="30"/>
        <v>62.865250224359855</v>
      </c>
      <c r="F240" s="12">
        <f t="shared" si="31"/>
        <v>349.35479784373052</v>
      </c>
    </row>
    <row r="241" spans="2:6" ht="15" customHeight="1" x14ac:dyDescent="0.2">
      <c r="B241" s="5">
        <v>2350</v>
      </c>
      <c r="C241" s="10">
        <f t="shared" si="28"/>
        <v>5.2361853832442069</v>
      </c>
      <c r="D241" s="12">
        <f t="shared" si="29"/>
        <v>62.519531905085586</v>
      </c>
      <c r="E241" s="12">
        <f t="shared" si="30"/>
        <v>62.97544458397752</v>
      </c>
      <c r="F241" s="12">
        <f t="shared" si="31"/>
        <v>351.91885292789868</v>
      </c>
    </row>
    <row r="242" spans="2:6" ht="15" customHeight="1" x14ac:dyDescent="0.2">
      <c r="B242" s="5">
        <v>2360</v>
      </c>
      <c r="C242" s="10">
        <f t="shared" si="28"/>
        <v>5.2584670231729058</v>
      </c>
      <c r="D242" s="12">
        <f t="shared" si="29"/>
        <v>62.626307813230369</v>
      </c>
      <c r="E242" s="12">
        <f t="shared" si="30"/>
        <v>63.086108855576498</v>
      </c>
      <c r="F242" s="12">
        <f t="shared" si="31"/>
        <v>354.4938421488863</v>
      </c>
    </row>
    <row r="243" spans="2:6" ht="15" customHeight="1" x14ac:dyDescent="0.2">
      <c r="B243" s="5">
        <v>2370</v>
      </c>
      <c r="C243" s="10">
        <f t="shared" si="28"/>
        <v>5.2807486631016047</v>
      </c>
      <c r="D243" s="12">
        <f t="shared" si="29"/>
        <v>62.733537122258987</v>
      </c>
      <c r="E243" s="12">
        <f t="shared" si="30"/>
        <v>63.197243039156781</v>
      </c>
      <c r="F243" s="12">
        <f t="shared" si="31"/>
        <v>357.07976550669338</v>
      </c>
    </row>
    <row r="244" spans="2:6" ht="15" customHeight="1" x14ac:dyDescent="0.2">
      <c r="B244" s="5">
        <v>2380</v>
      </c>
      <c r="C244" s="10">
        <f t="shared" si="28"/>
        <v>5.3030303030303036</v>
      </c>
      <c r="D244" s="12">
        <f t="shared" si="29"/>
        <v>62.841219832171447</v>
      </c>
      <c r="E244" s="12">
        <f t="shared" si="30"/>
        <v>63.308847134718384</v>
      </c>
      <c r="F244" s="12">
        <f t="shared" si="31"/>
        <v>359.67662300131997</v>
      </c>
    </row>
    <row r="245" spans="2:6" ht="15" customHeight="1" x14ac:dyDescent="0.2">
      <c r="B245" s="5">
        <v>2390</v>
      </c>
      <c r="C245" s="10">
        <f t="shared" si="28"/>
        <v>5.3253119429590017</v>
      </c>
      <c r="D245" s="12">
        <f t="shared" si="29"/>
        <v>62.949355942967749</v>
      </c>
      <c r="E245" s="12">
        <f t="shared" si="30"/>
        <v>63.420921142261292</v>
      </c>
      <c r="F245" s="12">
        <f t="shared" si="31"/>
        <v>362.2844146327659</v>
      </c>
    </row>
    <row r="246" spans="2:6" ht="15" customHeight="1" x14ac:dyDescent="0.2">
      <c r="B246" s="5">
        <v>2400</v>
      </c>
      <c r="C246" s="10">
        <f t="shared" si="28"/>
        <v>5.3475935828877006</v>
      </c>
      <c r="D246" s="12">
        <f t="shared" si="29"/>
        <v>63.057945454647893</v>
      </c>
      <c r="E246" s="12">
        <f t="shared" si="30"/>
        <v>63.533465061785513</v>
      </c>
      <c r="F246" s="12">
        <f t="shared" si="31"/>
        <v>364.90314040103146</v>
      </c>
    </row>
    <row r="247" spans="2:6" ht="15" customHeight="1" x14ac:dyDescent="0.2">
      <c r="B247" s="5">
        <v>2410</v>
      </c>
      <c r="C247" s="10">
        <f t="shared" si="28"/>
        <v>5.3698752228163995</v>
      </c>
      <c r="D247" s="12">
        <f t="shared" si="29"/>
        <v>63.166988367211879</v>
      </c>
      <c r="E247" s="12">
        <f t="shared" si="30"/>
        <v>63.646478893291054</v>
      </c>
      <c r="F247" s="12">
        <f t="shared" si="31"/>
        <v>367.53280030611648</v>
      </c>
    </row>
    <row r="248" spans="2:6" ht="15" customHeight="1" x14ac:dyDescent="0.2">
      <c r="B248" s="5">
        <v>2420</v>
      </c>
      <c r="C248" s="10">
        <f t="shared" si="28"/>
        <v>5.3921568627450984</v>
      </c>
      <c r="D248" s="12">
        <f t="shared" si="29"/>
        <v>63.276484680659706</v>
      </c>
      <c r="E248" s="12">
        <f t="shared" si="30"/>
        <v>63.7599626367779</v>
      </c>
      <c r="F248" s="12">
        <f t="shared" si="31"/>
        <v>370.17339434802102</v>
      </c>
    </row>
    <row r="249" spans="2:6" ht="15" customHeight="1" x14ac:dyDescent="0.2">
      <c r="B249" s="5">
        <v>2430</v>
      </c>
      <c r="C249" s="10">
        <f t="shared" si="28"/>
        <v>5.4144385026737973</v>
      </c>
      <c r="D249" s="12">
        <f t="shared" si="29"/>
        <v>63.386434394991383</v>
      </c>
      <c r="E249" s="12">
        <f t="shared" si="30"/>
        <v>63.873916292246058</v>
      </c>
      <c r="F249" s="12">
        <f t="shared" si="31"/>
        <v>372.82492252674496</v>
      </c>
    </row>
    <row r="250" spans="2:6" ht="15" customHeight="1" x14ac:dyDescent="0.2">
      <c r="B250" s="5">
        <v>2440</v>
      </c>
      <c r="C250" s="10">
        <f t="shared" si="28"/>
        <v>5.4367201426024954</v>
      </c>
      <c r="D250" s="12">
        <f t="shared" si="29"/>
        <v>63.496837510206888</v>
      </c>
      <c r="E250" s="12">
        <f t="shared" si="30"/>
        <v>63.988339859695529</v>
      </c>
      <c r="F250" s="12">
        <f t="shared" si="31"/>
        <v>375.48738484228835</v>
      </c>
    </row>
    <row r="251" spans="2:6" ht="15" customHeight="1" x14ac:dyDescent="0.2">
      <c r="B251" s="5">
        <v>2450</v>
      </c>
      <c r="C251" s="10">
        <f t="shared" si="28"/>
        <v>5.4590017825311943</v>
      </c>
      <c r="D251" s="12">
        <f t="shared" si="29"/>
        <v>63.607694026306248</v>
      </c>
      <c r="E251" s="12">
        <f t="shared" si="30"/>
        <v>64.103233339126319</v>
      </c>
      <c r="F251" s="12">
        <f t="shared" si="31"/>
        <v>378.16078129465126</v>
      </c>
    </row>
    <row r="252" spans="2:6" ht="15" customHeight="1" x14ac:dyDescent="0.2">
      <c r="B252" s="5">
        <v>2460</v>
      </c>
      <c r="C252" s="10">
        <f t="shared" si="28"/>
        <v>5.4812834224598932</v>
      </c>
      <c r="D252" s="12">
        <f t="shared" si="29"/>
        <v>63.719003943289444</v>
      </c>
      <c r="E252" s="12">
        <f t="shared" si="30"/>
        <v>64.218596730538408</v>
      </c>
      <c r="F252" s="12">
        <f t="shared" si="31"/>
        <v>380.84511188383368</v>
      </c>
    </row>
    <row r="253" spans="2:6" ht="15" customHeight="1" x14ac:dyDescent="0.2">
      <c r="B253" s="5">
        <v>2470</v>
      </c>
      <c r="C253" s="10">
        <f t="shared" si="28"/>
        <v>5.5035650623885921</v>
      </c>
      <c r="D253" s="12">
        <f t="shared" si="29"/>
        <v>63.830767261156481</v>
      </c>
      <c r="E253" s="12">
        <f t="shared" si="30"/>
        <v>64.33443003393181</v>
      </c>
      <c r="F253" s="12">
        <f t="shared" si="31"/>
        <v>383.54037660983562</v>
      </c>
    </row>
    <row r="254" spans="2:6" ht="15" customHeight="1" x14ac:dyDescent="0.2">
      <c r="B254" s="5">
        <v>2480</v>
      </c>
      <c r="C254" s="10">
        <f t="shared" si="28"/>
        <v>5.525846702317291</v>
      </c>
      <c r="D254" s="12">
        <f t="shared" si="29"/>
        <v>63.94298397990736</v>
      </c>
      <c r="E254" s="12">
        <f t="shared" si="30"/>
        <v>64.450733249306538</v>
      </c>
      <c r="F254" s="12">
        <f t="shared" si="31"/>
        <v>386.24657547265696</v>
      </c>
    </row>
    <row r="255" spans="2:6" ht="15" customHeight="1" x14ac:dyDescent="0.2">
      <c r="B255" s="5">
        <v>2490</v>
      </c>
      <c r="C255" s="10">
        <f t="shared" si="28"/>
        <v>5.5481283422459899</v>
      </c>
      <c r="D255" s="12">
        <f t="shared" si="29"/>
        <v>64.055654099542082</v>
      </c>
      <c r="E255" s="12">
        <f t="shared" si="30"/>
        <v>64.567506376662564</v>
      </c>
      <c r="F255" s="12">
        <f t="shared" si="31"/>
        <v>388.96370847229787</v>
      </c>
    </row>
    <row r="256" spans="2:6" ht="15" customHeight="1" x14ac:dyDescent="0.2">
      <c r="B256" s="5">
        <v>2500</v>
      </c>
      <c r="C256" s="10">
        <f t="shared" si="28"/>
        <v>5.570409982174688</v>
      </c>
      <c r="D256" s="12">
        <f t="shared" si="29"/>
        <v>64.168777620060652</v>
      </c>
      <c r="E256" s="12">
        <f t="shared" si="30"/>
        <v>64.684749415999903</v>
      </c>
      <c r="F256" s="12">
        <f t="shared" si="31"/>
        <v>391.69177560875806</v>
      </c>
    </row>
    <row r="257" spans="2:6" ht="15" customHeight="1" x14ac:dyDescent="0.2">
      <c r="B257" s="5">
        <v>2510</v>
      </c>
      <c r="C257" s="10">
        <f t="shared" si="28"/>
        <v>5.5926916221033869</v>
      </c>
      <c r="D257" s="12">
        <f t="shared" si="29"/>
        <v>64.28235454146305</v>
      </c>
      <c r="E257" s="12">
        <f t="shared" si="30"/>
        <v>64.802462367318554</v>
      </c>
      <c r="F257" s="12">
        <f t="shared" si="31"/>
        <v>394.43077688203789</v>
      </c>
    </row>
    <row r="258" spans="2:6" ht="15" customHeight="1" x14ac:dyDescent="0.2">
      <c r="B258" s="5">
        <v>2520</v>
      </c>
      <c r="C258" s="10">
        <f t="shared" si="28"/>
        <v>5.6149732620320858</v>
      </c>
      <c r="D258" s="12">
        <f t="shared" si="29"/>
        <v>64.396384863749304</v>
      </c>
      <c r="E258" s="12">
        <f t="shared" si="30"/>
        <v>64.920645230618533</v>
      </c>
      <c r="F258" s="12">
        <f t="shared" si="31"/>
        <v>397.18071229213723</v>
      </c>
    </row>
    <row r="259" spans="2:6" ht="15" customHeight="1" x14ac:dyDescent="0.2">
      <c r="B259" s="5">
        <v>2530</v>
      </c>
      <c r="C259" s="10">
        <f t="shared" ref="C259:C306" si="32">B259*(1/(7.48*60))</f>
        <v>5.6372549019607847</v>
      </c>
      <c r="D259" s="12">
        <f t="shared" si="29"/>
        <v>64.510868586919401</v>
      </c>
      <c r="E259" s="12">
        <f t="shared" si="30"/>
        <v>65.039298005899809</v>
      </c>
      <c r="F259" s="12">
        <f t="shared" si="31"/>
        <v>399.94158183905603</v>
      </c>
    </row>
    <row r="260" spans="2:6" ht="15" customHeight="1" x14ac:dyDescent="0.2">
      <c r="B260" s="5">
        <v>2540</v>
      </c>
      <c r="C260" s="10">
        <f t="shared" si="32"/>
        <v>5.6595365418894836</v>
      </c>
      <c r="D260" s="12">
        <f t="shared" si="29"/>
        <v>64.625805710973324</v>
      </c>
      <c r="E260" s="12">
        <f t="shared" si="30"/>
        <v>65.158420693162398</v>
      </c>
      <c r="F260" s="12">
        <f t="shared" si="31"/>
        <v>402.71338552279423</v>
      </c>
    </row>
    <row r="261" spans="2:6" ht="15" customHeight="1" x14ac:dyDescent="0.2">
      <c r="B261" s="5">
        <v>2550</v>
      </c>
      <c r="C261" s="10">
        <f t="shared" si="32"/>
        <v>5.6818181818181817</v>
      </c>
      <c r="D261" s="12">
        <f t="shared" si="29"/>
        <v>64.741196235911104</v>
      </c>
      <c r="E261" s="12">
        <f t="shared" si="30"/>
        <v>65.2780132924063</v>
      </c>
      <c r="F261" s="12">
        <f t="shared" si="31"/>
        <v>405.49612334335188</v>
      </c>
    </row>
    <row r="262" spans="2:6" ht="15" customHeight="1" x14ac:dyDescent="0.2">
      <c r="B262" s="5">
        <v>2560</v>
      </c>
      <c r="C262" s="10">
        <f t="shared" si="32"/>
        <v>5.7040998217468806</v>
      </c>
      <c r="D262" s="12">
        <f t="shared" ref="D262:D306" si="33">$S$6+((1/(2*$S$9*((PI()/4)*($S$5)^2)^2))*($AA$5*($S$3/$S$5)+2*$V$5+$X$5))*($C262^2)</f>
        <v>64.857040161732712</v>
      </c>
      <c r="E262" s="12">
        <f t="shared" ref="E262:E306" si="34">$S$6+((1/(2*$S$9*((PI()/4)*($S$5)^2)^2))*($Z$5*($S$3/$S$5)+2*$V$5+$X$5))*($C262^2)</f>
        <v>65.398075803631514</v>
      </c>
      <c r="F262" s="12">
        <f t="shared" si="31"/>
        <v>408.28979530072911</v>
      </c>
    </row>
    <row r="263" spans="2:6" ht="15" customHeight="1" x14ac:dyDescent="0.2">
      <c r="B263" s="5">
        <v>2570</v>
      </c>
      <c r="C263" s="10">
        <f t="shared" si="32"/>
        <v>5.7263814616755795</v>
      </c>
      <c r="D263" s="12">
        <f t="shared" si="33"/>
        <v>64.973337488438176</v>
      </c>
      <c r="E263" s="12">
        <f t="shared" si="34"/>
        <v>65.51860822683804</v>
      </c>
      <c r="F263" s="12">
        <f t="shared" ref="F263:F306" si="35">$S$6+((1/(2*$S$9*((PI()/4)*($S$5)^2)^2))*($AA$5*($S$3/$S$5)+2*$V$5+$AQ$16))*($C263^2)</f>
        <v>411.09440139492585</v>
      </c>
    </row>
    <row r="264" spans="2:6" ht="15" customHeight="1" x14ac:dyDescent="0.2">
      <c r="B264" s="5">
        <v>2580</v>
      </c>
      <c r="C264" s="10">
        <f t="shared" si="32"/>
        <v>5.7486631016042784</v>
      </c>
      <c r="D264" s="12">
        <f t="shared" si="33"/>
        <v>65.090088216027468</v>
      </c>
      <c r="E264" s="12">
        <f t="shared" si="34"/>
        <v>65.639610562025894</v>
      </c>
      <c r="F264" s="12">
        <f t="shared" si="35"/>
        <v>413.909941625942</v>
      </c>
    </row>
    <row r="265" spans="2:6" ht="15" customHeight="1" x14ac:dyDescent="0.2">
      <c r="B265" s="5">
        <v>2590</v>
      </c>
      <c r="C265" s="10">
        <f t="shared" si="32"/>
        <v>5.7709447415329773</v>
      </c>
      <c r="D265" s="12">
        <f t="shared" si="33"/>
        <v>65.207292344500615</v>
      </c>
      <c r="E265" s="12">
        <f t="shared" si="34"/>
        <v>65.761082809195045</v>
      </c>
      <c r="F265" s="12">
        <f t="shared" si="35"/>
        <v>416.73641599377771</v>
      </c>
    </row>
    <row r="266" spans="2:6" ht="15" customHeight="1" x14ac:dyDescent="0.2">
      <c r="B266" s="5">
        <v>2600</v>
      </c>
      <c r="C266" s="10">
        <f t="shared" si="32"/>
        <v>5.7932263814616762</v>
      </c>
      <c r="D266" s="12">
        <f t="shared" si="33"/>
        <v>65.324949873857605</v>
      </c>
      <c r="E266" s="12">
        <f t="shared" si="34"/>
        <v>65.883024968345495</v>
      </c>
      <c r="F266" s="12">
        <f t="shared" si="35"/>
        <v>419.57382449843283</v>
      </c>
    </row>
    <row r="267" spans="2:6" ht="15" customHeight="1" x14ac:dyDescent="0.2">
      <c r="B267" s="5">
        <v>2610</v>
      </c>
      <c r="C267" s="10">
        <f t="shared" si="32"/>
        <v>5.8155080213903743</v>
      </c>
      <c r="D267" s="12">
        <f t="shared" si="33"/>
        <v>65.443060804098423</v>
      </c>
      <c r="E267" s="12">
        <f t="shared" si="34"/>
        <v>66.005437039477272</v>
      </c>
      <c r="F267" s="12">
        <f t="shared" si="35"/>
        <v>422.42216713990734</v>
      </c>
    </row>
    <row r="268" spans="2:6" ht="15" customHeight="1" x14ac:dyDescent="0.2">
      <c r="B268" s="5">
        <v>2620</v>
      </c>
      <c r="C268" s="10">
        <f t="shared" si="32"/>
        <v>5.8377896613190732</v>
      </c>
      <c r="D268" s="12">
        <f t="shared" si="33"/>
        <v>65.561625135223096</v>
      </c>
      <c r="E268" s="12">
        <f t="shared" si="34"/>
        <v>66.128319022590361</v>
      </c>
      <c r="F268" s="12">
        <f t="shared" si="35"/>
        <v>425.28144391820143</v>
      </c>
    </row>
    <row r="269" spans="2:6" ht="15" customHeight="1" x14ac:dyDescent="0.2">
      <c r="B269" s="5">
        <v>2630</v>
      </c>
      <c r="C269" s="10">
        <f t="shared" si="32"/>
        <v>5.8600713012477721</v>
      </c>
      <c r="D269" s="12">
        <f t="shared" si="33"/>
        <v>65.680642867231597</v>
      </c>
      <c r="E269" s="12">
        <f t="shared" si="34"/>
        <v>66.251670917684763</v>
      </c>
      <c r="F269" s="12">
        <f t="shared" si="35"/>
        <v>428.15165483331504</v>
      </c>
    </row>
    <row r="270" spans="2:6" ht="15" customHeight="1" x14ac:dyDescent="0.2">
      <c r="B270" s="5">
        <v>2640</v>
      </c>
      <c r="C270" s="10">
        <f t="shared" si="32"/>
        <v>5.882352941176471</v>
      </c>
      <c r="D270" s="12">
        <f t="shared" si="33"/>
        <v>65.800114000123955</v>
      </c>
      <c r="E270" s="12">
        <f t="shared" si="34"/>
        <v>66.375492724760477</v>
      </c>
      <c r="F270" s="12">
        <f t="shared" si="35"/>
        <v>431.03279988524815</v>
      </c>
    </row>
    <row r="271" spans="2:6" ht="15" customHeight="1" x14ac:dyDescent="0.2">
      <c r="B271" s="5">
        <v>2650</v>
      </c>
      <c r="C271" s="10">
        <f t="shared" si="32"/>
        <v>5.9046345811051699</v>
      </c>
      <c r="D271" s="12">
        <f t="shared" si="33"/>
        <v>65.92003853390014</v>
      </c>
      <c r="E271" s="12">
        <f t="shared" si="34"/>
        <v>66.499784443817504</v>
      </c>
      <c r="F271" s="12">
        <f t="shared" si="35"/>
        <v>433.92487907400067</v>
      </c>
    </row>
    <row r="272" spans="2:6" ht="15" customHeight="1" x14ac:dyDescent="0.2">
      <c r="B272" s="5">
        <v>2660</v>
      </c>
      <c r="C272" s="10">
        <f t="shared" si="32"/>
        <v>5.9269162210338679</v>
      </c>
      <c r="D272" s="12">
        <f t="shared" si="33"/>
        <v>66.040416468560181</v>
      </c>
      <c r="E272" s="12">
        <f t="shared" si="34"/>
        <v>66.624546074855829</v>
      </c>
      <c r="F272" s="12">
        <f t="shared" si="35"/>
        <v>436.82789239957259</v>
      </c>
    </row>
    <row r="273" spans="2:6" ht="15" customHeight="1" x14ac:dyDescent="0.2">
      <c r="B273" s="5">
        <v>2670</v>
      </c>
      <c r="C273" s="10">
        <f t="shared" si="32"/>
        <v>5.9491978609625669</v>
      </c>
      <c r="D273" s="12">
        <f t="shared" si="33"/>
        <v>66.16124780410405</v>
      </c>
      <c r="E273" s="12">
        <f t="shared" si="34"/>
        <v>66.74977761787548</v>
      </c>
      <c r="F273" s="12">
        <f t="shared" si="35"/>
        <v>439.74183986196408</v>
      </c>
    </row>
    <row r="274" spans="2:6" ht="15" customHeight="1" x14ac:dyDescent="0.2">
      <c r="B274" s="5">
        <v>2680</v>
      </c>
      <c r="C274" s="10">
        <f t="shared" si="32"/>
        <v>5.9714795008912658</v>
      </c>
      <c r="D274" s="12">
        <f t="shared" si="33"/>
        <v>66.282532540531776</v>
      </c>
      <c r="E274" s="12">
        <f t="shared" si="34"/>
        <v>66.875479072876431</v>
      </c>
      <c r="F274" s="12">
        <f t="shared" si="35"/>
        <v>442.66672146117503</v>
      </c>
    </row>
    <row r="275" spans="2:6" ht="15" customHeight="1" x14ac:dyDescent="0.2">
      <c r="B275" s="5">
        <v>2690</v>
      </c>
      <c r="C275" s="10">
        <f t="shared" si="32"/>
        <v>5.9937611408199647</v>
      </c>
      <c r="D275" s="12">
        <f t="shared" si="33"/>
        <v>66.404270677843328</v>
      </c>
      <c r="E275" s="12">
        <f t="shared" si="34"/>
        <v>67.001650439858707</v>
      </c>
      <c r="F275" s="12">
        <f t="shared" si="35"/>
        <v>445.60253719720555</v>
      </c>
    </row>
    <row r="276" spans="2:6" ht="15" customHeight="1" x14ac:dyDescent="0.2">
      <c r="B276" s="5">
        <v>2700</v>
      </c>
      <c r="C276" s="10">
        <f t="shared" si="32"/>
        <v>6.0160427807486636</v>
      </c>
      <c r="D276" s="12">
        <f t="shared" si="33"/>
        <v>66.526462216038738</v>
      </c>
      <c r="E276" s="12">
        <f t="shared" si="34"/>
        <v>67.128291718822297</v>
      </c>
      <c r="F276" s="12">
        <f t="shared" si="35"/>
        <v>448.54928707005553</v>
      </c>
    </row>
    <row r="277" spans="2:6" ht="15" customHeight="1" x14ac:dyDescent="0.2">
      <c r="B277" s="5">
        <v>2710</v>
      </c>
      <c r="C277" s="10">
        <f t="shared" si="32"/>
        <v>6.0383244206773625</v>
      </c>
      <c r="D277" s="12">
        <f t="shared" si="33"/>
        <v>66.649107155117989</v>
      </c>
      <c r="E277" s="12">
        <f t="shared" si="34"/>
        <v>67.255402909767184</v>
      </c>
      <c r="F277" s="12">
        <f t="shared" si="35"/>
        <v>451.50697107972491</v>
      </c>
    </row>
    <row r="278" spans="2:6" ht="15" customHeight="1" x14ac:dyDescent="0.2">
      <c r="B278" s="5">
        <v>2720</v>
      </c>
      <c r="C278" s="10">
        <f t="shared" si="32"/>
        <v>6.0606060606060606</v>
      </c>
      <c r="D278" s="12">
        <f t="shared" si="33"/>
        <v>66.772205495081067</v>
      </c>
      <c r="E278" s="12">
        <f t="shared" si="34"/>
        <v>67.382984012693385</v>
      </c>
      <c r="F278" s="12">
        <f t="shared" si="35"/>
        <v>454.47558922621369</v>
      </c>
    </row>
    <row r="279" spans="2:6" ht="15" customHeight="1" x14ac:dyDescent="0.2">
      <c r="B279" s="5">
        <v>2730</v>
      </c>
      <c r="C279" s="10">
        <f t="shared" si="32"/>
        <v>6.0828877005347595</v>
      </c>
      <c r="D279" s="12">
        <f t="shared" si="33"/>
        <v>66.895757235928002</v>
      </c>
      <c r="E279" s="12">
        <f t="shared" si="34"/>
        <v>67.511035027600911</v>
      </c>
      <c r="F279" s="12">
        <f t="shared" si="35"/>
        <v>457.45514150952215</v>
      </c>
    </row>
    <row r="280" spans="2:6" ht="15" customHeight="1" x14ac:dyDescent="0.2">
      <c r="B280" s="5">
        <v>2740</v>
      </c>
      <c r="C280" s="10">
        <f t="shared" si="32"/>
        <v>6.1051693404634584</v>
      </c>
      <c r="D280" s="12">
        <f t="shared" si="33"/>
        <v>67.019762377658765</v>
      </c>
      <c r="E280" s="12">
        <f t="shared" si="34"/>
        <v>67.639555954489751</v>
      </c>
      <c r="F280" s="12">
        <f t="shared" si="35"/>
        <v>460.44562792965002</v>
      </c>
    </row>
    <row r="281" spans="2:6" ht="15" customHeight="1" x14ac:dyDescent="0.2">
      <c r="B281" s="5">
        <v>2750</v>
      </c>
      <c r="C281" s="10">
        <f t="shared" si="32"/>
        <v>6.1274509803921573</v>
      </c>
      <c r="D281" s="12">
        <f t="shared" si="33"/>
        <v>67.144220920273384</v>
      </c>
      <c r="E281" s="12">
        <f t="shared" si="34"/>
        <v>67.768546793359889</v>
      </c>
      <c r="F281" s="12">
        <f t="shared" si="35"/>
        <v>463.4470484865974</v>
      </c>
    </row>
    <row r="282" spans="2:6" ht="15" customHeight="1" x14ac:dyDescent="0.2">
      <c r="B282" s="5">
        <v>2760</v>
      </c>
      <c r="C282" s="10">
        <f t="shared" si="32"/>
        <v>6.1497326203208562</v>
      </c>
      <c r="D282" s="12">
        <f t="shared" si="33"/>
        <v>67.269132863771844</v>
      </c>
      <c r="E282" s="12">
        <f t="shared" si="34"/>
        <v>67.898007544211339</v>
      </c>
      <c r="F282" s="12">
        <f t="shared" si="35"/>
        <v>466.45940318036418</v>
      </c>
    </row>
    <row r="283" spans="2:6" ht="15" customHeight="1" x14ac:dyDescent="0.2">
      <c r="B283" s="5">
        <v>2770</v>
      </c>
      <c r="C283" s="10">
        <f t="shared" si="32"/>
        <v>6.1720142602495542</v>
      </c>
      <c r="D283" s="12">
        <f t="shared" si="33"/>
        <v>67.394498208154133</v>
      </c>
      <c r="E283" s="12">
        <f t="shared" si="34"/>
        <v>68.027938207044116</v>
      </c>
      <c r="F283" s="12">
        <f t="shared" si="35"/>
        <v>469.48269201095036</v>
      </c>
    </row>
    <row r="284" spans="2:6" ht="15" customHeight="1" x14ac:dyDescent="0.2">
      <c r="B284" s="5">
        <v>2780</v>
      </c>
      <c r="C284" s="10">
        <f t="shared" si="32"/>
        <v>6.1942959001782532</v>
      </c>
      <c r="D284" s="12">
        <f t="shared" si="33"/>
        <v>67.520316953420277</v>
      </c>
      <c r="E284" s="12">
        <f t="shared" si="34"/>
        <v>68.158338781858191</v>
      </c>
      <c r="F284" s="12">
        <f t="shared" si="35"/>
        <v>472.51691497835617</v>
      </c>
    </row>
    <row r="285" spans="2:6" ht="15" customHeight="1" x14ac:dyDescent="0.2">
      <c r="B285" s="5">
        <v>2790</v>
      </c>
      <c r="C285" s="10">
        <f t="shared" si="32"/>
        <v>6.2165775401069521</v>
      </c>
      <c r="D285" s="12">
        <f t="shared" si="33"/>
        <v>67.646589099570249</v>
      </c>
      <c r="E285" s="12">
        <f t="shared" si="34"/>
        <v>68.289209268653579</v>
      </c>
      <c r="F285" s="12">
        <f t="shared" si="35"/>
        <v>475.56207208258144</v>
      </c>
    </row>
    <row r="286" spans="2:6" ht="15" customHeight="1" x14ac:dyDescent="0.2">
      <c r="B286" s="5">
        <v>2800</v>
      </c>
      <c r="C286" s="10">
        <f t="shared" si="32"/>
        <v>6.238859180035651</v>
      </c>
      <c r="D286" s="12">
        <f t="shared" si="33"/>
        <v>67.773314646604078</v>
      </c>
      <c r="E286" s="12">
        <f t="shared" si="34"/>
        <v>68.420549667430294</v>
      </c>
      <c r="F286" s="12">
        <f t="shared" si="35"/>
        <v>478.61816332362616</v>
      </c>
    </row>
    <row r="287" spans="2:6" ht="15" customHeight="1" x14ac:dyDescent="0.2">
      <c r="B287" s="5">
        <v>2810</v>
      </c>
      <c r="C287" s="10">
        <f t="shared" si="32"/>
        <v>6.2611408199643499</v>
      </c>
      <c r="D287" s="12">
        <f t="shared" si="33"/>
        <v>67.900493594521748</v>
      </c>
      <c r="E287" s="12">
        <f t="shared" si="34"/>
        <v>68.552359978188306</v>
      </c>
      <c r="F287" s="12">
        <f t="shared" si="35"/>
        <v>481.6851887014904</v>
      </c>
    </row>
    <row r="288" spans="2:6" ht="15" customHeight="1" x14ac:dyDescent="0.2">
      <c r="B288" s="5">
        <v>2820</v>
      </c>
      <c r="C288" s="10">
        <f t="shared" si="32"/>
        <v>6.2834224598930488</v>
      </c>
      <c r="D288" s="12">
        <f t="shared" si="33"/>
        <v>68.028125943323246</v>
      </c>
      <c r="E288" s="12">
        <f t="shared" si="34"/>
        <v>68.684640200927632</v>
      </c>
      <c r="F288" s="12">
        <f t="shared" si="35"/>
        <v>484.76314821617416</v>
      </c>
    </row>
    <row r="289" spans="2:6" ht="15" customHeight="1" x14ac:dyDescent="0.2">
      <c r="B289" s="5">
        <v>2830</v>
      </c>
      <c r="C289" s="10">
        <f t="shared" si="32"/>
        <v>6.3057040998217468</v>
      </c>
      <c r="D289" s="12">
        <f t="shared" si="33"/>
        <v>68.156211693008601</v>
      </c>
      <c r="E289" s="12">
        <f t="shared" si="34"/>
        <v>68.81739033564827</v>
      </c>
      <c r="F289" s="12">
        <f t="shared" si="35"/>
        <v>487.8520418676772</v>
      </c>
    </row>
    <row r="290" spans="2:6" ht="15" customHeight="1" x14ac:dyDescent="0.2">
      <c r="B290" s="5">
        <v>2840</v>
      </c>
      <c r="C290" s="10">
        <f t="shared" si="32"/>
        <v>6.3279857397504458</v>
      </c>
      <c r="D290" s="12">
        <f t="shared" si="33"/>
        <v>68.284750843577783</v>
      </c>
      <c r="E290" s="12">
        <f t="shared" si="34"/>
        <v>68.95061038235022</v>
      </c>
      <c r="F290" s="12">
        <f t="shared" si="35"/>
        <v>490.95186965599987</v>
      </c>
    </row>
    <row r="291" spans="2:6" ht="15" customHeight="1" x14ac:dyDescent="0.2">
      <c r="B291" s="5">
        <v>2850</v>
      </c>
      <c r="C291" s="10">
        <f t="shared" si="32"/>
        <v>6.3502673796791447</v>
      </c>
      <c r="D291" s="12">
        <f t="shared" si="33"/>
        <v>68.413743395030821</v>
      </c>
      <c r="E291" s="12">
        <f t="shared" si="34"/>
        <v>69.084300341033483</v>
      </c>
      <c r="F291" s="12">
        <f t="shared" si="35"/>
        <v>494.06263158114206</v>
      </c>
    </row>
    <row r="292" spans="2:6" ht="15" customHeight="1" x14ac:dyDescent="0.2">
      <c r="B292" s="5">
        <v>2860</v>
      </c>
      <c r="C292" s="10">
        <f t="shared" si="32"/>
        <v>6.3725490196078436</v>
      </c>
      <c r="D292" s="12">
        <f t="shared" si="33"/>
        <v>68.543189347367701</v>
      </c>
      <c r="E292" s="12">
        <f t="shared" si="34"/>
        <v>69.218460211698059</v>
      </c>
      <c r="F292" s="12">
        <f t="shared" si="35"/>
        <v>497.1843276431037</v>
      </c>
    </row>
    <row r="293" spans="2:6" ht="15" customHeight="1" x14ac:dyDescent="0.2">
      <c r="B293" s="5">
        <v>2870</v>
      </c>
      <c r="C293" s="10">
        <f t="shared" si="32"/>
        <v>6.3948306595365425</v>
      </c>
      <c r="D293" s="12">
        <f t="shared" si="33"/>
        <v>68.673088700588409</v>
      </c>
      <c r="E293" s="12">
        <f t="shared" si="34"/>
        <v>69.353089994343947</v>
      </c>
      <c r="F293" s="12">
        <f t="shared" si="35"/>
        <v>500.3169578418848</v>
      </c>
    </row>
    <row r="294" spans="2:6" ht="15" customHeight="1" x14ac:dyDescent="0.2">
      <c r="B294" s="5">
        <v>2880</v>
      </c>
      <c r="C294" s="10">
        <f t="shared" si="32"/>
        <v>6.4171122994652405</v>
      </c>
      <c r="D294" s="12">
        <f t="shared" si="33"/>
        <v>68.803441454692972</v>
      </c>
      <c r="E294" s="12">
        <f t="shared" si="34"/>
        <v>69.488189688971147</v>
      </c>
      <c r="F294" s="12">
        <f t="shared" si="35"/>
        <v>503.4605221774853</v>
      </c>
    </row>
    <row r="295" spans="2:6" ht="15" customHeight="1" x14ac:dyDescent="0.2">
      <c r="B295" s="5">
        <v>2890</v>
      </c>
      <c r="C295" s="10">
        <f t="shared" si="32"/>
        <v>6.4393939393939394</v>
      </c>
      <c r="D295" s="12">
        <f t="shared" si="33"/>
        <v>68.934247609681364</v>
      </c>
      <c r="E295" s="12">
        <f t="shared" si="34"/>
        <v>69.623759295579646</v>
      </c>
      <c r="F295" s="12">
        <f t="shared" si="35"/>
        <v>506.61502064990538</v>
      </c>
    </row>
    <row r="296" spans="2:6" ht="15" customHeight="1" x14ac:dyDescent="0.2">
      <c r="B296" s="5">
        <v>2900</v>
      </c>
      <c r="C296" s="10">
        <f t="shared" si="32"/>
        <v>6.4616755793226384</v>
      </c>
      <c r="D296" s="12">
        <f t="shared" si="33"/>
        <v>69.065507165553612</v>
      </c>
      <c r="E296" s="12">
        <f t="shared" si="34"/>
        <v>69.759798814169471</v>
      </c>
      <c r="F296" s="12">
        <f t="shared" si="35"/>
        <v>509.78045325914491</v>
      </c>
    </row>
    <row r="297" spans="2:6" ht="15" customHeight="1" x14ac:dyDescent="0.2">
      <c r="B297" s="5">
        <v>2910</v>
      </c>
      <c r="C297" s="10">
        <f t="shared" si="32"/>
        <v>6.4839572192513373</v>
      </c>
      <c r="D297" s="12">
        <f t="shared" si="33"/>
        <v>69.197220122309687</v>
      </c>
      <c r="E297" s="12">
        <f t="shared" si="34"/>
        <v>69.896308244740609</v>
      </c>
      <c r="F297" s="12">
        <f t="shared" si="35"/>
        <v>512.95682000520389</v>
      </c>
    </row>
    <row r="298" spans="2:6" ht="15" customHeight="1" x14ac:dyDescent="0.2">
      <c r="B298" s="5">
        <v>2920</v>
      </c>
      <c r="C298" s="10">
        <f t="shared" si="32"/>
        <v>6.5062388591800362</v>
      </c>
      <c r="D298" s="12">
        <f t="shared" si="33"/>
        <v>69.329386479949619</v>
      </c>
      <c r="E298" s="12">
        <f t="shared" si="34"/>
        <v>70.03328758729306</v>
      </c>
      <c r="F298" s="12">
        <f t="shared" si="35"/>
        <v>516.14412088808251</v>
      </c>
    </row>
    <row r="299" spans="2:6" ht="15" customHeight="1" x14ac:dyDescent="0.2">
      <c r="B299" s="5">
        <v>2930</v>
      </c>
      <c r="C299" s="10">
        <f t="shared" si="32"/>
        <v>6.5285204991087342</v>
      </c>
      <c r="D299" s="12">
        <f t="shared" si="33"/>
        <v>69.462006238473379</v>
      </c>
      <c r="E299" s="12">
        <f t="shared" si="34"/>
        <v>70.170736841826823</v>
      </c>
      <c r="F299" s="12">
        <f t="shared" si="35"/>
        <v>519.3423559077803</v>
      </c>
    </row>
    <row r="300" spans="2:6" ht="15" customHeight="1" x14ac:dyDescent="0.2">
      <c r="B300" s="5">
        <v>2940</v>
      </c>
      <c r="C300" s="10">
        <f t="shared" si="32"/>
        <v>6.5508021390374331</v>
      </c>
      <c r="D300" s="12">
        <f t="shared" si="33"/>
        <v>69.595079397880994</v>
      </c>
      <c r="E300" s="12">
        <f t="shared" si="34"/>
        <v>70.308656008341885</v>
      </c>
      <c r="F300" s="12">
        <f t="shared" si="35"/>
        <v>522.55152506429783</v>
      </c>
    </row>
    <row r="301" spans="2:6" ht="15" customHeight="1" x14ac:dyDescent="0.2">
      <c r="B301" s="5">
        <v>2950</v>
      </c>
      <c r="C301" s="10">
        <f t="shared" si="32"/>
        <v>6.5730837789661321</v>
      </c>
      <c r="D301" s="12">
        <f t="shared" si="33"/>
        <v>69.728605958172437</v>
      </c>
      <c r="E301" s="12">
        <f t="shared" si="34"/>
        <v>70.447045086838273</v>
      </c>
      <c r="F301" s="12">
        <f t="shared" si="35"/>
        <v>525.77162835763477</v>
      </c>
    </row>
    <row r="302" spans="2:6" ht="15" customHeight="1" x14ac:dyDescent="0.2">
      <c r="B302" s="5">
        <v>2960</v>
      </c>
      <c r="C302" s="10">
        <f t="shared" si="32"/>
        <v>6.595365418894831</v>
      </c>
      <c r="D302" s="12">
        <f t="shared" si="33"/>
        <v>69.862585919347737</v>
      </c>
      <c r="E302" s="12">
        <f t="shared" si="34"/>
        <v>70.585904077315973</v>
      </c>
      <c r="F302" s="12">
        <f t="shared" si="35"/>
        <v>529.00266578779122</v>
      </c>
    </row>
    <row r="303" spans="2:6" ht="15" customHeight="1" x14ac:dyDescent="0.2">
      <c r="B303" s="5">
        <v>2970</v>
      </c>
      <c r="C303" s="10">
        <f t="shared" si="32"/>
        <v>6.6176470588235299</v>
      </c>
      <c r="D303" s="12">
        <f t="shared" si="33"/>
        <v>69.997019281406878</v>
      </c>
      <c r="E303" s="12">
        <f t="shared" si="34"/>
        <v>70.725232979774972</v>
      </c>
      <c r="F303" s="12">
        <f t="shared" si="35"/>
        <v>532.24463735476706</v>
      </c>
    </row>
    <row r="304" spans="2:6" ht="15" customHeight="1" x14ac:dyDescent="0.2">
      <c r="B304" s="5">
        <v>2980</v>
      </c>
      <c r="C304" s="10">
        <f t="shared" si="32"/>
        <v>6.6399286987522288</v>
      </c>
      <c r="D304" s="12">
        <f t="shared" si="33"/>
        <v>70.131906044349847</v>
      </c>
      <c r="E304" s="12">
        <f t="shared" si="34"/>
        <v>70.865031794215298</v>
      </c>
      <c r="F304" s="12">
        <f t="shared" si="35"/>
        <v>535.49754305856254</v>
      </c>
    </row>
    <row r="305" spans="2:6" ht="15" customHeight="1" x14ac:dyDescent="0.2">
      <c r="B305" s="5">
        <v>2990</v>
      </c>
      <c r="C305" s="10">
        <f t="shared" si="32"/>
        <v>6.6622103386809268</v>
      </c>
      <c r="D305" s="12">
        <f t="shared" si="33"/>
        <v>70.267246208176672</v>
      </c>
      <c r="E305" s="12">
        <f t="shared" si="34"/>
        <v>71.005300520636922</v>
      </c>
      <c r="F305" s="12">
        <f t="shared" si="35"/>
        <v>538.76138289917731</v>
      </c>
    </row>
    <row r="306" spans="2:6" ht="15" customHeight="1" x14ac:dyDescent="0.2">
      <c r="B306" s="8">
        <v>3000</v>
      </c>
      <c r="C306" s="11">
        <f t="shared" si="32"/>
        <v>6.6844919786096257</v>
      </c>
      <c r="D306" s="13">
        <f t="shared" si="33"/>
        <v>70.403039772887325</v>
      </c>
      <c r="E306" s="13">
        <f t="shared" si="34"/>
        <v>71.146039159039873</v>
      </c>
      <c r="F306" s="13">
        <f t="shared" si="35"/>
        <v>542.0361568766117</v>
      </c>
    </row>
  </sheetData>
  <mergeCells count="36">
    <mergeCell ref="R60:S60"/>
    <mergeCell ref="AW23:AW24"/>
    <mergeCell ref="AZ23:AZ24"/>
    <mergeCell ref="AV2:AZ2"/>
    <mergeCell ref="AX7:AY7"/>
    <mergeCell ref="AW5:AX5"/>
    <mergeCell ref="AW4:AY4"/>
    <mergeCell ref="AN2:AT2"/>
    <mergeCell ref="AS37:AS38"/>
    <mergeCell ref="AT37:AT38"/>
    <mergeCell ref="B2:AL2"/>
    <mergeCell ref="AC16:AH16"/>
    <mergeCell ref="AN4:AO4"/>
    <mergeCell ref="AN36:AT36"/>
    <mergeCell ref="AQ37:AQ38"/>
    <mergeCell ref="AN37:AN38"/>
    <mergeCell ref="AO37:AO38"/>
    <mergeCell ref="AP37:AP38"/>
    <mergeCell ref="AR37:AR39"/>
    <mergeCell ref="L36:O36"/>
    <mergeCell ref="L37:M37"/>
    <mergeCell ref="N37:O37"/>
    <mergeCell ref="L22:L23"/>
    <mergeCell ref="O22:O23"/>
    <mergeCell ref="R4:R5"/>
    <mergeCell ref="Q4:Q5"/>
    <mergeCell ref="L8:L9"/>
    <mergeCell ref="O8:O9"/>
    <mergeCell ref="B3:F3"/>
    <mergeCell ref="AC17:AH17"/>
    <mergeCell ref="K3:O3"/>
    <mergeCell ref="W3:X3"/>
    <mergeCell ref="H3:I3"/>
    <mergeCell ref="AC4:AL4"/>
    <mergeCell ref="K17:O17"/>
    <mergeCell ref="AC11:AH1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Caiden Bonney</dc:creator>
  <cp:lastModifiedBy>Caiden Logan Bonney</cp:lastModifiedBy>
  <dcterms:created xsi:type="dcterms:W3CDTF">2015-06-05T18:17:20Z</dcterms:created>
  <dcterms:modified xsi:type="dcterms:W3CDTF">2025-12-02T21:55:23Z</dcterms:modified>
</cp:coreProperties>
</file>