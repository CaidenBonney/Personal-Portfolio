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216" documentId="11_0B1D56BE9CDCCE836B02CE7A5FB0D4A9BBFD1C62" xr6:coauthVersionLast="47" xr6:coauthVersionMax="47" xr10:uidLastSave="{5B1AE4E3-4FD0-4E61-8B7E-953147269515}"/>
  <bookViews>
    <workbookView xWindow="19095" yWindow="0" windowWidth="19410" windowHeight="20985" activeTab="1" xr2:uid="{00000000-000D-0000-FFFF-FFFF00000000}"/>
  </bookViews>
  <sheets>
    <sheet name="Sheet1" sheetId="1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E17" i="3" s="1"/>
  <c r="B14" i="3"/>
  <c r="E14" i="3"/>
  <c r="H17" i="3"/>
  <c r="H15" i="3"/>
  <c r="F16" i="3"/>
  <c r="F17" i="3"/>
  <c r="F15" i="3"/>
  <c r="F14" i="3"/>
  <c r="F2" i="3"/>
  <c r="D2" i="3"/>
  <c r="C14" i="3"/>
  <c r="B2" i="1"/>
  <c r="H4" i="1"/>
  <c r="H3" i="1"/>
  <c r="D2" i="1"/>
  <c r="D3" i="3"/>
  <c r="C15" i="3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" i="1"/>
  <c r="D5" i="1"/>
  <c r="D6" i="1"/>
  <c r="D7" i="1"/>
  <c r="D8" i="1"/>
  <c r="D9" i="1"/>
  <c r="D10" i="1"/>
  <c r="D11" i="1"/>
  <c r="D12" i="1"/>
  <c r="D13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G15" i="3" l="1"/>
  <c r="G17" i="3" s="1"/>
  <c r="H21" i="3"/>
  <c r="H20" i="3"/>
  <c r="H23" i="3" s="1"/>
</calcChain>
</file>

<file path=xl/sharedStrings.xml><?xml version="1.0" encoding="utf-8"?>
<sst xmlns="http://schemas.openxmlformats.org/spreadsheetml/2006/main" count="33" uniqueCount="33">
  <si>
    <t>x [in]</t>
  </si>
  <si>
    <t>moment about the z-axis [in-lb]</t>
  </si>
  <si>
    <t>moment about the y-axis [in-lb]</t>
  </si>
  <si>
    <t>Net Moment [in-lb]</t>
  </si>
  <si>
    <t>Max moment</t>
  </si>
  <si>
    <t>location</t>
  </si>
  <si>
    <t>Shaft Material Properties</t>
  </si>
  <si>
    <r>
      <t>Ultimate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</si>
  <si>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</si>
  <si>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e</t>
    </r>
  </si>
  <si>
    <t>Shaft Material</t>
  </si>
  <si>
    <t>1020CD</t>
  </si>
  <si>
    <t>Units</t>
  </si>
  <si>
    <t>English</t>
  </si>
  <si>
    <t>Fatigue factor of safety, n</t>
  </si>
  <si>
    <t>Fatigue Criterion</t>
  </si>
  <si>
    <t>Goodman</t>
  </si>
  <si>
    <t>Moment</t>
  </si>
  <si>
    <t>Torque</t>
  </si>
  <si>
    <t>Stress Concentration Factors</t>
  </si>
  <si>
    <t>Shoulder in Bending</t>
  </si>
  <si>
    <t>Shoulder under Torsion</t>
  </si>
  <si>
    <t>Keyway</t>
  </si>
  <si>
    <t>Snap Ring</t>
  </si>
  <si>
    <t>Moment Amplitude</t>
  </si>
  <si>
    <t>Mean Moment</t>
  </si>
  <si>
    <t>Torque Amplitude</t>
  </si>
  <si>
    <t>Mean Torque</t>
  </si>
  <si>
    <t>Estimated diameter of the shaft</t>
  </si>
  <si>
    <t>Round-down diameter</t>
  </si>
  <si>
    <r>
      <t>σ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'</t>
    </r>
  </si>
  <si>
    <r>
      <t>σ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'</t>
    </r>
  </si>
  <si>
    <t>Yield Factor of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</si>
</sst>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Net Moment [in-lb]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Sheet1!$A$2:$A$48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xVal>
          <c:yVal>
            <c:numRef>
              <c:f>Sheet1!$D$2:$D$48</c:f>
              <c:numCache>
                <c:formatCode>0.00000</c:formatCode>
                <c:ptCount val="47"/>
                <c:pt idx="0" formatCode="0">
                  <c:v>0</c:v>
                </c:pt>
                <c:pt idx="1">
                  <c:v>606.51298419737066</c:v>
                </c:pt>
                <c:pt idx="2">
                  <c:v>1213.0259683947413</c:v>
                </c:pt>
                <c:pt idx="3">
                  <c:v>1819.5389525921121</c:v>
                </c:pt>
                <c:pt idx="4">
                  <c:v>2426.0519367894826</c:v>
                </c:pt>
                <c:pt idx="5">
                  <c:v>3032.5649209868534</c:v>
                </c:pt>
                <c:pt idx="6">
                  <c:v>3639.0779051842242</c:v>
                </c:pt>
                <c:pt idx="7">
                  <c:v>4245.5908893815949</c:v>
                </c:pt>
                <c:pt idx="8">
                  <c:v>4852.1038735789652</c:v>
                </c:pt>
                <c:pt idx="9">
                  <c:v>5458.6168577763356</c:v>
                </c:pt>
                <c:pt idx="10">
                  <c:v>6065.1298419737068</c:v>
                </c:pt>
                <c:pt idx="11">
                  <c:v>6671.6428261710771</c:v>
                </c:pt>
                <c:pt idx="12">
                  <c:v>7278.1558103684483</c:v>
                </c:pt>
                <c:pt idx="13">
                  <c:v>7884.6687945658186</c:v>
                </c:pt>
                <c:pt idx="14">
                  <c:v>8491.1817787631899</c:v>
                </c:pt>
                <c:pt idx="15">
                  <c:v>9097.6947629605602</c:v>
                </c:pt>
                <c:pt idx="16">
                  <c:v>9704.2077471579305</c:v>
                </c:pt>
                <c:pt idx="17">
                  <c:v>10310.720731355301</c:v>
                </c:pt>
                <c:pt idx="18">
                  <c:v>10917.233715552671</c:v>
                </c:pt>
                <c:pt idx="19">
                  <c:v>11523.746699750043</c:v>
                </c:pt>
                <c:pt idx="20">
                  <c:v>12130.259683947414</c:v>
                </c:pt>
                <c:pt idx="21">
                  <c:v>12222.82181004043</c:v>
                </c:pt>
                <c:pt idx="22">
                  <c:v>12322.803739409306</c:v>
                </c:pt>
                <c:pt idx="23">
                  <c:v>12430.026427968687</c:v>
                </c:pt>
                <c:pt idx="24">
                  <c:v>12544.304205495018</c:v>
                </c:pt>
                <c:pt idx="25">
                  <c:v>12665.446103473812</c:v>
                </c:pt>
                <c:pt idx="26">
                  <c:v>12793.257130222937</c:v>
                </c:pt>
                <c:pt idx="27">
                  <c:v>12927.539479730858</c:v>
                </c:pt>
                <c:pt idx="28">
                  <c:v>13068.093663576183</c:v>
                </c:pt>
                <c:pt idx="29">
                  <c:v>13214.719558129109</c:v>
                </c:pt>
                <c:pt idx="30">
                  <c:v>13367.217361889498</c:v>
                </c:pt>
                <c:pt idx="31">
                  <c:v>13525.388460225458</c:v>
                </c:pt>
                <c:pt idx="32">
                  <c:v>13689.036196898596</c:v>
                </c:pt>
                <c:pt idx="33">
                  <c:v>13857.966553574879</c:v>
                </c:pt>
                <c:pt idx="34">
                  <c:v>14031.988740018287</c:v>
                </c:pt>
                <c:pt idx="35">
                  <c:v>14210.915698856285</c:v>
                </c:pt>
                <c:pt idx="36">
                  <c:v>14394.564529710511</c:v>
                </c:pt>
                <c:pt idx="37">
                  <c:v>12954.886992945943</c:v>
                </c:pt>
                <c:pt idx="38">
                  <c:v>11515.209594271395</c:v>
                </c:pt>
                <c:pt idx="39">
                  <c:v>10075.532392881281</c:v>
                </c:pt>
                <c:pt idx="40">
                  <c:v>8635.8554874430356</c:v>
                </c:pt>
                <c:pt idx="41">
                  <c:v>7196.1790555822054</c:v>
                </c:pt>
                <c:pt idx="42">
                  <c:v>5756.5034526177433</c:v>
                </c:pt>
                <c:pt idx="43">
                  <c:v>4316.8295078680139</c:v>
                </c:pt>
                <c:pt idx="44">
                  <c:v>2877.1597105478868</c:v>
                </c:pt>
                <c:pt idx="45">
                  <c:v>1437.5065217243364</c:v>
                </c:pt>
                <c:pt idx="46">
                  <c:v>12.165525060596439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7-465A-92BD-3B95E261F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76143"/>
        <c:axId val="1118175663"/>
      </c:scatterChart>
      <c:valAx>
        <c:axId val="111817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75663"/>
        <c:crosses val="autoZero"/>
        <c:crossBetween val="midCat"/>
      </c:valAx>
      <c:valAx>
        <c:axId val="111817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7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113567</xdr:colOff>
      <xdr:row>14</xdr:row>
      <xdr:rowOff>64478</xdr:rowOff>
    </xdr:from>
    <xdr:to>
      <xdr:col>12</xdr:col>
      <xdr:colOff>428625</xdr:colOff>
      <xdr:row>28</xdr:row>
      <xdr:rowOff>140678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9FBCF-B6B6-92EE-27CB-FD4D113EB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26</xdr:row>
      <xdr:rowOff>9525</xdr:rowOff>
    </xdr:from>
    <xdr:to>
      <xdr:col>6</xdr:col>
      <xdr:colOff>124883</xdr:colOff>
      <xdr:row>64</xdr:row>
      <xdr:rowOff>172483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9B4AA-C493-29B7-82CB-E27BBF89F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4962525"/>
          <a:ext cx="7582958" cy="7401958"/>
        </a:xfrm>
        <a:prstGeom prst="rect">
          <a:avLst/>
        </a:prstGeom>
      </xdr:spPr>
    </xdr:pic>
    <xdr:clientData/>
  </xdr:twoCellAnchor>
  <xdr:twoCellAnchor>
    <xdr:from>
      <xdr:col>0</xdr:col>
      <xdr:colOff>1095376</xdr:colOff>
      <xdr:row>47</xdr:row>
      <xdr:rowOff>28575</xdr:rowOff>
    </xdr:from>
    <xdr:to>
      <xdr:col>6</xdr:col>
      <xdr:colOff>104776</xdr:colOff>
      <xdr:row>48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AB68DD-D6E0-54A4-CBBC-0C9FA668F604}"/>
            </a:ext>
          </a:extLst>
        </xdr:cNvPr>
        <xdr:cNvSpPr/>
      </xdr:nvSpPr>
      <xdr:spPr>
        <a:xfrm>
          <a:off x="1095376" y="8982075"/>
          <a:ext cx="6743700" cy="247650"/>
        </a:xfrm>
        <a:prstGeom prst="rect">
          <a:avLst/>
        </a:prstGeom>
        <a:solidFill>
          <a:srgbClr val="FFFF99">
            <a:alpha val="40000"/>
          </a:srgb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8</xdr:col>
      <xdr:colOff>304800</xdr:colOff>
      <xdr:row>15</xdr:row>
      <xdr:rowOff>123825</xdr:rowOff>
    </xdr:from>
    <xdr:to>
      <xdr:col>23</xdr:col>
      <xdr:colOff>144129</xdr:colOff>
      <xdr:row>27</xdr:row>
      <xdr:rowOff>66986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9B8BC-AD76-DADD-6F75-A5473734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0450" y="2981325"/>
          <a:ext cx="8983329" cy="2229161"/>
        </a:xfrm>
        <a:prstGeom prst="rect">
          <a:avLst/>
        </a:prstGeom>
      </xdr:spPr>
    </xdr:pic>
    <xdr:clientData/>
  </xdr:twoCellAnchor>
  <xdr:twoCellAnchor editAs="oneCell">
    <xdr:from>
      <xdr:col>8</xdr:col>
      <xdr:colOff>257175</xdr:colOff>
      <xdr:row>5</xdr:row>
      <xdr:rowOff>152400</xdr:rowOff>
    </xdr:from>
    <xdr:to>
      <xdr:col>23</xdr:col>
      <xdr:colOff>77451</xdr:colOff>
      <xdr:row>15</xdr:row>
      <xdr:rowOff>133613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F12C0F-4506-DFC7-A7AF-690C2A2E1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2825" y="1104900"/>
          <a:ext cx="8964276" cy="1886213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31</xdr:row>
      <xdr:rowOff>9525</xdr:rowOff>
    </xdr:from>
    <xdr:to>
      <xdr:col>13</xdr:col>
      <xdr:colOff>29369</xdr:colOff>
      <xdr:row>43</xdr:row>
      <xdr:rowOff>162265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628078-1754-A0D8-5257-B5B5D7E43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05800" y="5915025"/>
          <a:ext cx="5687219" cy="243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zoomScaleNormal="100" workbookViewId="0">
      <selection activeCell="F37" sqref="F37"/>
    </sheetView>
  </sheetViews>
  <sheetFormatPr defaultRowHeight="15" x14ac:dyDescent="0.25"/>
  <cols>
    <col min="1" max="1" width="8.28515625" customWidth="1"/>
    <col min="2" max="3" width="28.85546875" bestFit="1" customWidth="1"/>
    <col min="4" max="4" width="17.5703125" bestFit="1" customWidth="1"/>
    <col min="7" max="7" width="12.28515625" bestFit="1" customWidth="1"/>
    <col min="13" max="13" width="1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>
        <v>0</v>
      </c>
      <c r="B2">
        <f>-387*A2+564*(A2-20)*(A2&gt;20)+315*(A2-36)*(A2&gt;36)</f>
        <v>0</v>
      </c>
      <c r="C2">
        <f>467*A2-205*(A2-20)*(A2&gt;20)-1615*(A2-36)*(A2&gt;36)</f>
        <v>0</v>
      </c>
      <c r="D2" s="2">
        <f>SQRT((B2^2)+(C2^2))</f>
        <v>0</v>
      </c>
    </row>
    <row r="3" spans="1:8" x14ac:dyDescent="0.25">
      <c r="A3">
        <v>1</v>
      </c>
      <c r="B3">
        <f t="shared" ref="B3:B48" si="0">-387*A3+564*(A3-20)*(A3&gt;20)+315*(A3-36)*(A3&gt;36)</f>
        <v>-387</v>
      </c>
      <c r="C3">
        <f t="shared" ref="C3:C48" si="1">467*A3-205*(A3-20)*(A3&gt;20)-1615*(A3-36)*(A3&gt;36)</f>
        <v>467</v>
      </c>
      <c r="D3" s="1">
        <f>SQRT((B3^2)+(C3^2))</f>
        <v>606.51298419737066</v>
      </c>
      <c r="G3" t="s">
        <v>4</v>
      </c>
      <c r="H3">
        <f>MAX(D:D)</f>
        <v>14394.564529710511</v>
      </c>
    </row>
    <row r="4" spans="1:8" x14ac:dyDescent="0.25">
      <c r="A4">
        <v>2</v>
      </c>
      <c r="B4">
        <f t="shared" si="0"/>
        <v>-774</v>
      </c>
      <c r="C4">
        <f t="shared" si="1"/>
        <v>934</v>
      </c>
      <c r="D4" s="1">
        <f t="shared" ref="D4:D48" si="2">SQRT((B4^2)+(C4^2))</f>
        <v>1213.0259683947413</v>
      </c>
      <c r="G4" t="s">
        <v>5</v>
      </c>
      <c r="H4">
        <f>INDEX(A2:A48,MATCH(H3,D2:D48,0))</f>
        <v>36</v>
      </c>
    </row>
    <row r="5" spans="1:8" x14ac:dyDescent="0.25">
      <c r="A5">
        <v>3</v>
      </c>
      <c r="B5">
        <f t="shared" si="0"/>
        <v>-1161</v>
      </c>
      <c r="C5">
        <f t="shared" si="1"/>
        <v>1401</v>
      </c>
      <c r="D5" s="1">
        <f t="shared" si="2"/>
        <v>1819.5389525921121</v>
      </c>
    </row>
    <row r="6" spans="1:8" x14ac:dyDescent="0.25">
      <c r="A6">
        <v>4</v>
      </c>
      <c r="B6">
        <f t="shared" si="0"/>
        <v>-1548</v>
      </c>
      <c r="C6">
        <f t="shared" si="1"/>
        <v>1868</v>
      </c>
      <c r="D6" s="1">
        <f t="shared" si="2"/>
        <v>2426.0519367894826</v>
      </c>
    </row>
    <row r="7" spans="1:8" x14ac:dyDescent="0.25">
      <c r="A7">
        <v>5</v>
      </c>
      <c r="B7">
        <f t="shared" si="0"/>
        <v>-1935</v>
      </c>
      <c r="C7">
        <f t="shared" si="1"/>
        <v>2335</v>
      </c>
      <c r="D7" s="1">
        <f t="shared" si="2"/>
        <v>3032.5649209868534</v>
      </c>
    </row>
    <row r="8" spans="1:8" x14ac:dyDescent="0.25">
      <c r="A8">
        <v>6</v>
      </c>
      <c r="B8">
        <f t="shared" si="0"/>
        <v>-2322</v>
      </c>
      <c r="C8">
        <f t="shared" si="1"/>
        <v>2802</v>
      </c>
      <c r="D8" s="1">
        <f t="shared" si="2"/>
        <v>3639.0779051842242</v>
      </c>
    </row>
    <row r="9" spans="1:8" x14ac:dyDescent="0.25">
      <c r="A9">
        <v>7</v>
      </c>
      <c r="B9">
        <f t="shared" si="0"/>
        <v>-2709</v>
      </c>
      <c r="C9">
        <f t="shared" si="1"/>
        <v>3269</v>
      </c>
      <c r="D9" s="1">
        <f t="shared" si="2"/>
        <v>4245.5908893815949</v>
      </c>
    </row>
    <row r="10" spans="1:8" x14ac:dyDescent="0.25">
      <c r="A10">
        <v>8</v>
      </c>
      <c r="B10">
        <f t="shared" si="0"/>
        <v>-3096</v>
      </c>
      <c r="C10">
        <f t="shared" si="1"/>
        <v>3736</v>
      </c>
      <c r="D10" s="1">
        <f t="shared" si="2"/>
        <v>4852.1038735789652</v>
      </c>
    </row>
    <row r="11" spans="1:8" x14ac:dyDescent="0.25">
      <c r="A11">
        <v>9</v>
      </c>
      <c r="B11">
        <f t="shared" si="0"/>
        <v>-3483</v>
      </c>
      <c r="C11">
        <f t="shared" si="1"/>
        <v>4203</v>
      </c>
      <c r="D11" s="1">
        <f t="shared" si="2"/>
        <v>5458.6168577763356</v>
      </c>
    </row>
    <row r="12" spans="1:8" x14ac:dyDescent="0.25">
      <c r="A12">
        <v>10</v>
      </c>
      <c r="B12">
        <f t="shared" si="0"/>
        <v>-3870</v>
      </c>
      <c r="C12">
        <f t="shared" si="1"/>
        <v>4670</v>
      </c>
      <c r="D12" s="1">
        <f t="shared" si="2"/>
        <v>6065.1298419737068</v>
      </c>
    </row>
    <row r="13" spans="1:8" x14ac:dyDescent="0.25">
      <c r="A13">
        <v>11</v>
      </c>
      <c r="B13">
        <f t="shared" si="0"/>
        <v>-4257</v>
      </c>
      <c r="C13">
        <f t="shared" si="1"/>
        <v>5137</v>
      </c>
      <c r="D13" s="1">
        <f t="shared" si="2"/>
        <v>6671.6428261710771</v>
      </c>
    </row>
    <row r="14" spans="1:8" x14ac:dyDescent="0.25">
      <c r="A14">
        <v>12</v>
      </c>
      <c r="B14">
        <f t="shared" si="0"/>
        <v>-4644</v>
      </c>
      <c r="C14">
        <f t="shared" si="1"/>
        <v>5604</v>
      </c>
      <c r="D14" s="1">
        <f t="shared" si="2"/>
        <v>7278.1558103684483</v>
      </c>
    </row>
    <row r="15" spans="1:8" x14ac:dyDescent="0.25">
      <c r="A15">
        <v>13</v>
      </c>
      <c r="B15">
        <f t="shared" si="0"/>
        <v>-5031</v>
      </c>
      <c r="C15">
        <f t="shared" si="1"/>
        <v>6071</v>
      </c>
      <c r="D15" s="1">
        <f t="shared" si="2"/>
        <v>7884.6687945658186</v>
      </c>
    </row>
    <row r="16" spans="1:8" x14ac:dyDescent="0.25">
      <c r="A16">
        <v>14</v>
      </c>
      <c r="B16">
        <f t="shared" si="0"/>
        <v>-5418</v>
      </c>
      <c r="C16">
        <f t="shared" si="1"/>
        <v>6538</v>
      </c>
      <c r="D16" s="1">
        <f t="shared" si="2"/>
        <v>8491.1817787631899</v>
      </c>
    </row>
    <row r="17" spans="1:4" x14ac:dyDescent="0.25">
      <c r="A17">
        <v>15</v>
      </c>
      <c r="B17">
        <f t="shared" si="0"/>
        <v>-5805</v>
      </c>
      <c r="C17">
        <f t="shared" si="1"/>
        <v>7005</v>
      </c>
      <c r="D17" s="1">
        <f t="shared" si="2"/>
        <v>9097.6947629605602</v>
      </c>
    </row>
    <row r="18" spans="1:4" x14ac:dyDescent="0.25">
      <c r="A18">
        <v>16</v>
      </c>
      <c r="B18">
        <f t="shared" si="0"/>
        <v>-6192</v>
      </c>
      <c r="C18">
        <f t="shared" si="1"/>
        <v>7472</v>
      </c>
      <c r="D18" s="1">
        <f t="shared" si="2"/>
        <v>9704.2077471579305</v>
      </c>
    </row>
    <row r="19" spans="1:4" x14ac:dyDescent="0.25">
      <c r="A19">
        <v>17</v>
      </c>
      <c r="B19">
        <f t="shared" si="0"/>
        <v>-6579</v>
      </c>
      <c r="C19">
        <f t="shared" si="1"/>
        <v>7939</v>
      </c>
      <c r="D19" s="1">
        <f t="shared" si="2"/>
        <v>10310.720731355301</v>
      </c>
    </row>
    <row r="20" spans="1:4" x14ac:dyDescent="0.25">
      <c r="A20">
        <v>18</v>
      </c>
      <c r="B20">
        <f t="shared" si="0"/>
        <v>-6966</v>
      </c>
      <c r="C20">
        <f t="shared" si="1"/>
        <v>8406</v>
      </c>
      <c r="D20" s="1">
        <f t="shared" si="2"/>
        <v>10917.233715552671</v>
      </c>
    </row>
    <row r="21" spans="1:4" x14ac:dyDescent="0.25">
      <c r="A21">
        <v>19</v>
      </c>
      <c r="B21">
        <f t="shared" si="0"/>
        <v>-7353</v>
      </c>
      <c r="C21">
        <f t="shared" si="1"/>
        <v>8873</v>
      </c>
      <c r="D21" s="1">
        <f t="shared" si="2"/>
        <v>11523.746699750043</v>
      </c>
    </row>
    <row r="22" spans="1:4" x14ac:dyDescent="0.25">
      <c r="A22">
        <v>20</v>
      </c>
      <c r="B22">
        <f t="shared" si="0"/>
        <v>-7740</v>
      </c>
      <c r="C22">
        <f t="shared" si="1"/>
        <v>9340</v>
      </c>
      <c r="D22" s="1">
        <f t="shared" si="2"/>
        <v>12130.259683947414</v>
      </c>
    </row>
    <row r="23" spans="1:4" x14ac:dyDescent="0.25">
      <c r="A23">
        <v>21</v>
      </c>
      <c r="B23">
        <f t="shared" si="0"/>
        <v>-7563</v>
      </c>
      <c r="C23">
        <f t="shared" si="1"/>
        <v>9602</v>
      </c>
      <c r="D23" s="1">
        <f t="shared" si="2"/>
        <v>12222.82181004043</v>
      </c>
    </row>
    <row r="24" spans="1:4" x14ac:dyDescent="0.25">
      <c r="A24">
        <v>22</v>
      </c>
      <c r="B24">
        <f t="shared" si="0"/>
        <v>-7386</v>
      </c>
      <c r="C24">
        <f t="shared" si="1"/>
        <v>9864</v>
      </c>
      <c r="D24" s="1">
        <f t="shared" si="2"/>
        <v>12322.803739409306</v>
      </c>
    </row>
    <row r="25" spans="1:4" x14ac:dyDescent="0.25">
      <c r="A25">
        <v>23</v>
      </c>
      <c r="B25">
        <f t="shared" si="0"/>
        <v>-7209</v>
      </c>
      <c r="C25">
        <f t="shared" si="1"/>
        <v>10126</v>
      </c>
      <c r="D25" s="1">
        <f t="shared" si="2"/>
        <v>12430.026427968687</v>
      </c>
    </row>
    <row r="26" spans="1:4" x14ac:dyDescent="0.25">
      <c r="A26">
        <v>24</v>
      </c>
      <c r="B26">
        <f t="shared" si="0"/>
        <v>-7032</v>
      </c>
      <c r="C26">
        <f t="shared" si="1"/>
        <v>10388</v>
      </c>
      <c r="D26" s="1">
        <f t="shared" si="2"/>
        <v>12544.304205495018</v>
      </c>
    </row>
    <row r="27" spans="1:4" x14ac:dyDescent="0.25">
      <c r="A27">
        <v>25</v>
      </c>
      <c r="B27">
        <f t="shared" si="0"/>
        <v>-6855</v>
      </c>
      <c r="C27">
        <f t="shared" si="1"/>
        <v>10650</v>
      </c>
      <c r="D27" s="1">
        <f t="shared" si="2"/>
        <v>12665.446103473812</v>
      </c>
    </row>
    <row r="28" spans="1:4" x14ac:dyDescent="0.25">
      <c r="A28">
        <v>26</v>
      </c>
      <c r="B28">
        <f t="shared" si="0"/>
        <v>-6678</v>
      </c>
      <c r="C28">
        <f t="shared" si="1"/>
        <v>10912</v>
      </c>
      <c r="D28" s="1">
        <f t="shared" si="2"/>
        <v>12793.257130222937</v>
      </c>
    </row>
    <row r="29" spans="1:4" x14ac:dyDescent="0.25">
      <c r="A29">
        <v>27</v>
      </c>
      <c r="B29">
        <f t="shared" si="0"/>
        <v>-6501</v>
      </c>
      <c r="C29">
        <f t="shared" si="1"/>
        <v>11174</v>
      </c>
      <c r="D29" s="1">
        <f t="shared" si="2"/>
        <v>12927.539479730858</v>
      </c>
    </row>
    <row r="30" spans="1:4" x14ac:dyDescent="0.25">
      <c r="A30">
        <v>28</v>
      </c>
      <c r="B30">
        <f t="shared" si="0"/>
        <v>-6324</v>
      </c>
      <c r="C30">
        <f t="shared" si="1"/>
        <v>11436</v>
      </c>
      <c r="D30" s="1">
        <f t="shared" si="2"/>
        <v>13068.093663576183</v>
      </c>
    </row>
    <row r="31" spans="1:4" x14ac:dyDescent="0.25">
      <c r="A31">
        <v>29</v>
      </c>
      <c r="B31">
        <f t="shared" si="0"/>
        <v>-6147</v>
      </c>
      <c r="C31">
        <f t="shared" si="1"/>
        <v>11698</v>
      </c>
      <c r="D31" s="1">
        <f t="shared" si="2"/>
        <v>13214.719558129109</v>
      </c>
    </row>
    <row r="32" spans="1:4" x14ac:dyDescent="0.25">
      <c r="A32">
        <v>30</v>
      </c>
      <c r="B32">
        <f t="shared" si="0"/>
        <v>-5970</v>
      </c>
      <c r="C32">
        <f t="shared" si="1"/>
        <v>11960</v>
      </c>
      <c r="D32" s="1">
        <f t="shared" si="2"/>
        <v>13367.217361889498</v>
      </c>
    </row>
    <row r="33" spans="1:4" x14ac:dyDescent="0.25">
      <c r="A33">
        <v>31</v>
      </c>
      <c r="B33">
        <f t="shared" si="0"/>
        <v>-5793</v>
      </c>
      <c r="C33">
        <f t="shared" si="1"/>
        <v>12222</v>
      </c>
      <c r="D33" s="1">
        <f t="shared" si="2"/>
        <v>13525.388460225458</v>
      </c>
    </row>
    <row r="34" spans="1:4" x14ac:dyDescent="0.25">
      <c r="A34">
        <v>32</v>
      </c>
      <c r="B34">
        <f t="shared" si="0"/>
        <v>-5616</v>
      </c>
      <c r="C34">
        <f t="shared" si="1"/>
        <v>12484</v>
      </c>
      <c r="D34" s="1">
        <f t="shared" si="2"/>
        <v>13689.036196898596</v>
      </c>
    </row>
    <row r="35" spans="1:4" x14ac:dyDescent="0.25">
      <c r="A35">
        <v>33</v>
      </c>
      <c r="B35">
        <f t="shared" si="0"/>
        <v>-5439</v>
      </c>
      <c r="C35">
        <f t="shared" si="1"/>
        <v>12746</v>
      </c>
      <c r="D35" s="1">
        <f t="shared" si="2"/>
        <v>13857.966553574879</v>
      </c>
    </row>
    <row r="36" spans="1:4" x14ac:dyDescent="0.25">
      <c r="A36">
        <v>34</v>
      </c>
      <c r="B36">
        <f t="shared" si="0"/>
        <v>-5262</v>
      </c>
      <c r="C36">
        <f t="shared" si="1"/>
        <v>13008</v>
      </c>
      <c r="D36" s="1">
        <f t="shared" si="2"/>
        <v>14031.988740018287</v>
      </c>
    </row>
    <row r="37" spans="1:4" x14ac:dyDescent="0.25">
      <c r="A37">
        <v>35</v>
      </c>
      <c r="B37">
        <f t="shared" si="0"/>
        <v>-5085</v>
      </c>
      <c r="C37">
        <f t="shared" si="1"/>
        <v>13270</v>
      </c>
      <c r="D37" s="1">
        <f t="shared" si="2"/>
        <v>14210.915698856285</v>
      </c>
    </row>
    <row r="38" spans="1:4" x14ac:dyDescent="0.25">
      <c r="A38">
        <v>36</v>
      </c>
      <c r="B38">
        <f t="shared" si="0"/>
        <v>-4908</v>
      </c>
      <c r="C38">
        <f t="shared" si="1"/>
        <v>13532</v>
      </c>
      <c r="D38" s="1">
        <f t="shared" si="2"/>
        <v>14394.564529710511</v>
      </c>
    </row>
    <row r="39" spans="1:4" x14ac:dyDescent="0.25">
      <c r="A39">
        <v>37</v>
      </c>
      <c r="B39">
        <f t="shared" si="0"/>
        <v>-4416</v>
      </c>
      <c r="C39">
        <f t="shared" si="1"/>
        <v>12179</v>
      </c>
      <c r="D39" s="1">
        <f t="shared" si="2"/>
        <v>12954.886992945943</v>
      </c>
    </row>
    <row r="40" spans="1:4" x14ac:dyDescent="0.25">
      <c r="A40">
        <v>38</v>
      </c>
      <c r="B40">
        <f t="shared" si="0"/>
        <v>-3924</v>
      </c>
      <c r="C40">
        <f t="shared" si="1"/>
        <v>10826</v>
      </c>
      <c r="D40" s="1">
        <f t="shared" si="2"/>
        <v>11515.209594271395</v>
      </c>
    </row>
    <row r="41" spans="1:4" x14ac:dyDescent="0.25">
      <c r="A41">
        <v>39</v>
      </c>
      <c r="B41">
        <f t="shared" si="0"/>
        <v>-3432</v>
      </c>
      <c r="C41">
        <f t="shared" si="1"/>
        <v>9473</v>
      </c>
      <c r="D41" s="1">
        <f t="shared" si="2"/>
        <v>10075.532392881281</v>
      </c>
    </row>
    <row r="42" spans="1:4" x14ac:dyDescent="0.25">
      <c r="A42">
        <v>40</v>
      </c>
      <c r="B42">
        <f t="shared" si="0"/>
        <v>-2940</v>
      </c>
      <c r="C42">
        <f t="shared" si="1"/>
        <v>8120</v>
      </c>
      <c r="D42" s="1">
        <f t="shared" si="2"/>
        <v>8635.8554874430356</v>
      </c>
    </row>
    <row r="43" spans="1:4" x14ac:dyDescent="0.25">
      <c r="A43">
        <v>41</v>
      </c>
      <c r="B43">
        <f t="shared" si="0"/>
        <v>-2448</v>
      </c>
      <c r="C43">
        <f t="shared" si="1"/>
        <v>6767</v>
      </c>
      <c r="D43" s="1">
        <f t="shared" si="2"/>
        <v>7196.1790555822054</v>
      </c>
    </row>
    <row r="44" spans="1:4" x14ac:dyDescent="0.25">
      <c r="A44">
        <v>42</v>
      </c>
      <c r="B44">
        <f t="shared" si="0"/>
        <v>-1956</v>
      </c>
      <c r="C44">
        <f t="shared" si="1"/>
        <v>5414</v>
      </c>
      <c r="D44" s="1">
        <f t="shared" si="2"/>
        <v>5756.5034526177433</v>
      </c>
    </row>
    <row r="45" spans="1:4" x14ac:dyDescent="0.25">
      <c r="A45">
        <v>43</v>
      </c>
      <c r="B45">
        <f t="shared" si="0"/>
        <v>-1464</v>
      </c>
      <c r="C45">
        <f t="shared" si="1"/>
        <v>4061</v>
      </c>
      <c r="D45" s="1">
        <f t="shared" si="2"/>
        <v>4316.8295078680139</v>
      </c>
    </row>
    <row r="46" spans="1:4" x14ac:dyDescent="0.25">
      <c r="A46">
        <v>44</v>
      </c>
      <c r="B46">
        <f t="shared" si="0"/>
        <v>-972</v>
      </c>
      <c r="C46">
        <f t="shared" si="1"/>
        <v>2708</v>
      </c>
      <c r="D46" s="1">
        <f t="shared" si="2"/>
        <v>2877.1597105478868</v>
      </c>
    </row>
    <row r="47" spans="1:4" x14ac:dyDescent="0.25">
      <c r="A47">
        <v>45</v>
      </c>
      <c r="B47">
        <f t="shared" si="0"/>
        <v>-480</v>
      </c>
      <c r="C47">
        <f t="shared" si="1"/>
        <v>1355</v>
      </c>
      <c r="D47" s="1">
        <f t="shared" si="2"/>
        <v>1437.5065217243364</v>
      </c>
    </row>
    <row r="48" spans="1:4" x14ac:dyDescent="0.25">
      <c r="A48">
        <v>46</v>
      </c>
      <c r="B48">
        <f t="shared" si="0"/>
        <v>12</v>
      </c>
      <c r="C48">
        <f t="shared" si="1"/>
        <v>2</v>
      </c>
      <c r="D48" s="1">
        <f t="shared" si="2"/>
        <v>12.165525060596439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30AB-4352-45FC-A959-CACC6B16DCED}">
  <dimension ref="A2:H23"/>
  <sheetViews>
    <sheetView tabSelected="1" zoomScale="70" zoomScaleNormal="70" workbookViewId="0">
      <selection activeCell="H53" sqref="H53"/>
    </sheetView>
  </sheetViews>
  <sheetFormatPr defaultRowHeight="15" customHeight="1" x14ac:dyDescent="0.25"/>
  <cols>
    <col min="1" max="1" width="35.28515625" customWidth="1"/>
    <col min="2" max="2" width="21.7109375" customWidth="1"/>
    <col min="3" max="3" width="16.5703125" customWidth="1"/>
    <col min="4" max="4" width="17.85546875" bestFit="1" customWidth="1"/>
    <col min="5" max="5" width="11.85546875" customWidth="1"/>
    <col min="6" max="6" width="12.7109375" customWidth="1"/>
    <col min="7" max="7" width="28.7109375" bestFit="1" customWidth="1"/>
    <col min="8" max="8" width="19" customWidth="1"/>
  </cols>
  <sheetData>
    <row r="2" spans="1:8" ht="15" customHeight="1" x14ac:dyDescent="0.35">
      <c r="A2" t="s">
        <v>6</v>
      </c>
      <c r="B2" t="s">
        <v>7</v>
      </c>
      <c r="C2" s="3">
        <v>68000</v>
      </c>
      <c r="D2" t="str">
        <f>IF($A$7="English","psi",IF($A$7="Metric", "Pa", "Unit Selection Error"))</f>
        <v>psi</v>
      </c>
      <c r="E2" t="s">
        <v>9</v>
      </c>
      <c r="F2">
        <f>C2/2</f>
        <v>34000</v>
      </c>
    </row>
    <row r="3" spans="1:8" ht="15" customHeight="1" x14ac:dyDescent="0.35">
      <c r="B3" t="s">
        <v>8</v>
      </c>
      <c r="C3" s="3">
        <v>57000</v>
      </c>
      <c r="D3" t="str">
        <f>IF($A$7="English","psi",IF($A$7="Metric", "Pa", "Unit Selection Error"))</f>
        <v>psi</v>
      </c>
    </row>
    <row r="4" spans="1:8" ht="15" customHeight="1" x14ac:dyDescent="0.25">
      <c r="A4" t="s">
        <v>10</v>
      </c>
    </row>
    <row r="5" spans="1:8" ht="15" customHeight="1" x14ac:dyDescent="0.25">
      <c r="A5" s="3" t="s">
        <v>11</v>
      </c>
    </row>
    <row r="6" spans="1:8" ht="15" customHeight="1" x14ac:dyDescent="0.25">
      <c r="A6" t="s">
        <v>12</v>
      </c>
    </row>
    <row r="7" spans="1:8" ht="15" customHeight="1" x14ac:dyDescent="0.25">
      <c r="A7" s="3" t="s">
        <v>13</v>
      </c>
    </row>
    <row r="8" spans="1:8" ht="15" customHeight="1" x14ac:dyDescent="0.25">
      <c r="A8" t="s">
        <v>14</v>
      </c>
    </row>
    <row r="9" spans="1:8" ht="15" customHeight="1" x14ac:dyDescent="0.25">
      <c r="A9" s="3">
        <v>3</v>
      </c>
    </row>
    <row r="11" spans="1:8" ht="15" customHeight="1" x14ac:dyDescent="0.25">
      <c r="A11" t="s">
        <v>15</v>
      </c>
    </row>
    <row r="12" spans="1:8" ht="15" customHeight="1" x14ac:dyDescent="0.25">
      <c r="A12" t="s">
        <v>16</v>
      </c>
    </row>
    <row r="14" spans="1:8" ht="15" customHeight="1" x14ac:dyDescent="0.25">
      <c r="A14" s="4" t="s">
        <v>17</v>
      </c>
      <c r="B14" s="6">
        <f>Sheet1!H3</f>
        <v>14394.564529710511</v>
      </c>
      <c r="C14" t="str">
        <f>IF($A$7="English","in-lb",IF($A$7="Metric", "Nm", "Unit Selection Error"))</f>
        <v>in-lb</v>
      </c>
      <c r="D14" t="s">
        <v>24</v>
      </c>
      <c r="E14" s="6">
        <f>B14</f>
        <v>14394.564529710511</v>
      </c>
      <c r="F14" t="str">
        <f>IF($A$7="English","in-lb",IF($A$7="Metric", "Nm", "Unit Selection Error"))</f>
        <v>in-lb</v>
      </c>
      <c r="G14" t="s">
        <v>28</v>
      </c>
    </row>
    <row r="15" spans="1:8" ht="15" customHeight="1" x14ac:dyDescent="0.25">
      <c r="A15" s="4" t="s">
        <v>18</v>
      </c>
      <c r="B15" s="6">
        <f>600*COS(RADIANS(20))*(12+N("This 12 is the radius of Gear 3 in inches"))</f>
        <v>6765.7868696585401</v>
      </c>
      <c r="C15" t="str">
        <f>IF($A$7="English","in-lb",IF($A$7="Metric", "Nm", "Unit Selection Error"))</f>
        <v>in-lb</v>
      </c>
      <c r="D15" t="s">
        <v>25</v>
      </c>
      <c r="E15" s="3">
        <v>0</v>
      </c>
      <c r="F15" t="str">
        <f>IF($A$7="English","in-lb",IF($A$7="Metric", "Nm", "Unit Selection Error"))</f>
        <v>in-lb</v>
      </c>
      <c r="G15" s="5">
        <f>(((16*A9)/PI())*((1/F2)*SQRT(4*(B18*E14)^2 + 3*(B19*E16)^2) + (1/C2)*SQRT(4*(B18*E15)^2 + 3*(B19*E17)^2)))^(1/3)</f>
        <v>3.4404408169316252</v>
      </c>
      <c r="H15" t="str">
        <f>IF($A$7="English","in",IF($A$7="Metric", "m", "Unit Selection Error"))</f>
        <v>in</v>
      </c>
    </row>
    <row r="16" spans="1:8" ht="15" customHeight="1" x14ac:dyDescent="0.25">
      <c r="D16" t="s">
        <v>26</v>
      </c>
      <c r="E16" s="3">
        <v>0</v>
      </c>
      <c r="F16" t="str">
        <f t="shared" ref="F16:F17" si="0">IF($A$7="English","in-lb",IF($A$7="Metric", "Nm", "Unit Selection Error"))</f>
        <v>in-lb</v>
      </c>
      <c r="G16" t="s">
        <v>29</v>
      </c>
    </row>
    <row r="17" spans="1:8" ht="15" customHeight="1" x14ac:dyDescent="0.25">
      <c r="A17" t="s">
        <v>19</v>
      </c>
      <c r="D17" t="s">
        <v>27</v>
      </c>
      <c r="E17" s="6">
        <f>B15</f>
        <v>6765.7868696585401</v>
      </c>
      <c r="F17" t="str">
        <f t="shared" si="0"/>
        <v>in-lb</v>
      </c>
      <c r="G17">
        <f>ROUNDDOWN(G15,0)</f>
        <v>3</v>
      </c>
      <c r="H17" t="str">
        <f>IF($A$7="English","in",IF($A$7="Metric", "m", "Unit Selection Error"))</f>
        <v>in</v>
      </c>
    </row>
    <row r="18" spans="1:8" ht="15" customHeight="1" x14ac:dyDescent="0.25">
      <c r="A18" t="s">
        <v>20</v>
      </c>
      <c r="B18" s="3">
        <v>2.7</v>
      </c>
    </row>
    <row r="19" spans="1:8" ht="15" customHeight="1" x14ac:dyDescent="0.25">
      <c r="A19" t="s">
        <v>21</v>
      </c>
      <c r="B19" s="3">
        <v>2.2000000000000002</v>
      </c>
    </row>
    <row r="20" spans="1:8" ht="15" customHeight="1" x14ac:dyDescent="0.35">
      <c r="A20" t="s">
        <v>22</v>
      </c>
      <c r="G20" t="s">
        <v>30</v>
      </c>
      <c r="H20">
        <f>SQRT(((32*B18*E14)/(PI()*(G15^3)))^2 + 3*((16*B19*E16)/(PI()*(G15^3)))^2)</f>
        <v>9721.2055559727451</v>
      </c>
    </row>
    <row r="21" spans="1:8" ht="15" customHeight="1" x14ac:dyDescent="0.35">
      <c r="A21" t="s">
        <v>23</v>
      </c>
      <c r="G21" t="s">
        <v>31</v>
      </c>
      <c r="H21">
        <f>SQRT(((32*B18*E15)/(PI()*(G15^3)))^2 + 3*((16*B19*E17)/(PI()*(G15^3)))^2)</f>
        <v>3224.25555472117</v>
      </c>
    </row>
    <row r="23" spans="1:8" ht="15" customHeight="1" x14ac:dyDescent="0.25">
      <c r="G23" t="s">
        <v>32</v>
      </c>
      <c r="H23">
        <f>C3/(H20+H21)</f>
        <v>4.4030876546308386</v>
      </c>
    </row>
  </sheetData>
  <dataValidations count="1">
    <dataValidation type="list" allowBlank="1" showInputMessage="1" showErrorMessage="1" sqref="A7" xr:uid="{1035AD63-AE7B-4578-8C2F-38F049BBA4E1}">
      <formula1>"English, Metric"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2025-01-10T05:31:53Z</dcterms:created>
  <dcterms:modified xsi:type="dcterms:W3CDTF">2025-02-08T07:46:25Z</dcterms:modified>
  <cp:category/>
  <cp:contentStatus/>
</cp:coreProperties>
</file>