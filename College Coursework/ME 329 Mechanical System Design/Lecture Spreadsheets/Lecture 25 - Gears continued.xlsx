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drawings/drawing4.xml" ContentType="application/vnd.openxmlformats-officedocument.drawing+xml"/>
  <Override PartName="/xl/comments4.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https://cpslo-my.sharepoint.com/personal/clbonney_calpoly_edu/Documents/Past Classes/ME 329 Mechanical Systems Design/"/>
    </mc:Choice>
  </mc:AlternateContent>
  <xr:revisionPtr revIDLastSave="2802" documentId="8_{12CF926C-9648-418C-B514-CA5ABB870397}" xr6:coauthVersionLast="47" xr6:coauthVersionMax="47" xr10:uidLastSave="{8F8D3F74-CD40-5145-89BC-4912586B90FF}"/>
  <bookViews>
    <workbookView xWindow="0" yWindow="500" windowWidth="33600" windowHeight="18980" xr2:uid="{BB8C074D-1052-4760-9334-24CC93365BEB}"/>
  </bookViews>
  <sheets>
    <sheet name="L25 Gears Cont." sheetId="8" r:id="rId1"/>
    <sheet name="L25 Gears Cont. Q25" sheetId="5" r:id="rId2"/>
    <sheet name="L18 Comb. Lds Bearings Q25 A&amp;B" sheetId="6" r:id="rId3"/>
    <sheet name="L18 Comb. Lds Bearings Q25 C&amp;D" sheetId="7"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 i="8" l="1"/>
  <c r="J8" i="8"/>
  <c r="D42" i="8" l="1"/>
  <c r="F41" i="8"/>
  <c r="E41" i="8"/>
  <c r="D41" i="8"/>
  <c r="B41" i="8"/>
  <c r="J40" i="8"/>
  <c r="D40" i="8"/>
  <c r="J39" i="8"/>
  <c r="D39" i="8"/>
  <c r="M38" i="8"/>
  <c r="J38" i="8"/>
  <c r="J37" i="8"/>
  <c r="F37" i="8"/>
  <c r="F34" i="8"/>
  <c r="D31" i="8"/>
  <c r="F30" i="8"/>
  <c r="E30" i="8"/>
  <c r="D30" i="8"/>
  <c r="B30" i="8"/>
  <c r="J29" i="8"/>
  <c r="D29" i="8"/>
  <c r="J28" i="8"/>
  <c r="D28" i="8"/>
  <c r="J27" i="8"/>
  <c r="J26" i="8"/>
  <c r="F26" i="8"/>
  <c r="F23" i="8"/>
  <c r="C24" i="8" s="1"/>
  <c r="J20" i="8"/>
  <c r="D20" i="8"/>
  <c r="J19" i="8"/>
  <c r="J18" i="8"/>
  <c r="J17" i="8"/>
  <c r="J16" i="8"/>
  <c r="J15" i="8"/>
  <c r="J14" i="8"/>
  <c r="J13" i="8"/>
  <c r="J12" i="8"/>
  <c r="S11" i="8" a="1"/>
  <c r="S11" i="8" s="1"/>
  <c r="J11" i="8"/>
  <c r="H11" i="8"/>
  <c r="J10" i="8"/>
  <c r="J7" i="8"/>
  <c r="V3" i="8"/>
  <c r="U3" i="8"/>
  <c r="C23" i="7"/>
  <c r="C24" i="7" s="1"/>
  <c r="C15" i="7"/>
  <c r="C40" i="7"/>
  <c r="C37" i="7"/>
  <c r="C31" i="7"/>
  <c r="C30" i="7"/>
  <c r="C29" i="7"/>
  <c r="C18" i="7"/>
  <c r="D17" i="7"/>
  <c r="D15" i="7"/>
  <c r="C16" i="7"/>
  <c r="C11" i="7"/>
  <c r="C9" i="7"/>
  <c r="U7" i="7"/>
  <c r="C28" i="7" s="1"/>
  <c r="U6" i="7"/>
  <c r="C6" i="7"/>
  <c r="F34" i="7" s="1"/>
  <c r="C15" i="6"/>
  <c r="C16" i="6" s="1"/>
  <c r="C23" i="6"/>
  <c r="C24" i="6" s="1"/>
  <c r="C6" i="6"/>
  <c r="F34" i="6" s="1"/>
  <c r="C40" i="6"/>
  <c r="C37" i="6"/>
  <c r="C31" i="6"/>
  <c r="C30" i="6"/>
  <c r="C29" i="6"/>
  <c r="C34" i="6" s="1"/>
  <c r="C28" i="6"/>
  <c r="C18" i="6"/>
  <c r="D17" i="6"/>
  <c r="D15" i="6"/>
  <c r="C11" i="6"/>
  <c r="C9" i="6"/>
  <c r="U7" i="6"/>
  <c r="U6" i="6"/>
  <c r="C34" i="7" l="1"/>
  <c r="C25" i="8"/>
  <c r="I24" i="8" s="1"/>
  <c r="I23" i="8"/>
  <c r="C27" i="8"/>
  <c r="I25" i="8" s="1"/>
  <c r="C38" i="8"/>
  <c r="I36" i="8" s="1"/>
  <c r="J14" i="7"/>
  <c r="J17" i="7"/>
  <c r="J20" i="7"/>
  <c r="C32" i="7"/>
  <c r="K4" i="7" s="1"/>
  <c r="K5" i="7" s="1"/>
  <c r="K6" i="7" s="1"/>
  <c r="J18" i="7"/>
  <c r="J12" i="7"/>
  <c r="F27" i="7"/>
  <c r="J13" i="7"/>
  <c r="J15" i="7"/>
  <c r="J21" i="7"/>
  <c r="J11" i="7"/>
  <c r="J19" i="7"/>
  <c r="J16" i="7"/>
  <c r="J20" i="6"/>
  <c r="C32" i="6"/>
  <c r="K4" i="6" s="1"/>
  <c r="K5" i="6" s="1"/>
  <c r="K6" i="6" s="1"/>
  <c r="K7" i="6" s="1"/>
  <c r="J16" i="6"/>
  <c r="J17" i="6"/>
  <c r="J14" i="6"/>
  <c r="J21" i="6"/>
  <c r="J11" i="6"/>
  <c r="J18" i="6"/>
  <c r="J15" i="6"/>
  <c r="J12" i="6"/>
  <c r="F27" i="6"/>
  <c r="J19" i="6"/>
  <c r="J13" i="6"/>
  <c r="C31" i="8" l="1"/>
  <c r="C29" i="8" s="1"/>
  <c r="I26" i="8" s="1"/>
  <c r="I28" i="8" s="1"/>
  <c r="I29" i="8" s="1"/>
  <c r="I11" i="7"/>
  <c r="K11" i="7" s="1"/>
  <c r="M11" i="7" s="1"/>
  <c r="K7" i="7"/>
  <c r="I11" i="6"/>
  <c r="K11" i="6" s="1"/>
  <c r="M11" i="6" s="1"/>
  <c r="I13" i="8" l="1"/>
  <c r="I14" i="8" s="1"/>
  <c r="I15" i="8" s="1"/>
  <c r="I27" i="8"/>
  <c r="I12" i="8"/>
  <c r="I11" i="8"/>
  <c r="C42" i="8"/>
  <c r="C40" i="8" s="1"/>
  <c r="L11" i="7"/>
  <c r="N11" i="7" s="1"/>
  <c r="O11" i="7" s="1"/>
  <c r="P11" i="7" s="1"/>
  <c r="Q11" i="7" s="1"/>
  <c r="I12" i="7" s="1"/>
  <c r="K12" i="7" s="1"/>
  <c r="L12" i="7" s="1"/>
  <c r="L11" i="6"/>
  <c r="N11" i="6" s="1"/>
  <c r="O11" i="6" s="1"/>
  <c r="P11" i="6" s="1"/>
  <c r="Q11" i="6" s="1"/>
  <c r="I12" i="6" s="1"/>
  <c r="K12" i="6" s="1"/>
  <c r="M12" i="6" s="1"/>
  <c r="I16" i="8" l="1"/>
  <c r="M29" i="8" s="1" a="1"/>
  <c r="M29" i="8" s="1"/>
  <c r="M30" i="8" s="1"/>
  <c r="M31" i="8" s="1"/>
  <c r="I17" i="8"/>
  <c r="I18" i="8" s="1"/>
  <c r="M24" i="8" a="1"/>
  <c r="M24" i="8" s="1"/>
  <c r="M25" i="8" s="1"/>
  <c r="M26" i="8" s="1"/>
  <c r="I37" i="8"/>
  <c r="C35" i="8"/>
  <c r="I9" i="8"/>
  <c r="I8" i="8"/>
  <c r="M12" i="7"/>
  <c r="N12" i="7" s="1"/>
  <c r="O12" i="7" s="1"/>
  <c r="P12" i="7" s="1"/>
  <c r="Q12" i="7" s="1"/>
  <c r="I13" i="7" s="1"/>
  <c r="K13" i="7" s="1"/>
  <c r="L13" i="7" s="1"/>
  <c r="L12" i="6"/>
  <c r="N12" i="6" s="1"/>
  <c r="O12" i="6" s="1"/>
  <c r="P12" i="6" s="1"/>
  <c r="Q12" i="6" s="1"/>
  <c r="I13" i="6" s="1"/>
  <c r="K13" i="6" s="1"/>
  <c r="L13" i="6" s="1"/>
  <c r="I10" i="8" l="1"/>
  <c r="C36" i="8"/>
  <c r="I35" i="8" s="1"/>
  <c r="I34" i="8"/>
  <c r="I6" i="8"/>
  <c r="I19" i="8"/>
  <c r="I20" i="8" s="1"/>
  <c r="I38" i="8"/>
  <c r="I39" i="8"/>
  <c r="I40" i="8" s="1"/>
  <c r="I7" i="8"/>
  <c r="M13" i="7"/>
  <c r="N13" i="7"/>
  <c r="O13" i="7" s="1"/>
  <c r="P13" i="7" s="1"/>
  <c r="Q13" i="7" s="1"/>
  <c r="I14" i="7" s="1"/>
  <c r="K14" i="7" s="1"/>
  <c r="M13" i="6"/>
  <c r="N13" i="6" s="1"/>
  <c r="O13" i="6" s="1"/>
  <c r="P13" i="6" s="1"/>
  <c r="Q13" i="6" s="1"/>
  <c r="I14" i="6" s="1"/>
  <c r="K14" i="6" s="1"/>
  <c r="M14" i="7" l="1"/>
  <c r="L14" i="7"/>
  <c r="N14" i="7" s="1"/>
  <c r="O14" i="7" s="1"/>
  <c r="P14" i="7" s="1"/>
  <c r="Q14" i="7" s="1"/>
  <c r="I15" i="7" s="1"/>
  <c r="K15" i="7" s="1"/>
  <c r="M14" i="6"/>
  <c r="L14" i="6"/>
  <c r="M15" i="7" l="1"/>
  <c r="L15" i="7"/>
  <c r="N15" i="7" s="1"/>
  <c r="O15" i="7" s="1"/>
  <c r="P15" i="7" s="1"/>
  <c r="Q15" i="7" s="1"/>
  <c r="I16" i="7" s="1"/>
  <c r="K16" i="7" s="1"/>
  <c r="N14" i="6"/>
  <c r="O14" i="6" s="1"/>
  <c r="P14" i="6" s="1"/>
  <c r="Q14" i="6" s="1"/>
  <c r="I15" i="6" s="1"/>
  <c r="K15" i="6" s="1"/>
  <c r="M15" i="6" s="1"/>
  <c r="L16" i="7" l="1"/>
  <c r="M16" i="7"/>
  <c r="L15" i="6"/>
  <c r="N15" i="6" s="1"/>
  <c r="O15" i="6" s="1"/>
  <c r="P15" i="6" s="1"/>
  <c r="Q15" i="6" s="1"/>
  <c r="I16" i="6" s="1"/>
  <c r="K16" i="6" s="1"/>
  <c r="M16" i="6" s="1"/>
  <c r="N16" i="7" l="1"/>
  <c r="O16" i="7" s="1"/>
  <c r="P16" i="7" s="1"/>
  <c r="Q16" i="7" s="1"/>
  <c r="I17" i="7" s="1"/>
  <c r="K17" i="7" s="1"/>
  <c r="L16" i="6"/>
  <c r="N16" i="6" s="1"/>
  <c r="O16" i="6" s="1"/>
  <c r="P16" i="6" s="1"/>
  <c r="Q16" i="6" s="1"/>
  <c r="I17" i="6" s="1"/>
  <c r="K17" i="6" s="1"/>
  <c r="M17" i="6" s="1"/>
  <c r="M17" i="7" l="1"/>
  <c r="L17" i="7"/>
  <c r="N17" i="7" s="1"/>
  <c r="O17" i="7" s="1"/>
  <c r="P17" i="7" s="1"/>
  <c r="Q17" i="7" s="1"/>
  <c r="I18" i="7" s="1"/>
  <c r="K18" i="7" s="1"/>
  <c r="L17" i="6"/>
  <c r="N17" i="6" s="1"/>
  <c r="O17" i="6" s="1"/>
  <c r="P17" i="6" s="1"/>
  <c r="Q17" i="6" s="1"/>
  <c r="I18" i="6" s="1"/>
  <c r="K18" i="6" s="1"/>
  <c r="M18" i="6" s="1"/>
  <c r="L18" i="7" l="1"/>
  <c r="M18" i="7"/>
  <c r="L18" i="6"/>
  <c r="N18" i="6" s="1"/>
  <c r="O18" i="6" s="1"/>
  <c r="P18" i="6" s="1"/>
  <c r="Q18" i="6" s="1"/>
  <c r="I19" i="6" s="1"/>
  <c r="K19" i="6" s="1"/>
  <c r="M19" i="6" s="1"/>
  <c r="N18" i="7" l="1"/>
  <c r="O18" i="7" s="1"/>
  <c r="P18" i="7" s="1"/>
  <c r="Q18" i="7" s="1"/>
  <c r="I19" i="7" s="1"/>
  <c r="K19" i="7" s="1"/>
  <c r="L19" i="6"/>
  <c r="N19" i="6" s="1"/>
  <c r="O19" i="6" s="1"/>
  <c r="P19" i="6" s="1"/>
  <c r="Q19" i="6" s="1"/>
  <c r="I20" i="6" s="1"/>
  <c r="K20" i="6" s="1"/>
  <c r="L20" i="6" s="1"/>
  <c r="L19" i="7" l="1"/>
  <c r="M19" i="7"/>
  <c r="M20" i="6"/>
  <c r="N20" i="6"/>
  <c r="O20" i="6" s="1"/>
  <c r="P20" i="6" s="1"/>
  <c r="Q20" i="6" s="1"/>
  <c r="I21" i="6" s="1"/>
  <c r="K21" i="6" s="1"/>
  <c r="N19" i="7" l="1"/>
  <c r="O19" i="7" s="1"/>
  <c r="P19" i="7" s="1"/>
  <c r="Q19" i="7" s="1"/>
  <c r="I20" i="7" s="1"/>
  <c r="K20" i="7" s="1"/>
  <c r="M21" i="6"/>
  <c r="L21" i="6"/>
  <c r="M20" i="7" l="1"/>
  <c r="L20" i="7"/>
  <c r="N20" i="7" s="1"/>
  <c r="O20" i="7" s="1"/>
  <c r="P20" i="7" s="1"/>
  <c r="Q20" i="7" s="1"/>
  <c r="I21" i="7" s="1"/>
  <c r="K21" i="7" s="1"/>
  <c r="N21" i="6"/>
  <c r="O21" i="6" s="1"/>
  <c r="P21" i="6" s="1"/>
  <c r="I24" i="6" s="1"/>
  <c r="I25" i="6" l="1"/>
  <c r="M39" i="5"/>
  <c r="M21" i="7"/>
  <c r="L21" i="7"/>
  <c r="N21" i="7" s="1"/>
  <c r="O21" i="7" s="1"/>
  <c r="P21" i="7" s="1"/>
  <c r="Q21" i="6"/>
  <c r="I26" i="6" s="1"/>
  <c r="I27" i="6" s="1"/>
  <c r="M38" i="5"/>
  <c r="M24" i="5" a="1"/>
  <c r="M24" i="5" s="1"/>
  <c r="M25" i="5" s="1"/>
  <c r="M26" i="5" s="1"/>
  <c r="M29" i="5" a="1"/>
  <c r="M29" i="5" s="1"/>
  <c r="J18" i="5"/>
  <c r="J20" i="5"/>
  <c r="J19" i="5"/>
  <c r="J17" i="5"/>
  <c r="J16" i="5"/>
  <c r="J15" i="5"/>
  <c r="J14" i="5"/>
  <c r="J13" i="5"/>
  <c r="J40" i="5"/>
  <c r="J38" i="5"/>
  <c r="J29" i="5"/>
  <c r="J27" i="5"/>
  <c r="J39" i="5"/>
  <c r="J28" i="5"/>
  <c r="D20" i="5"/>
  <c r="D42" i="5"/>
  <c r="F41" i="5"/>
  <c r="E41" i="5"/>
  <c r="D41" i="5"/>
  <c r="B41" i="5"/>
  <c r="D40" i="5"/>
  <c r="D39" i="5"/>
  <c r="J37" i="5"/>
  <c r="F37" i="5"/>
  <c r="F34" i="5"/>
  <c r="D31" i="5"/>
  <c r="F30" i="5"/>
  <c r="C31" i="5" s="1"/>
  <c r="E30" i="5"/>
  <c r="D30" i="5"/>
  <c r="B30" i="5"/>
  <c r="D29" i="5"/>
  <c r="J12" i="5"/>
  <c r="D28" i="5"/>
  <c r="J11" i="5"/>
  <c r="H11" i="5"/>
  <c r="J26" i="5"/>
  <c r="F26" i="5"/>
  <c r="C27" i="5" s="1"/>
  <c r="I25" i="5" s="1"/>
  <c r="F23" i="5"/>
  <c r="C24" i="5" s="1"/>
  <c r="C25" i="5" s="1"/>
  <c r="I24" i="5" s="1"/>
  <c r="S11" i="5" a="1"/>
  <c r="S11" i="5" s="1"/>
  <c r="J10" i="5"/>
  <c r="J9" i="5"/>
  <c r="J8" i="5"/>
  <c r="J7" i="5"/>
  <c r="V3" i="5"/>
  <c r="U3" i="5"/>
  <c r="Q21" i="7" l="1"/>
  <c r="I26" i="7" s="1"/>
  <c r="I27" i="7" s="1"/>
  <c r="I24" i="7"/>
  <c r="M30" i="5"/>
  <c r="M31" i="5" s="1"/>
  <c r="I23" i="5"/>
  <c r="C38" i="5"/>
  <c r="I36" i="5" s="1"/>
  <c r="I11" i="5"/>
  <c r="I25" i="7" l="1"/>
  <c r="M40" i="5"/>
  <c r="C29" i="5"/>
  <c r="I26" i="5" s="1"/>
  <c r="I8" i="5"/>
  <c r="I9" i="5"/>
  <c r="C42" i="5"/>
  <c r="C40" i="5" s="1"/>
  <c r="I27" i="5" l="1"/>
  <c r="I13" i="5"/>
  <c r="I14" i="5" s="1"/>
  <c r="I15" i="5" s="1"/>
  <c r="I17" i="5" s="1"/>
  <c r="I18" i="5" s="1"/>
  <c r="I12" i="5"/>
  <c r="I28" i="5"/>
  <c r="I29" i="5" s="1"/>
  <c r="C35" i="5"/>
  <c r="C36" i="5" s="1"/>
  <c r="I35" i="5" s="1"/>
  <c r="I37" i="5"/>
  <c r="I10" i="5"/>
  <c r="I16" i="5" l="1"/>
  <c r="I19" i="5"/>
  <c r="I20" i="5" s="1"/>
  <c r="I39" i="5"/>
  <c r="I40" i="5" s="1"/>
  <c r="I38" i="5"/>
  <c r="I7" i="5"/>
  <c r="I6" i="5"/>
  <c r="I3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Caiden Bonney</author>
  </authors>
  <commentList>
    <comment ref="L24" authorId="0" shapeId="0" xr:uid="{D59540A8-B456-48C9-9858-FB2457D0D81E}">
      <text>
        <r>
          <rPr>
            <b/>
            <sz val="9"/>
            <color indexed="81"/>
            <rFont val="Tahoma"/>
            <family val="2"/>
          </rPr>
          <t>Caiden Bonney:</t>
        </r>
        <r>
          <rPr>
            <sz val="9"/>
            <color indexed="81"/>
            <rFont val="Tahoma"/>
            <family val="2"/>
          </rPr>
          <t xml:space="preserve">
Assume Load is going in y direction</t>
        </r>
      </text>
    </comment>
    <comment ref="L25" authorId="0" shapeId="0" xr:uid="{AC983AD9-64BD-481D-B97C-C4C731CE91BE}">
      <text>
        <r>
          <rPr>
            <b/>
            <sz val="9"/>
            <color indexed="81"/>
            <rFont val="Tahoma"/>
            <family val="2"/>
          </rPr>
          <t>Caiden Bonney:</t>
        </r>
        <r>
          <rPr>
            <sz val="9"/>
            <color indexed="81"/>
            <rFont val="Tahoma"/>
            <family val="2"/>
          </rPr>
          <t xml:space="preserve">
Assume Load is going in y direction</t>
        </r>
      </text>
    </comment>
    <comment ref="L26" authorId="0" shapeId="0" xr:uid="{4721AFEF-C739-4EBD-9608-C64DE1D649B2}">
      <text>
        <r>
          <rPr>
            <b/>
            <sz val="9"/>
            <color indexed="81"/>
            <rFont val="Tahoma"/>
            <family val="2"/>
          </rPr>
          <t>Caiden Bonney:</t>
        </r>
        <r>
          <rPr>
            <sz val="9"/>
            <color indexed="81"/>
            <rFont val="Tahoma"/>
            <family val="2"/>
          </rPr>
          <t xml:space="preserve">
Assume Load is going in y direction</t>
        </r>
      </text>
    </comment>
    <comment ref="L29" authorId="0" shapeId="0" xr:uid="{93E78ADD-8A34-4F9D-B265-63AA45EC0631}">
      <text>
        <r>
          <rPr>
            <b/>
            <sz val="9"/>
            <color indexed="81"/>
            <rFont val="Tahoma"/>
            <family val="2"/>
          </rPr>
          <t>Caiden Bonney:</t>
        </r>
        <r>
          <rPr>
            <sz val="9"/>
            <color indexed="81"/>
            <rFont val="Tahoma"/>
            <family val="2"/>
          </rPr>
          <t xml:space="preserve">
Assume Load is going in y direction</t>
        </r>
      </text>
    </comment>
    <comment ref="L30" authorId="0" shapeId="0" xr:uid="{2645F36F-1B1B-4D99-ADBC-DFB6C7733556}">
      <text>
        <r>
          <rPr>
            <b/>
            <sz val="9"/>
            <color indexed="81"/>
            <rFont val="Tahoma"/>
            <family val="2"/>
          </rPr>
          <t>Caiden Bonney:</t>
        </r>
        <r>
          <rPr>
            <sz val="9"/>
            <color indexed="81"/>
            <rFont val="Tahoma"/>
            <family val="2"/>
          </rPr>
          <t xml:space="preserve">
Assume Load is going in y direction</t>
        </r>
      </text>
    </comment>
    <comment ref="L31" authorId="0" shapeId="0" xr:uid="{C2534107-4A4C-444D-A149-9DCE101B62E2}">
      <text>
        <r>
          <rPr>
            <b/>
            <sz val="9"/>
            <color indexed="81"/>
            <rFont val="Tahoma"/>
            <family val="2"/>
          </rPr>
          <t>Caiden Bonney:</t>
        </r>
        <r>
          <rPr>
            <sz val="9"/>
            <color indexed="81"/>
            <rFont val="Tahoma"/>
            <family val="2"/>
          </rPr>
          <t xml:space="preserve">
Assume Load is going in y direction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Caiden Bonney</author>
  </authors>
  <commentList>
    <comment ref="L24" authorId="0" shapeId="0" xr:uid="{AB1B4D70-B798-42F3-AA24-7CC19680A92A}">
      <text>
        <r>
          <rPr>
            <b/>
            <sz val="9"/>
            <color indexed="81"/>
            <rFont val="Tahoma"/>
            <family val="2"/>
          </rPr>
          <t>Caiden Bonney:</t>
        </r>
        <r>
          <rPr>
            <sz val="9"/>
            <color indexed="81"/>
            <rFont val="Tahoma"/>
            <family val="2"/>
          </rPr>
          <t xml:space="preserve">
Assume Load is going in y direction</t>
        </r>
      </text>
    </comment>
    <comment ref="L25" authorId="0" shapeId="0" xr:uid="{499BE94E-B7EF-41EB-88D9-AB21BFF9E693}">
      <text>
        <r>
          <rPr>
            <b/>
            <sz val="9"/>
            <color indexed="81"/>
            <rFont val="Tahoma"/>
            <family val="2"/>
          </rPr>
          <t>Caiden Bonney:</t>
        </r>
        <r>
          <rPr>
            <sz val="9"/>
            <color indexed="81"/>
            <rFont val="Tahoma"/>
            <family val="2"/>
          </rPr>
          <t xml:space="preserve">
Assume Load is going in y direction</t>
        </r>
      </text>
    </comment>
    <comment ref="L26" authorId="0" shapeId="0" xr:uid="{8E92866F-75DD-4E2A-85D4-12038186C70F}">
      <text>
        <r>
          <rPr>
            <b/>
            <sz val="9"/>
            <color indexed="81"/>
            <rFont val="Tahoma"/>
            <family val="2"/>
          </rPr>
          <t>Caiden Bonney:</t>
        </r>
        <r>
          <rPr>
            <sz val="9"/>
            <color indexed="81"/>
            <rFont val="Tahoma"/>
            <family val="2"/>
          </rPr>
          <t xml:space="preserve">
Assume Load is going in y direction</t>
        </r>
      </text>
    </comment>
    <comment ref="L29" authorId="0" shapeId="0" xr:uid="{3F301FF5-D025-4EC5-A798-AFC2FD988F67}">
      <text>
        <r>
          <rPr>
            <b/>
            <sz val="9"/>
            <color indexed="81"/>
            <rFont val="Tahoma"/>
            <family val="2"/>
          </rPr>
          <t>Caiden Bonney:</t>
        </r>
        <r>
          <rPr>
            <sz val="9"/>
            <color indexed="81"/>
            <rFont val="Tahoma"/>
            <family val="2"/>
          </rPr>
          <t xml:space="preserve">
Assume Load is going in y direction</t>
        </r>
      </text>
    </comment>
    <comment ref="L30" authorId="0" shapeId="0" xr:uid="{F3DBFDB3-30E8-4109-9C94-655A45623E79}">
      <text>
        <r>
          <rPr>
            <b/>
            <sz val="9"/>
            <color indexed="81"/>
            <rFont val="Tahoma"/>
            <family val="2"/>
          </rPr>
          <t>Caiden Bonney:</t>
        </r>
        <r>
          <rPr>
            <sz val="9"/>
            <color indexed="81"/>
            <rFont val="Tahoma"/>
            <family val="2"/>
          </rPr>
          <t xml:space="preserve">
Assume Load is going in y direction</t>
        </r>
      </text>
    </comment>
    <comment ref="L31" authorId="0" shapeId="0" xr:uid="{481405DB-8C02-4D03-A84D-9144A593DD4A}">
      <text>
        <r>
          <rPr>
            <b/>
            <sz val="9"/>
            <color indexed="81"/>
            <rFont val="Tahoma"/>
            <family val="2"/>
          </rPr>
          <t>Caiden Bonney:</t>
        </r>
        <r>
          <rPr>
            <sz val="9"/>
            <color indexed="81"/>
            <rFont val="Tahoma"/>
            <family val="2"/>
          </rPr>
          <t xml:space="preserve">
Assume Load is going in y direction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Caiden Bonney</author>
  </authors>
  <commentList>
    <comment ref="C5" authorId="0" shapeId="0" xr:uid="{BA65B580-F02A-41EE-BDFD-C7BA25C8A5A1}">
      <text>
        <r>
          <rPr>
            <b/>
            <sz val="9"/>
            <color indexed="81"/>
            <rFont val="Tahoma"/>
            <family val="2"/>
          </rPr>
          <t>Caiden Bonney:</t>
        </r>
        <r>
          <rPr>
            <sz val="9"/>
            <color indexed="81"/>
            <rFont val="Tahoma"/>
            <family val="2"/>
          </rPr>
          <t xml:space="preserve">
Changes Weibull Parameters based on Table 11-6</t>
        </r>
      </text>
    </comment>
    <comment ref="B6" authorId="0" shapeId="0" xr:uid="{2ED191E1-2117-458B-AB6B-50F4618C1144}">
      <text>
        <r>
          <rPr>
            <b/>
            <sz val="9"/>
            <color indexed="81"/>
            <rFont val="Tahoma"/>
            <family val="2"/>
          </rPr>
          <t>Caiden Bonney:</t>
        </r>
        <r>
          <rPr>
            <sz val="9"/>
            <color indexed="81"/>
            <rFont val="Tahoma"/>
            <family val="2"/>
          </rPr>
          <t xml:space="preserve">
Must be greater than 90%</t>
        </r>
      </text>
    </comment>
    <comment ref="C6" authorId="0" shapeId="0" xr:uid="{AABCE762-3D59-4B03-BAA1-D555720FB82D}">
      <text>
        <r>
          <rPr>
            <b/>
            <sz val="9"/>
            <color indexed="81"/>
            <rFont val="Tahoma"/>
            <family val="2"/>
          </rPr>
          <t>Caiden Bonney:</t>
        </r>
        <r>
          <rPr>
            <sz val="9"/>
            <color indexed="81"/>
            <rFont val="Tahoma"/>
            <family val="2"/>
          </rPr>
          <t xml:space="preserve">
Reliability is multiplied so if there are two bearings and the pair together must have a reliability of 99% then:
Rb * Rb = 99%
Rb = SQRT(99%)
in which Rb is the reliablity of a single bearing.
(if there was 3 it would be Rb * Rb * Rb = 99%)</t>
        </r>
      </text>
    </comment>
    <comment ref="J6" authorId="0" shapeId="0" xr:uid="{F453D584-5CD6-4593-839A-5CCBC8FF8910}">
      <text>
        <r>
          <rPr>
            <b/>
            <sz val="9"/>
            <color indexed="81"/>
            <rFont val="Tahoma"/>
            <family val="2"/>
          </rPr>
          <t>Caiden Bonney:</t>
        </r>
        <r>
          <rPr>
            <sz val="9"/>
            <color indexed="81"/>
            <rFont val="Tahoma"/>
            <family val="2"/>
          </rPr>
          <t xml:space="preserve">
C0 is also known as static load rating</t>
        </r>
      </text>
    </comment>
    <comment ref="C7" authorId="0" shapeId="0" xr:uid="{8E793A16-08DA-4965-A13F-43AED97233EA}">
      <text>
        <r>
          <rPr>
            <b/>
            <sz val="9"/>
            <color indexed="81"/>
            <rFont val="Tahoma"/>
            <family val="2"/>
          </rPr>
          <t>Caiden Bonney:</t>
        </r>
        <r>
          <rPr>
            <sz val="9"/>
            <color indexed="81"/>
            <rFont val="Tahoma"/>
            <family val="2"/>
          </rPr>
          <t xml:space="preserve">
Deep Groove and Angular correpsond to Ball bearings
02-Series and 03-Series correspond to Roller bearings</t>
        </r>
      </text>
    </comment>
    <comment ref="B11" authorId="0" shapeId="0" xr:uid="{4BE61E7B-0BE2-49DE-8AE7-959FAEEC1E5F}">
      <text>
        <r>
          <rPr>
            <b/>
            <sz val="9"/>
            <color indexed="81"/>
            <rFont val="Tahoma"/>
            <family val="2"/>
          </rPr>
          <t>Caiden Bonney:</t>
        </r>
        <r>
          <rPr>
            <sz val="9"/>
            <color indexed="81"/>
            <rFont val="Tahoma"/>
            <family val="2"/>
          </rPr>
          <t xml:space="preserve">
ball bearings a = 3
roller bearings a = 10/3</t>
        </r>
      </text>
    </comment>
    <comment ref="I11" authorId="0" shapeId="0" xr:uid="{4873E1A8-33F8-4AA7-98AA-1685FAFED297}">
      <text>
        <r>
          <rPr>
            <b/>
            <sz val="9"/>
            <color indexed="81"/>
            <rFont val="Tahoma"/>
            <family val="2"/>
          </rPr>
          <t>Caiden Bonney:</t>
        </r>
        <r>
          <rPr>
            <sz val="9"/>
            <color indexed="81"/>
            <rFont val="Tahoma"/>
            <family val="2"/>
          </rPr>
          <t xml:space="preserve">
should match value above but if less than 0.014 will be automatically adjusted to that</t>
        </r>
      </text>
    </comment>
    <comment ref="B19" authorId="0" shapeId="0" xr:uid="{D324EBBC-8C83-45AB-BC98-55450D6EE6AB}">
      <text>
        <r>
          <rPr>
            <b/>
            <sz val="9"/>
            <color indexed="81"/>
            <rFont val="Tahoma"/>
            <family val="2"/>
          </rPr>
          <t>Caiden Bonney:</t>
        </r>
        <r>
          <rPr>
            <sz val="9"/>
            <color indexed="81"/>
            <rFont val="Tahoma"/>
            <family val="2"/>
          </rPr>
          <t xml:space="preserve">
Modifies load to account for dynamic loading 
(fudge factor)</t>
        </r>
      </text>
    </comment>
    <comment ref="E27" authorId="0" shapeId="0" xr:uid="{60A9502D-5072-49A5-8ADB-FDD3AA0FF487}">
      <text>
        <r>
          <rPr>
            <b/>
            <sz val="9"/>
            <color indexed="81"/>
            <rFont val="Tahoma"/>
            <family val="2"/>
          </rPr>
          <t>Caiden Bonney:</t>
        </r>
        <r>
          <rPr>
            <sz val="9"/>
            <color indexed="81"/>
            <rFont val="Tahoma"/>
            <family val="2"/>
          </rPr>
          <t xml:space="preserve">
Because of the weirdness of adjusting the reliabliity line to the same line there is some error so intputing this value will give the same values as the original reliability line of 90%</t>
        </r>
      </text>
    </comment>
    <comment ref="B29" authorId="0" shapeId="0" xr:uid="{010439BA-052D-4485-A5EC-70A39C18BB99}">
      <text>
        <r>
          <rPr>
            <b/>
            <sz val="9"/>
            <color indexed="81"/>
            <rFont val="Tahoma"/>
            <family val="2"/>
          </rPr>
          <t>Caiden Bonney:</t>
        </r>
        <r>
          <rPr>
            <sz val="9"/>
            <color indexed="81"/>
            <rFont val="Tahoma"/>
            <family val="2"/>
          </rPr>
          <t xml:space="preserve">
Number of cycles at which there is 100% reliability 
(tests resulted in no breakage</t>
        </r>
      </text>
    </comment>
    <comment ref="B30" authorId="0" shapeId="0" xr:uid="{1DBF8C3C-A4CC-4AB0-944C-8EAB9EDEB5FE}">
      <text>
        <r>
          <rPr>
            <b/>
            <sz val="9"/>
            <color indexed="81"/>
            <rFont val="Tahoma"/>
            <family val="2"/>
          </rPr>
          <t>Caiden Bonney:</t>
        </r>
        <r>
          <rPr>
            <sz val="9"/>
            <color indexed="81"/>
            <rFont val="Tahoma"/>
            <family val="2"/>
          </rPr>
          <t xml:space="preserve">
Adjusts shape of Weibull distribution (provided by manufacturer)</t>
        </r>
      </text>
    </comment>
    <comment ref="B31" authorId="0" shapeId="0" xr:uid="{DB4A36DB-B0FF-4024-B66B-E7BC5796C04B}">
      <text>
        <r>
          <rPr>
            <b/>
            <sz val="9"/>
            <color indexed="81"/>
            <rFont val="Tahoma"/>
            <family val="2"/>
          </rPr>
          <t>Caiden Bonney:</t>
        </r>
        <r>
          <rPr>
            <sz val="9"/>
            <color indexed="81"/>
            <rFont val="Tahoma"/>
            <family val="2"/>
          </rPr>
          <t xml:space="preserve">
Adjusts shape of Weibull distribution (provided by manufacturer)</t>
        </r>
      </text>
    </comment>
    <comment ref="F33" authorId="0" shapeId="0" xr:uid="{75F87EB6-5071-4722-A475-50263ACD00C4}">
      <text>
        <r>
          <rPr>
            <b/>
            <sz val="9"/>
            <color indexed="81"/>
            <rFont val="Tahoma"/>
            <family val="2"/>
          </rPr>
          <t>Caiden Bonney:</t>
        </r>
        <r>
          <rPr>
            <sz val="9"/>
            <color indexed="81"/>
            <rFont val="Tahoma"/>
            <family val="2"/>
          </rPr>
          <t xml:space="preserve">
If this is checked then it ignores the L_D written above for the Adjusted reliability but not for the default reliablilty of 90% above</t>
        </r>
      </text>
    </comment>
    <comment ref="B34" authorId="0" shapeId="0" xr:uid="{2810080E-09DF-4CBD-AA87-F854582DD93E}">
      <text>
        <r>
          <rPr>
            <b/>
            <sz val="9"/>
            <color indexed="81"/>
            <rFont val="Tahoma"/>
            <family val="2"/>
          </rPr>
          <t>Caiden Bonney:</t>
        </r>
        <r>
          <rPr>
            <sz val="9"/>
            <color indexed="81"/>
            <rFont val="Tahoma"/>
            <family val="2"/>
          </rPr>
          <t xml:space="preserve">
intersection of C_10 with higher reliability line R_D</t>
        </r>
      </text>
    </comment>
    <comment ref="B38" authorId="0" shapeId="0" xr:uid="{C982D571-F38A-49E7-8CED-B2C85D499B61}">
      <text>
        <r>
          <rPr>
            <b/>
            <sz val="9"/>
            <color indexed="81"/>
            <rFont val="Tahoma"/>
            <family val="2"/>
          </rPr>
          <t>Caiden Bonney:</t>
        </r>
        <r>
          <rPr>
            <sz val="9"/>
            <color indexed="81"/>
            <rFont val="Tahoma"/>
            <family val="2"/>
          </rPr>
          <t xml:space="preserve">
Number of cycles at which there is 100% reliability 
(tests resulted in no breakage</t>
        </r>
      </text>
    </comment>
    <comment ref="B39" authorId="0" shapeId="0" xr:uid="{63AA75EC-0C9D-40D5-809D-2F4B869F4471}">
      <text>
        <r>
          <rPr>
            <b/>
            <sz val="9"/>
            <color indexed="81"/>
            <rFont val="Tahoma"/>
            <family val="2"/>
          </rPr>
          <t>Caiden Bonney:</t>
        </r>
        <r>
          <rPr>
            <sz val="9"/>
            <color indexed="81"/>
            <rFont val="Tahoma"/>
            <family val="2"/>
          </rPr>
          <t xml:space="preserve">
Adjusts shape of Weibull distribution (provided by manufacturer)</t>
        </r>
      </text>
    </comment>
    <comment ref="B40" authorId="0" shapeId="0" xr:uid="{199E55E8-6209-4041-A122-0C2614CC4FC5}">
      <text>
        <r>
          <rPr>
            <b/>
            <sz val="9"/>
            <color indexed="81"/>
            <rFont val="Tahoma"/>
            <family val="2"/>
          </rPr>
          <t>Caiden Bonney:</t>
        </r>
        <r>
          <rPr>
            <sz val="9"/>
            <color indexed="81"/>
            <rFont val="Tahoma"/>
            <family val="2"/>
          </rPr>
          <t xml:space="preserve">
Adjusts shape of Weibull distribution (provided by manufacturer)</t>
        </r>
      </text>
    </comment>
    <comment ref="B42" authorId="0" shapeId="0" xr:uid="{C3CFB5FC-BBDF-4E25-A734-53A12650A517}">
      <text>
        <r>
          <rPr>
            <b/>
            <sz val="9"/>
            <color indexed="81"/>
            <rFont val="Tahoma"/>
            <family val="2"/>
          </rPr>
          <t>Caiden Bonney:</t>
        </r>
        <r>
          <rPr>
            <sz val="9"/>
            <color indexed="81"/>
            <rFont val="Tahoma"/>
            <family val="2"/>
          </rPr>
          <t xml:space="preserve">
Adjusts shape of Weibull distribution (provided by manufacturer)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Caiden Bonney</author>
  </authors>
  <commentList>
    <comment ref="C5" authorId="0" shapeId="0" xr:uid="{A814BE14-FA83-4F64-90EA-194BC85CE2A7}">
      <text>
        <r>
          <rPr>
            <b/>
            <sz val="9"/>
            <color indexed="81"/>
            <rFont val="Tahoma"/>
            <family val="2"/>
          </rPr>
          <t>Caiden Bonney:</t>
        </r>
        <r>
          <rPr>
            <sz val="9"/>
            <color indexed="81"/>
            <rFont val="Tahoma"/>
            <family val="2"/>
          </rPr>
          <t xml:space="preserve">
Changes Weibull Parameters based on Table 11-6</t>
        </r>
      </text>
    </comment>
    <comment ref="B6" authorId="0" shapeId="0" xr:uid="{5A0D75E0-F0E5-49FD-B8A0-C513F9E1063C}">
      <text>
        <r>
          <rPr>
            <b/>
            <sz val="9"/>
            <color indexed="81"/>
            <rFont val="Tahoma"/>
            <family val="2"/>
          </rPr>
          <t>Caiden Bonney:</t>
        </r>
        <r>
          <rPr>
            <sz val="9"/>
            <color indexed="81"/>
            <rFont val="Tahoma"/>
            <family val="2"/>
          </rPr>
          <t xml:space="preserve">
Must be greater than 90%</t>
        </r>
      </text>
    </comment>
    <comment ref="C6" authorId="0" shapeId="0" xr:uid="{D62252EE-6752-48CF-A753-D5ADF7EC6DE4}">
      <text>
        <r>
          <rPr>
            <b/>
            <sz val="9"/>
            <color indexed="81"/>
            <rFont val="Tahoma"/>
            <family val="2"/>
          </rPr>
          <t>Caiden Bonney:</t>
        </r>
        <r>
          <rPr>
            <sz val="9"/>
            <color indexed="81"/>
            <rFont val="Tahoma"/>
            <family val="2"/>
          </rPr>
          <t xml:space="preserve">
Reliability is multiplied so if there are two bearings and the pair together must have a reliability of 99% then:
Rb * Rb = 99%
Rb = SQRT(99%)
in which Rb is the reliablity of a single bearing.
(if there was 3 it would be Rb * Rb * Rb = 99%)</t>
        </r>
      </text>
    </comment>
    <comment ref="J6" authorId="0" shapeId="0" xr:uid="{46620DD8-D0B6-4BB8-A9E1-B9A2890FC45F}">
      <text>
        <r>
          <rPr>
            <b/>
            <sz val="9"/>
            <color indexed="81"/>
            <rFont val="Tahoma"/>
            <family val="2"/>
          </rPr>
          <t>Caiden Bonney:</t>
        </r>
        <r>
          <rPr>
            <sz val="9"/>
            <color indexed="81"/>
            <rFont val="Tahoma"/>
            <family val="2"/>
          </rPr>
          <t xml:space="preserve">
C0 is also known as static load rating</t>
        </r>
      </text>
    </comment>
    <comment ref="C7" authorId="0" shapeId="0" xr:uid="{908B9FC0-A095-439E-9C79-BF5548B150AF}">
      <text>
        <r>
          <rPr>
            <b/>
            <sz val="9"/>
            <color indexed="81"/>
            <rFont val="Tahoma"/>
            <family val="2"/>
          </rPr>
          <t>Caiden Bonney:</t>
        </r>
        <r>
          <rPr>
            <sz val="9"/>
            <color indexed="81"/>
            <rFont val="Tahoma"/>
            <family val="2"/>
          </rPr>
          <t xml:space="preserve">
Deep Groove and Angular correpsond to Ball bearings
02-Series and 03-Series correspond to Roller bearings</t>
        </r>
      </text>
    </comment>
    <comment ref="B11" authorId="0" shapeId="0" xr:uid="{A6B48A64-A1D1-4858-832D-EEE1BD0C1884}">
      <text>
        <r>
          <rPr>
            <b/>
            <sz val="9"/>
            <color indexed="81"/>
            <rFont val="Tahoma"/>
            <family val="2"/>
          </rPr>
          <t>Caiden Bonney:</t>
        </r>
        <r>
          <rPr>
            <sz val="9"/>
            <color indexed="81"/>
            <rFont val="Tahoma"/>
            <family val="2"/>
          </rPr>
          <t xml:space="preserve">
ball bearings a = 3
roller bearings a = 10/3</t>
        </r>
      </text>
    </comment>
    <comment ref="I11" authorId="0" shapeId="0" xr:uid="{15672F50-3F18-413E-96D6-0790CB29F5A2}">
      <text>
        <r>
          <rPr>
            <b/>
            <sz val="9"/>
            <color indexed="81"/>
            <rFont val="Tahoma"/>
            <family val="2"/>
          </rPr>
          <t>Caiden Bonney:</t>
        </r>
        <r>
          <rPr>
            <sz val="9"/>
            <color indexed="81"/>
            <rFont val="Tahoma"/>
            <family val="2"/>
          </rPr>
          <t xml:space="preserve">
should match value above but if less than 0.014 will be automatically adjusted to that</t>
        </r>
      </text>
    </comment>
    <comment ref="B19" authorId="0" shapeId="0" xr:uid="{85D726F4-6AA5-4C7A-B5C8-CFC45750B8AE}">
      <text>
        <r>
          <rPr>
            <b/>
            <sz val="9"/>
            <color indexed="81"/>
            <rFont val="Tahoma"/>
            <family val="2"/>
          </rPr>
          <t>Caiden Bonney:</t>
        </r>
        <r>
          <rPr>
            <sz val="9"/>
            <color indexed="81"/>
            <rFont val="Tahoma"/>
            <family val="2"/>
          </rPr>
          <t xml:space="preserve">
Modifies load to account for dynamic loading 
(fudge factor)</t>
        </r>
      </text>
    </comment>
    <comment ref="E27" authorId="0" shapeId="0" xr:uid="{A4C99134-B62A-425F-8621-92C893EE4B40}">
      <text>
        <r>
          <rPr>
            <b/>
            <sz val="9"/>
            <color indexed="81"/>
            <rFont val="Tahoma"/>
            <family val="2"/>
          </rPr>
          <t>Caiden Bonney:</t>
        </r>
        <r>
          <rPr>
            <sz val="9"/>
            <color indexed="81"/>
            <rFont val="Tahoma"/>
            <family val="2"/>
          </rPr>
          <t xml:space="preserve">
Because of the weirdness of adjusting the reliabliity line to the same line there is some error so intputing this value will give the same values as the original reliability line of 90%</t>
        </r>
      </text>
    </comment>
    <comment ref="B29" authorId="0" shapeId="0" xr:uid="{3A70C2B0-04CB-4834-B5AA-1618C98594E0}">
      <text>
        <r>
          <rPr>
            <b/>
            <sz val="9"/>
            <color indexed="81"/>
            <rFont val="Tahoma"/>
            <family val="2"/>
          </rPr>
          <t>Caiden Bonney:</t>
        </r>
        <r>
          <rPr>
            <sz val="9"/>
            <color indexed="81"/>
            <rFont val="Tahoma"/>
            <family val="2"/>
          </rPr>
          <t xml:space="preserve">
Number of cycles at which there is 100% reliability 
(tests resulted in no breakage</t>
        </r>
      </text>
    </comment>
    <comment ref="B30" authorId="0" shapeId="0" xr:uid="{545E4123-AC90-4075-9DC3-2EF2D5D2F07F}">
      <text>
        <r>
          <rPr>
            <b/>
            <sz val="9"/>
            <color indexed="81"/>
            <rFont val="Tahoma"/>
            <family val="2"/>
          </rPr>
          <t>Caiden Bonney:</t>
        </r>
        <r>
          <rPr>
            <sz val="9"/>
            <color indexed="81"/>
            <rFont val="Tahoma"/>
            <family val="2"/>
          </rPr>
          <t xml:space="preserve">
Adjusts shape of Weibull distribution (provided by manufacturer)</t>
        </r>
      </text>
    </comment>
    <comment ref="B31" authorId="0" shapeId="0" xr:uid="{09CB9DD1-4607-477B-8ECE-FBC9B6B74287}">
      <text>
        <r>
          <rPr>
            <b/>
            <sz val="9"/>
            <color indexed="81"/>
            <rFont val="Tahoma"/>
            <family val="2"/>
          </rPr>
          <t>Caiden Bonney:</t>
        </r>
        <r>
          <rPr>
            <sz val="9"/>
            <color indexed="81"/>
            <rFont val="Tahoma"/>
            <family val="2"/>
          </rPr>
          <t xml:space="preserve">
Adjusts shape of Weibull distribution (provided by manufacturer)</t>
        </r>
      </text>
    </comment>
    <comment ref="F33" authorId="0" shapeId="0" xr:uid="{1061FA84-7AB3-4293-9BC6-7B1A1D0F5AC2}">
      <text>
        <r>
          <rPr>
            <b/>
            <sz val="9"/>
            <color indexed="81"/>
            <rFont val="Tahoma"/>
            <family val="2"/>
          </rPr>
          <t>Caiden Bonney:</t>
        </r>
        <r>
          <rPr>
            <sz val="9"/>
            <color indexed="81"/>
            <rFont val="Tahoma"/>
            <family val="2"/>
          </rPr>
          <t xml:space="preserve">
If this is checked then it ignores the L_D written above for the Adjusted reliability but not for the default reliablilty of 90% above</t>
        </r>
      </text>
    </comment>
    <comment ref="B34" authorId="0" shapeId="0" xr:uid="{DA989DA1-076D-4425-8F60-C2155EDF7B05}">
      <text>
        <r>
          <rPr>
            <b/>
            <sz val="9"/>
            <color indexed="81"/>
            <rFont val="Tahoma"/>
            <family val="2"/>
          </rPr>
          <t>Caiden Bonney:</t>
        </r>
        <r>
          <rPr>
            <sz val="9"/>
            <color indexed="81"/>
            <rFont val="Tahoma"/>
            <family val="2"/>
          </rPr>
          <t xml:space="preserve">
intersection of C_10 with higher reliability line R_D</t>
        </r>
      </text>
    </comment>
    <comment ref="B38" authorId="0" shapeId="0" xr:uid="{381F4472-5FA6-4751-91AB-09140E90E630}">
      <text>
        <r>
          <rPr>
            <b/>
            <sz val="9"/>
            <color indexed="81"/>
            <rFont val="Tahoma"/>
            <family val="2"/>
          </rPr>
          <t>Caiden Bonney:</t>
        </r>
        <r>
          <rPr>
            <sz val="9"/>
            <color indexed="81"/>
            <rFont val="Tahoma"/>
            <family val="2"/>
          </rPr>
          <t xml:space="preserve">
Number of cycles at which there is 100% reliability 
(tests resulted in no breakage</t>
        </r>
      </text>
    </comment>
    <comment ref="B39" authorId="0" shapeId="0" xr:uid="{5D9A89C8-2034-4862-845C-A5A1423D2D01}">
      <text>
        <r>
          <rPr>
            <b/>
            <sz val="9"/>
            <color indexed="81"/>
            <rFont val="Tahoma"/>
            <family val="2"/>
          </rPr>
          <t>Caiden Bonney:</t>
        </r>
        <r>
          <rPr>
            <sz val="9"/>
            <color indexed="81"/>
            <rFont val="Tahoma"/>
            <family val="2"/>
          </rPr>
          <t xml:space="preserve">
Adjusts shape of Weibull distribution (provided by manufacturer)</t>
        </r>
      </text>
    </comment>
    <comment ref="B40" authorId="0" shapeId="0" xr:uid="{93307BDD-C77B-47C1-98F0-68F6B93D75FB}">
      <text>
        <r>
          <rPr>
            <b/>
            <sz val="9"/>
            <color indexed="81"/>
            <rFont val="Tahoma"/>
            <family val="2"/>
          </rPr>
          <t>Caiden Bonney:</t>
        </r>
        <r>
          <rPr>
            <sz val="9"/>
            <color indexed="81"/>
            <rFont val="Tahoma"/>
            <family val="2"/>
          </rPr>
          <t xml:space="preserve">
Adjusts shape of Weibull distribution (provided by manufacturer)</t>
        </r>
      </text>
    </comment>
    <comment ref="B42" authorId="0" shapeId="0" xr:uid="{594DECE9-3AD1-41F3-8EA2-43A5FB8BE927}">
      <text>
        <r>
          <rPr>
            <b/>
            <sz val="9"/>
            <color indexed="81"/>
            <rFont val="Tahoma"/>
            <family val="2"/>
          </rPr>
          <t>Caiden Bonney:</t>
        </r>
        <r>
          <rPr>
            <sz val="9"/>
            <color indexed="81"/>
            <rFont val="Tahoma"/>
            <family val="2"/>
          </rPr>
          <t xml:space="preserve">
Adjusts shape of Weibull distribution (provided by manufacturer)</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<sst xmlns="http://schemas.openxmlformats.org/spreadsheetml/2006/main" count="498" uniqueCount="167">
  <si>
    <t>INPUTS</t>
  </si>
  <si>
    <t>Units:</t>
  </si>
  <si>
    <t>rev/min</t>
  </si>
  <si>
    <t>English</t>
  </si>
  <si>
    <t>OUTPUTS</t>
  </si>
  <si>
    <t>d known</t>
  </si>
  <si>
    <t>teeth</t>
  </si>
  <si>
    <r>
      <t>ω</t>
    </r>
    <r>
      <rPr>
        <vertAlign val="subscript"/>
        <sz val="11"/>
        <color theme="1"/>
        <rFont val="Aptos Narrow"/>
        <family val="2"/>
        <scheme val="minor"/>
      </rPr>
      <t>G</t>
    </r>
    <r>
      <rPr>
        <sz val="11"/>
        <color theme="1"/>
        <rFont val="Aptos Narrow"/>
        <family val="2"/>
        <scheme val="minor"/>
      </rPr>
      <t xml:space="preserve"> known</t>
    </r>
  </si>
  <si>
    <r>
      <t>N</t>
    </r>
    <r>
      <rPr>
        <vertAlign val="subscript"/>
        <sz val="11"/>
        <color theme="1"/>
        <rFont val="Aptos Narrow"/>
        <family val="2"/>
        <scheme val="minor"/>
      </rPr>
      <t>G</t>
    </r>
    <r>
      <rPr>
        <sz val="11"/>
        <color theme="1"/>
        <rFont val="Aptos Narrow"/>
        <family val="2"/>
        <scheme val="minor"/>
      </rPr>
      <t xml:space="preserve"> known</t>
    </r>
  </si>
  <si>
    <t>Tooth System</t>
  </si>
  <si>
    <t>Pressure Angle (ϕ) [deg]</t>
  </si>
  <si>
    <t>Full depth</t>
  </si>
  <si>
    <t>1.35/P or 1.35m</t>
  </si>
  <si>
    <t>Stub</t>
  </si>
  <si>
    <t>Pressure Angle, ϕ</t>
  </si>
  <si>
    <t>deg</t>
  </si>
  <si>
    <t>Table 13-1</t>
  </si>
  <si>
    <t>Addendum, a</t>
  </si>
  <si>
    <t>Dedendum, b</t>
  </si>
  <si>
    <t>C-C dist. Pinion &amp; Gear</t>
  </si>
  <si>
    <t>Speed Ratio: Pinion/Gear</t>
  </si>
  <si>
    <t>-</t>
  </si>
  <si>
    <t>Tooth Clearance</t>
  </si>
  <si>
    <t>Circular pitch, p</t>
  </si>
  <si>
    <t>2nd row</t>
  </si>
  <si>
    <t>Gear 2 (Pinion) Inputs</t>
  </si>
  <si>
    <t>Gear 3 (Gear) Inputs</t>
  </si>
  <si>
    <t>All Gears Inputs</t>
  </si>
  <si>
    <r>
      <t>Rotational Speed, ω</t>
    </r>
    <r>
      <rPr>
        <vertAlign val="subscript"/>
        <sz val="11"/>
        <color theme="1"/>
        <rFont val="Aptos Narrow"/>
        <family val="2"/>
        <scheme val="minor"/>
      </rPr>
      <t>2</t>
    </r>
  </si>
  <si>
    <r>
      <t># teeth, N</t>
    </r>
    <r>
      <rPr>
        <vertAlign val="subscript"/>
        <sz val="11"/>
        <color theme="1"/>
        <rFont val="Aptos Narrow"/>
        <family val="2"/>
        <scheme val="minor"/>
      </rPr>
      <t>2</t>
    </r>
  </si>
  <si>
    <r>
      <t>Pitch diameter, d</t>
    </r>
    <r>
      <rPr>
        <vertAlign val="subscript"/>
        <sz val="11"/>
        <color theme="1"/>
        <rFont val="Aptos Narrow"/>
        <family val="2"/>
        <scheme val="minor"/>
      </rPr>
      <t>2</t>
    </r>
  </si>
  <si>
    <r>
      <t>P</t>
    </r>
    <r>
      <rPr>
        <vertAlign val="subscript"/>
        <sz val="11"/>
        <color theme="1"/>
        <rFont val="Aptos Narrow (Body)"/>
      </rPr>
      <t>3</t>
    </r>
    <r>
      <rPr>
        <sz val="11"/>
        <color theme="1"/>
        <rFont val="Aptos Narrow"/>
        <family val="2"/>
        <scheme val="minor"/>
      </rPr>
      <t>=P</t>
    </r>
    <r>
      <rPr>
        <vertAlign val="subscript"/>
        <sz val="11"/>
        <color theme="1"/>
        <rFont val="Aptos Narrow (Body)"/>
      </rPr>
      <t>2</t>
    </r>
  </si>
  <si>
    <t>Gear 3 (Gear) Outputs</t>
  </si>
  <si>
    <t>Gear 2 (Pinion) Outputs</t>
  </si>
  <si>
    <t>All Gears Outputs</t>
  </si>
  <si>
    <r>
      <t>Rotational Speed, ω</t>
    </r>
    <r>
      <rPr>
        <vertAlign val="subscript"/>
        <sz val="11"/>
        <color theme="1"/>
        <rFont val="Aptos Narrow"/>
        <family val="2"/>
        <scheme val="minor"/>
      </rPr>
      <t>3</t>
    </r>
  </si>
  <si>
    <r>
      <t># teeth, N</t>
    </r>
    <r>
      <rPr>
        <vertAlign val="subscript"/>
        <sz val="11"/>
        <color theme="1"/>
        <rFont val="Aptos Narrow"/>
        <family val="2"/>
        <scheme val="minor"/>
      </rPr>
      <t>3</t>
    </r>
  </si>
  <si>
    <r>
      <t>Pitch diameter, d</t>
    </r>
    <r>
      <rPr>
        <vertAlign val="subscript"/>
        <sz val="11"/>
        <color theme="1"/>
        <rFont val="Aptos Narrow"/>
        <family val="2"/>
        <scheme val="minor"/>
      </rPr>
      <t>3</t>
    </r>
  </si>
  <si>
    <r>
      <t>Rotational Speed, n</t>
    </r>
    <r>
      <rPr>
        <vertAlign val="subscript"/>
        <sz val="11"/>
        <color theme="1"/>
        <rFont val="Aptos Narrow"/>
        <family val="2"/>
        <scheme val="minor"/>
      </rPr>
      <t>3</t>
    </r>
  </si>
  <si>
    <r>
      <t>Rotational Speed, n</t>
    </r>
    <r>
      <rPr>
        <vertAlign val="subscript"/>
        <sz val="11"/>
        <color theme="1"/>
        <rFont val="Aptos Narrow"/>
        <family val="2"/>
        <scheme val="minor"/>
      </rPr>
      <t>2</t>
    </r>
  </si>
  <si>
    <t>rad/s</t>
  </si>
  <si>
    <r>
      <t>Pitch radius, r</t>
    </r>
    <r>
      <rPr>
        <vertAlign val="subscript"/>
        <sz val="11"/>
        <color theme="1"/>
        <rFont val="Aptos Narrow"/>
        <family val="2"/>
        <scheme val="minor"/>
      </rPr>
      <t>2</t>
    </r>
  </si>
  <si>
    <r>
      <t>Base diameter, d</t>
    </r>
    <r>
      <rPr>
        <vertAlign val="subscript"/>
        <sz val="11"/>
        <color theme="1"/>
        <rFont val="Aptos Narrow"/>
        <family val="2"/>
        <scheme val="minor"/>
      </rPr>
      <t>base2</t>
    </r>
  </si>
  <si>
    <r>
      <t>Base diameter, d</t>
    </r>
    <r>
      <rPr>
        <vertAlign val="subscript"/>
        <sz val="11"/>
        <color theme="1"/>
        <rFont val="Aptos Narrow"/>
        <family val="2"/>
        <scheme val="minor"/>
      </rPr>
      <t>base3</t>
    </r>
  </si>
  <si>
    <r>
      <t>Base radius, r</t>
    </r>
    <r>
      <rPr>
        <vertAlign val="subscript"/>
        <sz val="11"/>
        <color theme="1"/>
        <rFont val="Aptos Narrow"/>
        <family val="2"/>
        <scheme val="minor"/>
      </rPr>
      <t>base2</t>
    </r>
  </si>
  <si>
    <r>
      <t>Base radius, r</t>
    </r>
    <r>
      <rPr>
        <vertAlign val="subscript"/>
        <sz val="11"/>
        <color theme="1"/>
        <rFont val="Aptos Narrow"/>
        <family val="2"/>
        <scheme val="minor"/>
      </rPr>
      <t>base3</t>
    </r>
  </si>
  <si>
    <r>
      <t>Pitch radius, r</t>
    </r>
    <r>
      <rPr>
        <vertAlign val="subscript"/>
        <sz val="11"/>
        <color theme="1"/>
        <rFont val="Aptos Narrow"/>
        <family val="2"/>
        <scheme val="minor"/>
      </rPr>
      <t>3</t>
    </r>
  </si>
  <si>
    <r>
      <t>Tangential Load, W</t>
    </r>
    <r>
      <rPr>
        <vertAlign val="subscript"/>
        <sz val="11"/>
        <color theme="1"/>
        <rFont val="Aptos Narrow"/>
        <family val="2"/>
        <scheme val="minor"/>
      </rPr>
      <t>t</t>
    </r>
  </si>
  <si>
    <t>Input Power, H</t>
  </si>
  <si>
    <t>Pitch Line Velocity, V</t>
  </si>
  <si>
    <r>
      <t>Radial Load, W</t>
    </r>
    <r>
      <rPr>
        <vertAlign val="subscript"/>
        <sz val="11"/>
        <color theme="1"/>
        <rFont val="Aptos Narrow"/>
        <family val="2"/>
        <scheme val="minor"/>
      </rPr>
      <t>r</t>
    </r>
  </si>
  <si>
    <t>Power Input to Gear 2 (Pinion)</t>
  </si>
  <si>
    <r>
      <t>Input Torque, T</t>
    </r>
    <r>
      <rPr>
        <vertAlign val="subscript"/>
        <sz val="11"/>
        <color theme="1"/>
        <rFont val="Aptos Narrow"/>
        <family val="2"/>
        <scheme val="minor"/>
      </rPr>
      <t>in</t>
    </r>
  </si>
  <si>
    <r>
      <t>Output Torque, T</t>
    </r>
    <r>
      <rPr>
        <vertAlign val="subscript"/>
        <sz val="11"/>
        <color theme="1"/>
        <rFont val="Aptos Narrow"/>
        <family val="2"/>
        <scheme val="minor"/>
      </rPr>
      <t>out</t>
    </r>
  </si>
  <si>
    <t>Forces</t>
  </si>
  <si>
    <t>Radial Load at B</t>
  </si>
  <si>
    <t>Radial Load at A</t>
  </si>
  <si>
    <t>Radial Load at 2</t>
  </si>
  <si>
    <t>Distance from A to B</t>
  </si>
  <si>
    <t>in</t>
  </si>
  <si>
    <t>lbf</t>
  </si>
  <si>
    <t>Distance from 3 to D</t>
  </si>
  <si>
    <t>Distance from 2 to B</t>
  </si>
  <si>
    <t>Distance from D to C</t>
  </si>
  <si>
    <t>Radial Load at 3</t>
  </si>
  <si>
    <t>Radial Load at D</t>
  </si>
  <si>
    <t>Radial Load at C</t>
  </si>
  <si>
    <t>(from moment about C)</t>
  </si>
  <si>
    <t>(from moment about B)</t>
  </si>
  <si>
    <t>Bearing Info</t>
  </si>
  <si>
    <t>If there is an overall 95% reliability for the bearings each</t>
  </si>
  <si>
    <t>bearing requires</t>
  </si>
  <si>
    <t># Bearings</t>
  </si>
  <si>
    <t>Overall reliability</t>
  </si>
  <si>
    <r>
      <t>Equal R</t>
    </r>
    <r>
      <rPr>
        <vertAlign val="subscript"/>
        <sz val="11"/>
        <color theme="1"/>
        <rFont val="Aptos Narrow"/>
        <family val="2"/>
        <scheme val="minor"/>
      </rPr>
      <t>D</t>
    </r>
    <r>
      <rPr>
        <sz val="11"/>
        <color theme="1"/>
        <rFont val="Aptos Narrow"/>
        <family val="2"/>
        <scheme val="minor"/>
      </rPr>
      <t xml:space="preserve"> for all bearings</t>
    </r>
  </si>
  <si>
    <t>Tables</t>
  </si>
  <si>
    <t>Bearing Design</t>
  </si>
  <si>
    <r>
      <t>Initial Rated Load, C</t>
    </r>
    <r>
      <rPr>
        <vertAlign val="subscript"/>
        <sz val="11"/>
        <color theme="1"/>
        <rFont val="Aptos Narrow"/>
        <family val="2"/>
        <scheme val="minor"/>
      </rPr>
      <t>10</t>
    </r>
    <r>
      <rPr>
        <sz val="11"/>
        <color theme="1"/>
        <rFont val="Aptos Narrow"/>
        <family val="2"/>
        <scheme val="minor"/>
      </rPr>
      <t>, F</t>
    </r>
    <r>
      <rPr>
        <vertAlign val="subscript"/>
        <sz val="11"/>
        <color theme="1"/>
        <rFont val="Aptos Narrow"/>
        <family val="2"/>
        <scheme val="minor"/>
      </rPr>
      <t>a</t>
    </r>
    <r>
      <rPr>
        <sz val="11"/>
        <color theme="1"/>
        <rFont val="Aptos Narrow"/>
        <family val="2"/>
        <scheme val="minor"/>
      </rPr>
      <t xml:space="preserve"> = 0</t>
    </r>
  </si>
  <si>
    <t>kN</t>
  </si>
  <si>
    <t>Table 11-6</t>
  </si>
  <si>
    <t>Table 11-2</t>
  </si>
  <si>
    <t>Table 11-1</t>
  </si>
  <si>
    <t>Bearing Brand</t>
  </si>
  <si>
    <t>SKF</t>
  </si>
  <si>
    <r>
      <t>C</t>
    </r>
    <r>
      <rPr>
        <vertAlign val="subscript"/>
        <sz val="11"/>
        <color theme="1"/>
        <rFont val="Aptos Narrow"/>
        <family val="2"/>
        <scheme val="minor"/>
      </rPr>
      <t>10</t>
    </r>
    <r>
      <rPr>
        <sz val="11"/>
        <color theme="1"/>
        <rFont val="Aptos Narrow"/>
        <family val="2"/>
        <scheme val="minor"/>
      </rPr>
      <t xml:space="preserve"> From Table 11.2, F</t>
    </r>
    <r>
      <rPr>
        <vertAlign val="subscript"/>
        <sz val="11"/>
        <color theme="1"/>
        <rFont val="Aptos Narrow"/>
        <family val="2"/>
        <scheme val="minor"/>
      </rPr>
      <t>a</t>
    </r>
    <r>
      <rPr>
        <sz val="11"/>
        <color theme="1"/>
        <rFont val="Aptos Narrow"/>
        <family val="2"/>
        <scheme val="minor"/>
      </rPr>
      <t xml:space="preserve"> = 0</t>
    </r>
  </si>
  <si>
    <t>Manufacturer</t>
  </si>
  <si>
    <t>Rating Life (revs)</t>
  </si>
  <si>
    <r>
      <t>x</t>
    </r>
    <r>
      <rPr>
        <vertAlign val="subscript"/>
        <sz val="11"/>
        <color theme="1"/>
        <rFont val="Aptos Narrow"/>
        <family val="2"/>
        <scheme val="minor"/>
      </rPr>
      <t>0</t>
    </r>
  </si>
  <si>
    <t>θ</t>
  </si>
  <si>
    <t>b</t>
  </si>
  <si>
    <t>Bore</t>
  </si>
  <si>
    <t>OD</t>
  </si>
  <si>
    <t>Width</t>
  </si>
  <si>
    <t>Fillet Radius</t>
  </si>
  <si>
    <t>Shoulder</t>
  </si>
  <si>
    <t>Load Ratings</t>
  </si>
  <si>
    <r>
      <t>F</t>
    </r>
    <r>
      <rPr>
        <b/>
        <vertAlign val="subscript"/>
        <sz val="11"/>
        <color theme="1"/>
        <rFont val="Aptos Narrow"/>
        <family val="2"/>
        <scheme val="minor"/>
      </rPr>
      <t>a</t>
    </r>
    <r>
      <rPr>
        <b/>
        <sz val="11"/>
        <color theme="1"/>
        <rFont val="Aptos Narrow"/>
        <family val="2"/>
        <scheme val="minor"/>
      </rPr>
      <t>/C</t>
    </r>
    <r>
      <rPr>
        <b/>
        <vertAlign val="subscript"/>
        <sz val="11"/>
        <color theme="1"/>
        <rFont val="Aptos Narrow"/>
        <family val="2"/>
        <scheme val="minor"/>
      </rPr>
      <t>0</t>
    </r>
  </si>
  <si>
    <t>e</t>
  </si>
  <si>
    <r>
      <t>F</t>
    </r>
    <r>
      <rPr>
        <b/>
        <vertAlign val="subscript"/>
        <sz val="11"/>
        <color theme="1"/>
        <rFont val="Aptos Narrow"/>
        <family val="2"/>
        <scheme val="minor"/>
      </rPr>
      <t>a</t>
    </r>
    <r>
      <rPr>
        <b/>
        <sz val="11"/>
        <color theme="1"/>
        <rFont val="Aptos Narrow"/>
        <family val="2"/>
        <scheme val="minor"/>
      </rPr>
      <t>/(VF</t>
    </r>
    <r>
      <rPr>
        <b/>
        <vertAlign val="subscript"/>
        <sz val="11"/>
        <color theme="1"/>
        <rFont val="Aptos Narrow"/>
        <family val="2"/>
        <scheme val="minor"/>
      </rPr>
      <t>r)</t>
    </r>
    <r>
      <rPr>
        <b/>
        <sz val="11"/>
        <color theme="1"/>
        <rFont val="Aptos Narrow"/>
        <family val="2"/>
        <scheme val="minor"/>
      </rPr>
      <t xml:space="preserve"> &lt;= e</t>
    </r>
  </si>
  <si>
    <r>
      <t>F</t>
    </r>
    <r>
      <rPr>
        <b/>
        <vertAlign val="subscript"/>
        <sz val="11"/>
        <color theme="1"/>
        <rFont val="Aptos Narrow"/>
        <family val="2"/>
        <scheme val="minor"/>
      </rPr>
      <t>a</t>
    </r>
    <r>
      <rPr>
        <b/>
        <sz val="11"/>
        <color theme="1"/>
        <rFont val="Aptos Narrow"/>
        <family val="2"/>
        <scheme val="minor"/>
      </rPr>
      <t>/(VF</t>
    </r>
    <r>
      <rPr>
        <b/>
        <vertAlign val="subscript"/>
        <sz val="11"/>
        <color theme="1"/>
        <rFont val="Aptos Narrow"/>
        <family val="2"/>
        <scheme val="minor"/>
      </rPr>
      <t>r)</t>
    </r>
    <r>
      <rPr>
        <b/>
        <sz val="11"/>
        <color theme="1"/>
        <rFont val="Aptos Narrow"/>
        <family val="2"/>
        <scheme val="minor"/>
      </rPr>
      <t xml:space="preserve"> &gt; e</t>
    </r>
  </si>
  <si>
    <r>
      <t>Design Reliability, R</t>
    </r>
    <r>
      <rPr>
        <vertAlign val="subscript"/>
        <sz val="11"/>
        <color theme="1"/>
        <rFont val="Aptos Narrow"/>
        <family val="2"/>
        <scheme val="minor"/>
      </rPr>
      <t>D</t>
    </r>
  </si>
  <si>
    <t>must be greater than 90%</t>
  </si>
  <si>
    <r>
      <t>C</t>
    </r>
    <r>
      <rPr>
        <vertAlign val="subscript"/>
        <sz val="11"/>
        <color theme="1"/>
        <rFont val="Aptos Narrow"/>
        <family val="2"/>
        <scheme val="minor"/>
      </rPr>
      <t>0</t>
    </r>
    <r>
      <rPr>
        <sz val="11"/>
        <color theme="1"/>
        <rFont val="Aptos Narrow"/>
        <family val="2"/>
        <scheme val="minor"/>
      </rPr>
      <t xml:space="preserve"> From Table 11.2, F</t>
    </r>
    <r>
      <rPr>
        <vertAlign val="subscript"/>
        <sz val="11"/>
        <color theme="1"/>
        <rFont val="Aptos Narrow"/>
        <family val="2"/>
        <scheme val="minor"/>
      </rPr>
      <t>a</t>
    </r>
    <r>
      <rPr>
        <sz val="11"/>
        <color theme="1"/>
        <rFont val="Aptos Narrow"/>
        <family val="2"/>
        <scheme val="minor"/>
      </rPr>
      <t xml:space="preserve"> = 0</t>
    </r>
  </si>
  <si>
    <t>TIMKEN</t>
  </si>
  <si>
    <t>Diameter</t>
  </si>
  <si>
    <t>Deep Groove</t>
  </si>
  <si>
    <t>Angular</t>
  </si>
  <si>
    <r>
      <t>X</t>
    </r>
    <r>
      <rPr>
        <b/>
        <vertAlign val="subscript"/>
        <sz val="11"/>
        <color theme="1"/>
        <rFont val="Aptos Narrow"/>
        <family val="2"/>
        <scheme val="minor"/>
      </rPr>
      <t>1</t>
    </r>
  </si>
  <si>
    <r>
      <t>Y</t>
    </r>
    <r>
      <rPr>
        <b/>
        <vertAlign val="subscript"/>
        <sz val="11"/>
        <color theme="1"/>
        <rFont val="Aptos Narrow"/>
        <family val="2"/>
        <scheme val="minor"/>
      </rPr>
      <t>1</t>
    </r>
  </si>
  <si>
    <r>
      <t>X</t>
    </r>
    <r>
      <rPr>
        <b/>
        <vertAlign val="subscript"/>
        <sz val="11"/>
        <color theme="1"/>
        <rFont val="Aptos Narrow"/>
        <family val="2"/>
        <scheme val="minor"/>
      </rPr>
      <t>2</t>
    </r>
  </si>
  <si>
    <r>
      <t>Y</t>
    </r>
    <r>
      <rPr>
        <b/>
        <vertAlign val="subscript"/>
        <sz val="11"/>
        <color theme="1"/>
        <rFont val="Aptos Narrow"/>
        <family val="2"/>
        <scheme val="minor"/>
      </rPr>
      <t>2</t>
    </r>
  </si>
  <si>
    <t>Contact Type</t>
  </si>
  <si>
    <r>
      <t>F</t>
    </r>
    <r>
      <rPr>
        <vertAlign val="subscript"/>
        <sz val="11"/>
        <color theme="1"/>
        <rFont val="Aptos Narrow"/>
        <family val="2"/>
        <scheme val="minor"/>
      </rPr>
      <t>a</t>
    </r>
    <r>
      <rPr>
        <sz val="11"/>
        <color theme="1"/>
        <rFont val="Aptos Narrow"/>
        <family val="2"/>
        <scheme val="minor"/>
      </rPr>
      <t>/C</t>
    </r>
    <r>
      <rPr>
        <vertAlign val="subscript"/>
        <sz val="11"/>
        <color theme="1"/>
        <rFont val="Aptos Narrow"/>
        <family val="2"/>
        <scheme val="minor"/>
      </rPr>
      <t>0</t>
    </r>
  </si>
  <si>
    <r>
      <t>d</t>
    </r>
    <r>
      <rPr>
        <b/>
        <vertAlign val="subscript"/>
        <sz val="11"/>
        <color theme="1"/>
        <rFont val="Aptos Narrow"/>
        <family val="2"/>
        <scheme val="minor"/>
      </rPr>
      <t>s</t>
    </r>
  </si>
  <si>
    <r>
      <t>d</t>
    </r>
    <r>
      <rPr>
        <b/>
        <vertAlign val="subscript"/>
        <sz val="11"/>
        <color theme="1"/>
        <rFont val="Aptos Narrow"/>
        <family val="2"/>
        <scheme val="minor"/>
      </rPr>
      <t>h</t>
    </r>
  </si>
  <si>
    <r>
      <t>C</t>
    </r>
    <r>
      <rPr>
        <b/>
        <vertAlign val="subscript"/>
        <sz val="11"/>
        <color theme="1"/>
        <rFont val="Aptos Narrow"/>
        <family val="2"/>
        <scheme val="minor"/>
      </rPr>
      <t>10</t>
    </r>
  </si>
  <si>
    <r>
      <t>C</t>
    </r>
    <r>
      <rPr>
        <b/>
        <vertAlign val="subscript"/>
        <sz val="11"/>
        <color theme="1"/>
        <rFont val="Aptos Narrow"/>
        <family val="2"/>
        <scheme val="minor"/>
      </rPr>
      <t>0</t>
    </r>
  </si>
  <si>
    <t>Which Ring Rotates</t>
  </si>
  <si>
    <r>
      <t>Rotating Ring Correction Factor, V</t>
    </r>
    <r>
      <rPr>
        <vertAlign val="subscript"/>
        <sz val="11"/>
        <color theme="1"/>
        <rFont val="Aptos Narrow"/>
        <family val="2"/>
        <scheme val="minor"/>
      </rPr>
      <t>r</t>
    </r>
  </si>
  <si>
    <r>
      <t>Iteration Table for C</t>
    </r>
    <r>
      <rPr>
        <b/>
        <vertAlign val="subscript"/>
        <sz val="11"/>
        <color theme="1"/>
        <rFont val="Aptos Narrow"/>
        <family val="2"/>
        <scheme val="minor"/>
      </rPr>
      <t>0</t>
    </r>
    <r>
      <rPr>
        <b/>
        <sz val="11"/>
        <color theme="1"/>
        <rFont val="Aptos Narrow"/>
        <family val="2"/>
        <scheme val="minor"/>
      </rPr>
      <t xml:space="preserve"> value</t>
    </r>
  </si>
  <si>
    <t>Bearing Type</t>
  </si>
  <si>
    <t>Ball</t>
  </si>
  <si>
    <t>Itteration #</t>
  </si>
  <si>
    <r>
      <t>F</t>
    </r>
    <r>
      <rPr>
        <vertAlign val="subscript"/>
        <sz val="11"/>
        <color theme="1"/>
        <rFont val="Aptos Narrow"/>
        <family val="2"/>
        <scheme val="minor"/>
      </rPr>
      <t>a</t>
    </r>
    <r>
      <rPr>
        <sz val="11"/>
        <color theme="1"/>
        <rFont val="Aptos Narrow"/>
        <family val="2"/>
        <scheme val="minor"/>
      </rPr>
      <t>/(VF</t>
    </r>
    <r>
      <rPr>
        <vertAlign val="subscript"/>
        <sz val="11"/>
        <color theme="1"/>
        <rFont val="Aptos Narrow"/>
        <family val="2"/>
        <scheme val="minor"/>
      </rPr>
      <t>r</t>
    </r>
    <r>
      <rPr>
        <sz val="11"/>
        <color theme="1"/>
        <rFont val="Aptos Narrow"/>
        <family val="2"/>
        <scheme val="minor"/>
      </rPr>
      <t>)</t>
    </r>
  </si>
  <si>
    <t>X</t>
  </si>
  <si>
    <t>Y</t>
  </si>
  <si>
    <r>
      <t>F</t>
    </r>
    <r>
      <rPr>
        <b/>
        <vertAlign val="subscript"/>
        <sz val="11"/>
        <color theme="1"/>
        <rFont val="Aptos Narrow"/>
        <family val="2"/>
        <scheme val="minor"/>
      </rPr>
      <t>E</t>
    </r>
    <r>
      <rPr>
        <sz val="11"/>
        <color theme="1"/>
        <rFont val="Aptos Narrow"/>
        <family val="2"/>
        <scheme val="minor"/>
      </rPr>
      <t xml:space="preserve"> [kN]</t>
    </r>
  </si>
  <si>
    <r>
      <t>Updated Search C</t>
    </r>
    <r>
      <rPr>
        <vertAlign val="subscript"/>
        <sz val="11"/>
        <color theme="1"/>
        <rFont val="Aptos Narrow"/>
        <family val="2"/>
        <scheme val="minor"/>
      </rPr>
      <t>10</t>
    </r>
    <r>
      <rPr>
        <sz val="11"/>
        <color theme="1"/>
        <rFont val="Aptos Narrow"/>
        <family val="2"/>
        <scheme val="minor"/>
      </rPr>
      <t xml:space="preserve"> [kN]</t>
    </r>
  </si>
  <si>
    <r>
      <t>Updated C</t>
    </r>
    <r>
      <rPr>
        <vertAlign val="subscript"/>
        <sz val="11"/>
        <color theme="1"/>
        <rFont val="Aptos Narrow"/>
        <family val="2"/>
        <scheme val="minor"/>
      </rPr>
      <t>10</t>
    </r>
    <r>
      <rPr>
        <sz val="11"/>
        <color theme="1"/>
        <rFont val="Aptos Narrow"/>
        <family val="2"/>
        <scheme val="minor"/>
      </rPr>
      <t xml:space="preserve"> [kN]</t>
    </r>
  </si>
  <si>
    <r>
      <t>Updated C</t>
    </r>
    <r>
      <rPr>
        <vertAlign val="subscript"/>
        <sz val="11"/>
        <color theme="1"/>
        <rFont val="Aptos Narrow"/>
        <family val="2"/>
        <scheme val="minor"/>
      </rPr>
      <t>0</t>
    </r>
    <r>
      <rPr>
        <sz val="11"/>
        <color theme="1"/>
        <rFont val="Aptos Narrow"/>
        <family val="2"/>
        <scheme val="minor"/>
      </rPr>
      <t xml:space="preserve"> [kN]</t>
    </r>
  </si>
  <si>
    <t>Power Law Exponent, a</t>
  </si>
  <si>
    <t>Override a</t>
  </si>
  <si>
    <t>Bearing Loads</t>
  </si>
  <si>
    <r>
      <t>Input Radial Load, F</t>
    </r>
    <r>
      <rPr>
        <vertAlign val="subscript"/>
        <sz val="11"/>
        <color theme="1"/>
        <rFont val="Aptos Narrow"/>
        <family val="2"/>
        <scheme val="minor"/>
      </rPr>
      <t>r</t>
    </r>
  </si>
  <si>
    <r>
      <t>Input Axial Load, F</t>
    </r>
    <r>
      <rPr>
        <vertAlign val="subscript"/>
        <sz val="11"/>
        <color theme="1"/>
        <rFont val="Aptos Narrow"/>
        <family val="2"/>
        <scheme val="minor"/>
      </rPr>
      <t>A</t>
    </r>
  </si>
  <si>
    <r>
      <t>Load Application Factor, a</t>
    </r>
    <r>
      <rPr>
        <vertAlign val="subscript"/>
        <sz val="11"/>
        <color theme="1"/>
        <rFont val="Aptos Narrow"/>
        <family val="2"/>
        <scheme val="minor"/>
      </rPr>
      <t>f</t>
    </r>
  </si>
  <si>
    <t>Design Cycle Lifetime</t>
  </si>
  <si>
    <r>
      <t>Lifetime, ℒ</t>
    </r>
    <r>
      <rPr>
        <vertAlign val="subscript"/>
        <sz val="11"/>
        <color theme="1"/>
        <rFont val="Aptos Narrow"/>
        <family val="2"/>
        <scheme val="minor"/>
      </rPr>
      <t>D</t>
    </r>
  </si>
  <si>
    <t>hrs</t>
  </si>
  <si>
    <t>Rotation Speed, n</t>
  </si>
  <si>
    <t>rpm</t>
  </si>
  <si>
    <t>Final Iterated Values</t>
  </si>
  <si>
    <r>
      <t>Design Lifetime, L</t>
    </r>
    <r>
      <rPr>
        <vertAlign val="subscript"/>
        <sz val="11"/>
        <color theme="1"/>
        <rFont val="Aptos Narrow"/>
        <family val="2"/>
        <scheme val="minor"/>
      </rPr>
      <t>D</t>
    </r>
  </si>
  <si>
    <t>revs</t>
  </si>
  <si>
    <r>
      <t>Iterated C</t>
    </r>
    <r>
      <rPr>
        <vertAlign val="subscript"/>
        <sz val="11"/>
        <color theme="1"/>
        <rFont val="Aptos Narrow"/>
        <family val="2"/>
        <scheme val="minor"/>
      </rPr>
      <t>10</t>
    </r>
  </si>
  <si>
    <r>
      <t>Override L</t>
    </r>
    <r>
      <rPr>
        <vertAlign val="subscript"/>
        <sz val="11"/>
        <color theme="1"/>
        <rFont val="Aptos Narrow"/>
        <family val="2"/>
        <scheme val="minor"/>
      </rPr>
      <t>D</t>
    </r>
  </si>
  <si>
    <t>klbf</t>
  </si>
  <si>
    <r>
      <t>Iterated C</t>
    </r>
    <r>
      <rPr>
        <vertAlign val="subscript"/>
        <sz val="11"/>
        <color theme="1"/>
        <rFont val="Aptos Narrow"/>
        <family val="2"/>
        <scheme val="minor"/>
      </rPr>
      <t>0</t>
    </r>
  </si>
  <si>
    <t>Weibull Paramters Automattically Based on Bearing Brand</t>
  </si>
  <si>
    <r>
      <t>R</t>
    </r>
    <r>
      <rPr>
        <vertAlign val="subscript"/>
        <sz val="11"/>
        <color theme="1"/>
        <rFont val="Aptos Narrow"/>
        <family val="2"/>
        <scheme val="minor"/>
      </rPr>
      <t>D</t>
    </r>
    <r>
      <rPr>
        <b/>
        <sz val="11"/>
        <color theme="1"/>
        <rFont val="Aptos Narrow"/>
        <family val="2"/>
        <scheme val="minor"/>
      </rPr>
      <t xml:space="preserve"> for 90% =</t>
    </r>
  </si>
  <si>
    <r>
      <t>Rating Life, L</t>
    </r>
    <r>
      <rPr>
        <vertAlign val="subscript"/>
        <sz val="11"/>
        <color theme="1"/>
        <rFont val="Aptos Narrow"/>
        <family val="2"/>
        <scheme val="minor"/>
      </rPr>
      <t>10</t>
    </r>
  </si>
  <si>
    <r>
      <t>Nomormalized Lifetime by Design, x</t>
    </r>
    <r>
      <rPr>
        <vertAlign val="subscript"/>
        <sz val="11"/>
        <color theme="1"/>
        <rFont val="Aptos Narrow"/>
        <family val="2"/>
        <scheme val="minor"/>
      </rPr>
      <t>D</t>
    </r>
  </si>
  <si>
    <r>
      <t>Override x</t>
    </r>
    <r>
      <rPr>
        <vertAlign val="subscript"/>
        <sz val="11"/>
        <color theme="1"/>
        <rFont val="Aptos Narrow"/>
        <family val="2"/>
        <scheme val="minor"/>
      </rPr>
      <t>D</t>
    </r>
  </si>
  <si>
    <r>
      <t>Normalized Lifetime, x</t>
    </r>
    <r>
      <rPr>
        <vertAlign val="subscript"/>
        <sz val="11"/>
        <color theme="1"/>
        <rFont val="Aptos Narrow"/>
        <family val="2"/>
        <scheme val="minor"/>
      </rPr>
      <t>B</t>
    </r>
  </si>
  <si>
    <r>
      <t>For R</t>
    </r>
    <r>
      <rPr>
        <vertAlign val="subscript"/>
        <sz val="11"/>
        <color theme="1"/>
        <rFont val="Aptos Narrow"/>
        <family val="2"/>
        <scheme val="minor"/>
      </rPr>
      <t>D</t>
    </r>
    <r>
      <rPr>
        <sz val="11"/>
        <color theme="1"/>
        <rFont val="Aptos Narrow"/>
        <family val="2"/>
        <scheme val="minor"/>
      </rPr>
      <t xml:space="preserve"> </t>
    </r>
  </si>
  <si>
    <t>Weibull Parameters</t>
  </si>
  <si>
    <t>Override Weibull Parameters</t>
  </si>
  <si>
    <r>
      <t>θ - x</t>
    </r>
    <r>
      <rPr>
        <vertAlign val="subscript"/>
        <sz val="11"/>
        <color theme="1"/>
        <rFont val="Aptos Narrow"/>
        <family val="2"/>
        <scheme val="minor"/>
      </rPr>
      <t>0</t>
    </r>
  </si>
  <si>
    <t>Override θ</t>
  </si>
  <si>
    <t>Table 11-3</t>
  </si>
  <si>
    <t>02-Series</t>
  </si>
  <si>
    <t>03-Series</t>
  </si>
  <si>
    <t>Load Rating</t>
  </si>
  <si>
    <t>Inner Ring</t>
  </si>
  <si>
    <t>A and B same radial loads</t>
  </si>
  <si>
    <t>C and D same radial loads</t>
  </si>
  <si>
    <t>&lt;--- updated C10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</si>
</sst>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0.00000"/>
    <numFmt numFmtId="165" formatCode="0.000"/>
    <numFmt numFmtId="166" formatCode="#,##0.00000"/>
    <numFmt numFmtId="167" formatCode="#,##0.0000"/>
    <numFmt numFmtId="168" formatCode="#,##0.000"/>
    <numFmt numFmtId="169" formatCode="#,##0.0"/>
    <numFmt numFmtId="170" formatCode="0.0%"/>
    <numFmt numFmtId="171" formatCode="0.00000%"/>
    <numFmt numFmtId="172" formatCode="##0E+00"/>
    <numFmt numFmtId="173" formatCode="##0.0E+00"/>
  </numFmts>
  <fonts count="8" x14ac:knownFonts="1">
    <font>
      <sz val="11"/>
      <color theme="1"/>
      <name val="Aptos Narrow"/>
      <family val="2"/>
      <scheme val="minor"/>
    </font>
    <font>
      <b/>
      <sz val="11"/>
      <color theme="1"/>
      <name val="Aptos Narrow"/>
      <family val="2"/>
      <scheme val="minor"/>
    </font>
    <font>
      <vertAlign val="subscript"/>
      <sz val="11"/>
      <color theme="1"/>
      <name val="Aptos Narrow"/>
      <family val="2"/>
      <scheme val="minor"/>
    </font>
    <font>
      <vertAlign val="subscript"/>
      <sz val="11"/>
      <color theme="1"/>
      <name val="Aptos Narrow (Body)"/>
    </font>
    <font>
      <sz val="11"/>
      <color theme="1"/>
      <name val="Aptos Narrow"/>
      <family val="2"/>
      <scheme val="minor"/>
    </font>
    <font>
      <sz val="9"/>
      <color indexed="81"/>
      <name val="Tahoma"/>
      <family val="2"/>
    </font>
    <font>
      <b/>
      <sz val="9"/>
      <color indexed="81"/>
      <name val="Tahoma"/>
      <family val="2"/>
    </font>
    <font>
      <b/>
      <vertAlign val="subscript"/>
      <sz val="11"/>
      <color theme="1"/>
      <name val="Aptos Narrow"/>
      <family val="2"/>
      <scheme val="minor"/>
    </font>
  </fonts>
  <fills count="15">
    <fill>
      <patternFill patternType="none"/>
    </fill>
    <fill>
      <patternFill patternType="gray125"/>
    </fill>
    <fill>
      <patternFill patternType="solid">
        <fgColor rgb="FFFFC000"/>
        <bgColor indexed="64"/>
      </patternFill>
    </fill>
    <fill>
      <patternFill patternType="solid">
        <fgColor theme="9" tint="0.39997558519241921"/>
        <bgColor indexed="64"/>
      </patternFill>
    </fill>
    <fill>
      <patternFill patternType="solid">
        <fgColor rgb="FFFFCC66"/>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thin">
        <color auto="1"/>
      </left>
      <right style="thin">
        <color auto="1"/>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auto="1"/>
      </left>
      <right style="thin">
        <color auto="1"/>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style="thin">
        <color auto="1"/>
      </left>
      <right/>
      <top/>
      <bottom/>
      <diagonal/>
    </border>
  </borders>
  <cellStyleXfs count="3">
    <xf numFmtId="0" fontId="0" fillId="0" borderId="0"/>
    <xf numFmtId="43" fontId="4" fillId="0" borderId="0" applyFont="0" applyFill="0" applyBorder="0" applyAlignment="0" applyProtection="0"/>
    <xf numFmtId="9" fontId="4" fillId="0" borderId="0" applyFont="0" applyFill="0" applyBorder="0" applyAlignment="0" applyProtection="0"/>
  </cellStyleXfs>
  <cellXfs count="134">
    <xf numFmtId="0" fontId="0" fillId="0" borderId="0" xfId="0"/>
    <xf numFmtId="0" fontId="0" fillId="0" borderId="0" xfId="0" applyAlignment="1">
      <alignment vertical="center"/>
    </xf>
    <xf numFmtId="0" fontId="1" fillId="2" borderId="0" xfId="0" applyFont="1" applyFill="1" applyAlignment="1">
      <alignment vertical="center"/>
    </xf>
    <xf numFmtId="0" fontId="1" fillId="2" borderId="0" xfId="0" applyFont="1" applyFill="1" applyAlignment="1">
      <alignment horizontal="left" vertical="center"/>
    </xf>
    <xf numFmtId="0" fontId="0" fillId="2" borderId="1" xfId="0" applyFill="1" applyBorder="1" applyAlignment="1">
      <alignment vertical="center"/>
    </xf>
    <xf numFmtId="0" fontId="1" fillId="3" borderId="0" xfId="0" applyFont="1" applyFill="1" applyAlignment="1">
      <alignment vertical="center"/>
    </xf>
    <xf numFmtId="0" fontId="1" fillId="4" borderId="2" xfId="0" applyFont="1" applyFill="1" applyBorder="1" applyAlignment="1">
      <alignment vertical="center"/>
    </xf>
    <xf numFmtId="0" fontId="0" fillId="4" borderId="2" xfId="0" applyFill="1" applyBorder="1" applyAlignment="1">
      <alignment vertical="center"/>
    </xf>
    <xf numFmtId="0" fontId="1" fillId="5" borderId="2" xfId="0" applyFont="1" applyFill="1" applyBorder="1" applyAlignment="1">
      <alignment vertical="center"/>
    </xf>
    <xf numFmtId="0" fontId="0" fillId="5" borderId="2" xfId="0" applyFill="1" applyBorder="1" applyAlignment="1">
      <alignment vertical="center"/>
    </xf>
    <xf numFmtId="0" fontId="0" fillId="2" borderId="0" xfId="0" applyFill="1" applyAlignment="1">
      <alignment vertical="center"/>
    </xf>
    <xf numFmtId="0" fontId="0" fillId="3" borderId="0" xfId="0" applyFill="1" applyAlignment="1">
      <alignment vertical="center"/>
    </xf>
    <xf numFmtId="0" fontId="0" fillId="3" borderId="0" xfId="0" applyFill="1">
      <extLst>
        <ext xmlns:xfpb="http://schemas.microsoft.com/office/spreadsheetml/2022/featurepropertybag" uri="{C7286773-470A-42A8-94C5-96B5CB345126}">
          <xfpb:xfComplement i="0"/>
        </ext>
      </extLst>
    </xf>
    <xf numFmtId="0" fontId="0" fillId="2" borderId="0" xfId="0" applyFill="1">
      <extLst>
        <ext xmlns:xfpb="http://schemas.microsoft.com/office/spreadsheetml/2022/featurepropertybag" uri="{C7286773-470A-42A8-94C5-96B5CB345126}">
          <xfpb:xfComplement i="0"/>
        </ext>
      </extLst>
    </xf>
    <xf numFmtId="0" fontId="0" fillId="2" borderId="0" xfId="0" applyFill="1"/>
    <xf numFmtId="0" fontId="0" fillId="2" borderId="0" xfId="0" quotePrefix="1" applyFill="1" applyAlignment="1">
      <alignment vertical="center"/>
    </xf>
    <xf numFmtId="0" fontId="0" fillId="3" borderId="0" xfId="0" quotePrefix="1" applyFill="1" applyAlignment="1">
      <alignment vertical="center"/>
    </xf>
    <xf numFmtId="0" fontId="0" fillId="6" borderId="0" xfId="0" applyFill="1" applyAlignment="1">
      <alignment vertical="center"/>
    </xf>
    <xf numFmtId="0" fontId="0" fillId="0" borderId="0" xfId="0" applyAlignment="1">
      <alignment horizontal="center"/>
    </xf>
    <xf numFmtId="0" fontId="0" fillId="2" borderId="0" xfId="0" applyFill="1" applyAlignment="1">
      <alignment vertical="center"/>
      <extLst>
        <ext xmlns:xfpb="http://schemas.microsoft.com/office/spreadsheetml/2022/featurepropertybag" uri="{C7286773-470A-42A8-94C5-96B5CB345126}">
          <xfpb:xfComplement i="0"/>
        </ext>
      </extLst>
    </xf>
    <xf numFmtId="0" fontId="0" fillId="0" borderId="6" xfId="0" applyBorder="1" applyAlignment="1">
      <alignment vertical="center"/>
    </xf>
    <xf numFmtId="0" fontId="0" fillId="0" borderId="8" xfId="0" applyBorder="1" applyAlignment="1">
      <alignment vertical="center"/>
    </xf>
    <xf numFmtId="0" fontId="1" fillId="7" borderId="11" xfId="0" applyFont="1" applyFill="1" applyBorder="1" applyAlignment="1">
      <alignment horizontal="center" vertical="center"/>
    </xf>
    <xf numFmtId="0" fontId="1" fillId="7" borderId="12" xfId="0" applyFont="1" applyFill="1" applyBorder="1" applyAlignment="1">
      <alignment horizontal="center" vertical="center"/>
    </xf>
    <xf numFmtId="0" fontId="1" fillId="7" borderId="13" xfId="0" applyFont="1" applyFill="1" applyBorder="1" applyAlignment="1">
      <alignment horizontal="center" vertical="center"/>
    </xf>
    <xf numFmtId="0" fontId="0" fillId="0" borderId="14" xfId="0" applyBorder="1" applyAlignment="1">
      <alignment vertical="center" wrapText="1"/>
    </xf>
    <xf numFmtId="0" fontId="0" fillId="0" borderId="15" xfId="0" applyBorder="1" applyAlignment="1">
      <alignment vertical="center" wrapText="1"/>
    </xf>
    <xf numFmtId="0" fontId="0" fillId="0" borderId="17" xfId="0" applyBorder="1" applyAlignment="1">
      <alignment vertical="center" wrapText="1"/>
    </xf>
    <xf numFmtId="0" fontId="0" fillId="0" borderId="18" xfId="0" applyBorder="1" applyAlignment="1">
      <alignment vertical="center" wrapText="1"/>
    </xf>
    <xf numFmtId="0" fontId="1" fillId="8" borderId="3" xfId="0" applyFont="1" applyFill="1" applyBorder="1" applyAlignment="1">
      <alignment vertical="center" wrapText="1"/>
    </xf>
    <xf numFmtId="0" fontId="1" fillId="8" borderId="4" xfId="0" applyFont="1" applyFill="1" applyBorder="1" applyAlignment="1">
      <alignment vertical="center" wrapText="1"/>
    </xf>
    <xf numFmtId="0" fontId="1" fillId="8" borderId="5" xfId="0" applyFont="1" applyFill="1" applyBorder="1" applyAlignment="1">
      <alignment vertical="center" wrapText="1"/>
    </xf>
    <xf numFmtId="0" fontId="0" fillId="0" borderId="16" xfId="0" applyBorder="1" applyAlignment="1">
      <alignment vertical="center" wrapText="1"/>
    </xf>
    <xf numFmtId="0" fontId="0" fillId="0" borderId="19" xfId="0" applyBorder="1" applyAlignment="1">
      <alignment vertical="center" wrapText="1"/>
    </xf>
    <xf numFmtId="0" fontId="0" fillId="0" borderId="4" xfId="0" applyBorder="1" applyAlignment="1">
      <alignment vertical="center"/>
    </xf>
    <xf numFmtId="0" fontId="0" fillId="0" borderId="9" xfId="0" applyBorder="1" applyAlignment="1">
      <alignment vertical="center"/>
    </xf>
    <xf numFmtId="0" fontId="0" fillId="0" borderId="5" xfId="0" applyBorder="1" applyAlignment="1">
      <alignment vertical="center"/>
    </xf>
    <xf numFmtId="0" fontId="0" fillId="0" borderId="7" xfId="0" applyBorder="1" applyAlignment="1">
      <alignment vertical="center"/>
    </xf>
    <xf numFmtId="0" fontId="0" fillId="0" borderId="10" xfId="0" applyBorder="1" applyAlignment="1">
      <alignment vertical="center"/>
    </xf>
    <xf numFmtId="0" fontId="0" fillId="0" borderId="3" xfId="0" applyBorder="1"/>
    <xf numFmtId="164" fontId="0" fillId="3" borderId="0" xfId="0" applyNumberFormat="1" applyFill="1" applyAlignment="1">
      <alignment vertical="center"/>
    </xf>
    <xf numFmtId="166" fontId="0" fillId="3" borderId="0" xfId="0" applyNumberFormat="1" applyFill="1" applyAlignment="1">
      <alignment vertical="center"/>
    </xf>
    <xf numFmtId="167" fontId="0" fillId="3" borderId="0" xfId="0" applyNumberFormat="1" applyFill="1" applyAlignment="1">
      <alignment vertical="center"/>
    </xf>
    <xf numFmtId="0" fontId="0" fillId="6" borderId="0" xfId="0" applyFill="1"/>
    <xf numFmtId="171" fontId="0" fillId="2" borderId="0" xfId="2" applyNumberFormat="1" applyFont="1" applyFill="1" applyAlignment="1">
      <alignment vertical="center"/>
    </xf>
    <xf numFmtId="171" fontId="0" fillId="3" borderId="0" xfId="2" applyNumberFormat="1" applyFont="1" applyFill="1" applyAlignment="1">
      <alignment vertical="center"/>
    </xf>
    <xf numFmtId="0" fontId="1" fillId="10" borderId="2" xfId="0" applyFont="1" applyFill="1" applyBorder="1" applyAlignment="1">
      <alignment vertical="center"/>
    </xf>
    <xf numFmtId="0" fontId="0" fillId="3" borderId="0" xfId="0" applyFill="1"/>
    <xf numFmtId="168" fontId="0" fillId="3" borderId="0" xfId="1" applyNumberFormat="1" applyFont="1" applyFill="1" applyAlignment="1">
      <alignment vertical="center"/>
    </xf>
    <xf numFmtId="0" fontId="1" fillId="8" borderId="3" xfId="0" applyFont="1" applyFill="1" applyBorder="1" applyAlignment="1">
      <alignment vertical="center"/>
    </xf>
    <xf numFmtId="0" fontId="1" fillId="8" borderId="4" xfId="0" applyFont="1" applyFill="1" applyBorder="1" applyAlignment="1">
      <alignment vertical="center"/>
    </xf>
    <xf numFmtId="0" fontId="1" fillId="8" borderId="5" xfId="0" applyFont="1" applyFill="1" applyBorder="1" applyAlignment="1">
      <alignment vertical="center"/>
    </xf>
    <xf numFmtId="0" fontId="1" fillId="6" borderId="0" xfId="0" applyFont="1" applyFill="1" applyAlignment="1">
      <alignment vertical="center"/>
    </xf>
    <xf numFmtId="0" fontId="0" fillId="0" borderId="20" xfId="0" applyBorder="1" applyAlignment="1">
      <alignment horizontal="center" vertical="center"/>
    </xf>
    <xf numFmtId="172" fontId="0" fillId="0" borderId="21" xfId="0" applyNumberFormat="1"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1" fillId="7" borderId="1" xfId="0" applyFont="1" applyFill="1" applyBorder="1" applyAlignment="1">
      <alignment horizontal="center" vertical="center"/>
    </xf>
    <xf numFmtId="0" fontId="1" fillId="7" borderId="23" xfId="0" applyFont="1" applyFill="1" applyBorder="1" applyAlignment="1">
      <alignment horizontal="center" vertical="center"/>
    </xf>
    <xf numFmtId="0" fontId="0" fillId="0" borderId="17" xfId="0" applyBorder="1" applyAlignment="1">
      <alignment horizontal="center" vertical="center"/>
    </xf>
    <xf numFmtId="172" fontId="0" fillId="0" borderId="18" xfId="0" applyNumberFormat="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1" fillId="9" borderId="12" xfId="0" applyFont="1" applyFill="1" applyBorder="1" applyAlignment="1">
      <alignment horizontal="center" vertical="center"/>
    </xf>
    <xf numFmtId="0" fontId="1" fillId="12" borderId="12" xfId="0" applyFont="1" applyFill="1" applyBorder="1" applyAlignment="1">
      <alignment horizontal="center" vertical="center"/>
    </xf>
    <xf numFmtId="0" fontId="1" fillId="13" borderId="12" xfId="0" applyFont="1" applyFill="1" applyBorder="1" applyAlignment="1">
      <alignment horizontal="center" vertical="center"/>
    </xf>
    <xf numFmtId="0" fontId="1" fillId="13" borderId="13" xfId="0" applyFont="1" applyFill="1" applyBorder="1" applyAlignment="1">
      <alignment horizontal="center" vertical="center"/>
    </xf>
    <xf numFmtId="165" fontId="0" fillId="0" borderId="14" xfId="0" applyNumberFormat="1" applyBorder="1" applyAlignment="1">
      <alignment horizontal="center" vertical="center"/>
    </xf>
    <xf numFmtId="2" fontId="0" fillId="0" borderId="15" xfId="0" applyNumberFormat="1" applyBorder="1" applyAlignment="1">
      <alignment horizontal="center" vertical="center" wrapText="1"/>
    </xf>
    <xf numFmtId="2" fontId="0" fillId="0" borderId="15" xfId="0" applyNumberFormat="1" applyBorder="1" applyAlignment="1">
      <alignment horizontal="center" vertical="center"/>
    </xf>
    <xf numFmtId="0" fontId="0" fillId="0" borderId="15" xfId="0" applyBorder="1" applyAlignment="1">
      <alignment horizontal="center" vertical="center" wrapText="1"/>
    </xf>
    <xf numFmtId="0" fontId="0" fillId="0" borderId="15" xfId="0" applyBorder="1" applyAlignment="1">
      <alignment horizontal="center" vertical="center"/>
    </xf>
    <xf numFmtId="2" fontId="0" fillId="0" borderId="16" xfId="0" applyNumberFormat="1" applyBorder="1" applyAlignment="1">
      <alignment horizontal="center" vertical="center" wrapText="1"/>
    </xf>
    <xf numFmtId="0" fontId="0" fillId="0" borderId="14" xfId="0" applyBorder="1" applyAlignment="1">
      <alignment horizontal="center" vertical="center"/>
    </xf>
    <xf numFmtId="0" fontId="0" fillId="9" borderId="15" xfId="0" applyFill="1" applyBorder="1" applyAlignment="1">
      <alignment horizontal="center" vertical="center"/>
    </xf>
    <xf numFmtId="0" fontId="0" fillId="9" borderId="15" xfId="0" applyFill="1" applyBorder="1" applyAlignment="1">
      <alignment horizontal="center" vertical="center" wrapText="1"/>
    </xf>
    <xf numFmtId="0" fontId="0" fillId="12" borderId="15" xfId="0" applyFill="1" applyBorder="1" applyAlignment="1">
      <alignment horizontal="center" vertical="center"/>
    </xf>
    <xf numFmtId="0" fontId="0" fillId="12" borderId="15" xfId="0" applyFill="1" applyBorder="1" applyAlignment="1">
      <alignment horizontal="center" vertical="center" wrapText="1"/>
    </xf>
    <xf numFmtId="0" fontId="0" fillId="13" borderId="15" xfId="0" applyFill="1" applyBorder="1" applyAlignment="1">
      <alignment horizontal="center" vertical="center"/>
    </xf>
    <xf numFmtId="0" fontId="0" fillId="13" borderId="16" xfId="0" applyFill="1" applyBorder="1" applyAlignment="1">
      <alignment horizontal="center" vertical="center" wrapText="1"/>
    </xf>
    <xf numFmtId="0" fontId="1" fillId="14" borderId="2" xfId="0" applyFont="1" applyFill="1" applyBorder="1" applyAlignment="1">
      <alignment vertical="center"/>
    </xf>
    <xf numFmtId="0" fontId="0" fillId="3" borderId="24" xfId="0" applyFill="1" applyBorder="1"/>
    <xf numFmtId="0" fontId="0" fillId="3" borderId="25" xfId="0" applyFill="1" applyBorder="1" applyAlignment="1">
      <alignment horizontal="center"/>
    </xf>
    <xf numFmtId="0" fontId="0" fillId="3" borderId="25" xfId="0" applyFill="1" applyBorder="1" applyAlignment="1">
      <alignment vertical="center"/>
    </xf>
    <xf numFmtId="0" fontId="0" fillId="3" borderId="0" xfId="1" applyNumberFormat="1" applyFont="1" applyFill="1" applyAlignment="1">
      <alignment vertical="center"/>
    </xf>
    <xf numFmtId="0" fontId="0" fillId="3" borderId="0" xfId="0" quotePrefix="1" applyFill="1" applyAlignment="1">
      <alignment horizontal="center" vertical="center"/>
    </xf>
    <xf numFmtId="0" fontId="0" fillId="3" borderId="26" xfId="0" applyFill="1" applyBorder="1"/>
    <xf numFmtId="0" fontId="0" fillId="2" borderId="0" xfId="0" quotePrefix="1" applyFill="1" applyAlignment="1">
      <alignment horizontal="center" vertical="center"/>
    </xf>
    <xf numFmtId="168" fontId="0" fillId="2" borderId="0" xfId="1" applyNumberFormat="1" applyFont="1" applyFill="1" applyAlignment="1">
      <alignment vertical="center"/>
    </xf>
    <xf numFmtId="2" fontId="0" fillId="0" borderId="14" xfId="0" applyNumberFormat="1" applyBorder="1" applyAlignment="1">
      <alignment horizontal="center" vertical="center"/>
    </xf>
    <xf numFmtId="2" fontId="0" fillId="0" borderId="17" xfId="0" applyNumberFormat="1" applyBorder="1" applyAlignment="1">
      <alignment horizontal="center" vertical="center"/>
    </xf>
    <xf numFmtId="2" fontId="0" fillId="0" borderId="18" xfId="0" applyNumberFormat="1" applyBorder="1" applyAlignment="1">
      <alignment horizontal="center" vertical="center" wrapText="1"/>
    </xf>
    <xf numFmtId="2" fontId="0" fillId="0" borderId="18" xfId="0" applyNumberFormat="1" applyBorder="1" applyAlignment="1">
      <alignment horizontal="center" vertical="center"/>
    </xf>
    <xf numFmtId="0" fontId="0" fillId="0" borderId="18" xfId="0" applyBorder="1" applyAlignment="1">
      <alignment horizontal="center" vertical="center" wrapText="1"/>
    </xf>
    <xf numFmtId="2" fontId="0" fillId="0" borderId="19" xfId="0" applyNumberFormat="1" applyBorder="1" applyAlignment="1">
      <alignment horizontal="center" vertical="center" wrapText="1"/>
    </xf>
    <xf numFmtId="169" fontId="0" fillId="2" borderId="0" xfId="1" applyNumberFormat="1" applyFont="1" applyFill="1" applyAlignment="1">
      <alignment vertical="center"/>
    </xf>
    <xf numFmtId="3" fontId="0" fillId="2" borderId="0" xfId="1" applyNumberFormat="1" applyFont="1" applyFill="1" applyAlignment="1">
      <alignment vertical="center"/>
    </xf>
    <xf numFmtId="173" fontId="0" fillId="3" borderId="0" xfId="0" applyNumberFormat="1" applyFill="1" applyAlignment="1">
      <alignment vertical="center"/>
    </xf>
    <xf numFmtId="0" fontId="1" fillId="6" borderId="2" xfId="0" applyFont="1" applyFill="1" applyBorder="1" applyAlignment="1">
      <alignment vertical="center"/>
    </xf>
    <xf numFmtId="0" fontId="1" fillId="6" borderId="2" xfId="0" applyFont="1" applyFill="1" applyBorder="1" applyAlignment="1">
      <alignment horizontal="right" vertical="center"/>
    </xf>
    <xf numFmtId="0" fontId="0" fillId="9" borderId="18" xfId="0" applyFill="1" applyBorder="1" applyAlignment="1">
      <alignment horizontal="center" vertical="center"/>
    </xf>
    <xf numFmtId="0" fontId="0" fillId="9" borderId="18" xfId="0" applyFill="1" applyBorder="1" applyAlignment="1">
      <alignment horizontal="center" vertical="center" wrapText="1"/>
    </xf>
    <xf numFmtId="0" fontId="0" fillId="12" borderId="18" xfId="0" applyFill="1" applyBorder="1" applyAlignment="1">
      <alignment horizontal="center" vertical="center"/>
    </xf>
    <xf numFmtId="0" fontId="0" fillId="12" borderId="18" xfId="0" applyFill="1" applyBorder="1" applyAlignment="1">
      <alignment horizontal="center" vertical="center" wrapText="1"/>
    </xf>
    <xf numFmtId="0" fontId="0" fillId="13" borderId="18" xfId="0" applyFill="1" applyBorder="1" applyAlignment="1">
      <alignment horizontal="center" vertical="center"/>
    </xf>
    <xf numFmtId="0" fontId="0" fillId="13" borderId="19" xfId="0" applyFill="1" applyBorder="1" applyAlignment="1">
      <alignment horizontal="center" vertical="center" wrapText="1"/>
    </xf>
    <xf numFmtId="0" fontId="4" fillId="3" borderId="0" xfId="1" applyNumberFormat="1" applyFont="1" applyFill="1" applyAlignment="1">
      <alignment vertical="center"/>
    </xf>
    <xf numFmtId="169" fontId="0" fillId="3" borderId="0" xfId="1" applyNumberFormat="1" applyFont="1" applyFill="1" applyAlignment="1">
      <alignment vertical="center"/>
    </xf>
    <xf numFmtId="0" fontId="0" fillId="6" borderId="0" xfId="0" applyFill="1" applyAlignment="1">
      <alignment horizontal="left" vertical="center"/>
    </xf>
    <xf numFmtId="170" fontId="4" fillId="6" borderId="0" xfId="2" applyNumberFormat="1" applyFont="1" applyFill="1" applyBorder="1" applyAlignment="1">
      <alignment vertical="center"/>
    </xf>
    <xf numFmtId="173" fontId="0" fillId="2" borderId="0" xfId="0" applyNumberFormat="1" applyFill="1" applyAlignment="1">
      <alignment vertical="center"/>
    </xf>
    <xf numFmtId="4" fontId="0" fillId="2" borderId="0" xfId="1" applyNumberFormat="1" applyFont="1" applyFill="1" applyAlignment="1">
      <alignment vertical="center"/>
    </xf>
    <xf numFmtId="0" fontId="0" fillId="11" borderId="6" xfId="0" applyFill="1" applyBorder="1"/>
    <xf numFmtId="0" fontId="0" fillId="14" borderId="0" xfId="0" applyFill="1" applyAlignment="1">
      <alignment vertical="center"/>
    </xf>
    <xf numFmtId="3" fontId="0" fillId="14" borderId="0" xfId="1" applyNumberFormat="1" applyFont="1" applyFill="1" applyAlignment="1">
      <alignment vertical="center"/>
    </xf>
    <xf numFmtId="168" fontId="0" fillId="14" borderId="0" xfId="1" applyNumberFormat="1" applyFont="1" applyFill="1" applyAlignment="1">
      <alignment vertical="center"/>
    </xf>
    <xf numFmtId="0" fontId="0" fillId="14" borderId="0" xfId="2" applyNumberFormat="1" applyFont="1" applyFill="1" applyAlignment="1">
      <alignment vertical="center"/>
    </xf>
    <xf numFmtId="0" fontId="1" fillId="7" borderId="14" xfId="0" applyFont="1" applyFill="1" applyBorder="1" applyAlignment="1">
      <alignment horizontal="center" vertical="center"/>
    </xf>
    <xf numFmtId="0" fontId="1" fillId="7" borderId="11" xfId="0" applyFont="1" applyFill="1" applyBorder="1" applyAlignment="1">
      <alignment horizontal="center" vertical="center"/>
    </xf>
    <xf numFmtId="0" fontId="1" fillId="7" borderId="15" xfId="0" applyFont="1" applyFill="1" applyBorder="1" applyAlignment="1">
      <alignment horizontal="center" vertical="center"/>
    </xf>
    <xf numFmtId="0" fontId="1" fillId="7" borderId="12" xfId="0" applyFont="1" applyFill="1" applyBorder="1" applyAlignment="1">
      <alignment horizontal="center" vertical="center"/>
    </xf>
    <xf numFmtId="0" fontId="1" fillId="11" borderId="0" xfId="0" applyFont="1" applyFill="1" applyAlignment="1">
      <alignment horizontal="center" vertical="center"/>
    </xf>
    <xf numFmtId="0" fontId="1" fillId="7" borderId="13" xfId="0" applyFont="1" applyFill="1" applyBorder="1" applyAlignment="1">
      <alignment horizontal="center" vertical="center"/>
    </xf>
    <xf numFmtId="0" fontId="1" fillId="9" borderId="1" xfId="0" applyFont="1" applyFill="1" applyBorder="1" applyAlignment="1">
      <alignment horizontal="center"/>
    </xf>
    <xf numFmtId="0" fontId="1" fillId="12" borderId="1" xfId="0" applyFont="1" applyFill="1" applyBorder="1" applyAlignment="1">
      <alignment horizontal="center"/>
    </xf>
    <xf numFmtId="0" fontId="1" fillId="13" borderId="1" xfId="0" applyFont="1" applyFill="1" applyBorder="1" applyAlignment="1">
      <alignment horizontal="center"/>
    </xf>
    <xf numFmtId="0" fontId="1" fillId="11" borderId="0" xfId="0" applyFont="1" applyFill="1" applyAlignment="1">
      <alignment horizontal="center"/>
    </xf>
    <xf numFmtId="0" fontId="1" fillId="11" borderId="7" xfId="0" applyFont="1" applyFill="1" applyBorder="1" applyAlignment="1">
      <alignment horizontal="center"/>
    </xf>
    <xf numFmtId="0" fontId="1" fillId="11" borderId="27" xfId="0" applyFont="1" applyFill="1" applyBorder="1" applyAlignment="1">
      <alignment horizontal="center" vertical="center"/>
    </xf>
    <xf numFmtId="0" fontId="1" fillId="11" borderId="26" xfId="0" applyFont="1" applyFill="1" applyBorder="1" applyAlignment="1">
      <alignment horizontal="center" vertical="center"/>
    </xf>
    <xf numFmtId="0" fontId="1" fillId="11" borderId="7" xfId="0" applyFont="1" applyFill="1" applyBorder="1" applyAlignment="1">
      <alignment horizontal="center" vertical="center"/>
    </xf>
    <xf numFmtId="0" fontId="1" fillId="12" borderId="0" xfId="0" applyFont="1" applyFill="1" applyAlignment="1">
      <alignment horizontal="center" vertical="center"/>
    </xf>
    <xf numFmtId="0" fontId="1" fillId="13" borderId="0" xfId="0" applyFont="1" applyFill="1" applyAlignment="1">
      <alignment horizontal="center" vertical="center"/>
    </xf>
    <xf numFmtId="0" fontId="1" fillId="13" borderId="7" xfId="0" applyFont="1" applyFill="1" applyBorder="1" applyAlignment="1">
      <alignment horizontal="center" vertical="center"/>
    </xf>
  </cellXfs>
  <cellStyles count="3">
    <cellStyle name="Comma" xfId="1" builtinId="3"/>
    <cellStyle name="Normal" xfId="0" builtinId="0"/>
    <cellStyle name="Percent" xfId="2" builtinId="5"/>
  </cellStyles>
  <dxfs count="42">
    <dxf>
      <fill>
        <patternFill>
          <bgColor rgb="FFFF5050"/>
        </patternFill>
      </fill>
    </dxf>
    <dxf>
      <fill>
        <patternFill>
          <bgColor rgb="FFFF5050"/>
        </patternFill>
      </fill>
    </dxf>
    <dxf>
      <fill>
        <patternFill>
          <bgColor theme="0" tint="-0.14996795556505021"/>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theme="0" tint="-0.14996795556505021"/>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22/11/relationships/FeaturePropertyBag" Target="featurePropertyBag/featurePropertyBag.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1135790317876933"/>
          <c:y val="2.1363735783027121E-2"/>
          <c:w val="0.84610746573344997"/>
          <c:h val="0.82358173978252713"/>
        </c:manualLayout>
      </c:layout>
      <c:scatterChart>
        <c:scatterStyle val="lineMarker"/>
        <c:varyColors val="0"/>
        <c:ser>
          <c:idx val="0"/>
          <c:order val="0"/>
          <c:tx>
            <c:v>e against Fa/C0</c:v>
          </c:tx>
          <c:spPr>
            <a:ln w="25400" cap="rnd">
              <a:noFill/>
              <a:round/>
            </a:ln>
            <a:effectLst/>
          </c:spPr>
          <c:marker>
            <c:symbol val="circle"/>
            <c:size val="5"/>
            <c:spPr>
              <a:solidFill>
                <a:srgbClr val="0070C0"/>
              </a:solidFill>
              <a:ln w="9525">
                <a:solidFill>
                  <a:srgbClr val="0070C0"/>
                </a:solidFill>
              </a:ln>
              <a:effectLst/>
            </c:spPr>
          </c:marker>
          <c:trendline>
            <c:spPr>
              <a:ln w="19050" cap="rnd">
                <a:solidFill>
                  <a:srgbClr val="0070C0"/>
                </a:solidFill>
                <a:prstDash val="sysDot"/>
              </a:ln>
              <a:effectLst/>
            </c:spPr>
            <c:trendlineType val="power"/>
            <c:dispRSqr val="1"/>
            <c:dispEq val="1"/>
            <c:trendlineLbl>
              <c:layout>
                <c:manualLayout>
                  <c:x val="-3.6116032370953628E-2"/>
                  <c:y val="0.29474534433195848"/>
                </c:manualLayout>
              </c:layout>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100" baseline="0">
                        <a:solidFill>
                          <a:schemeClr val="tx1"/>
                        </a:solidFill>
                        <a:latin typeface="Times New Roman" panose="02020603050405020304" pitchFamily="18" charset="0"/>
                        <a:cs typeface="Times New Roman" panose="02020603050405020304" pitchFamily="18" charset="0"/>
                      </a:rPr>
                      <a:t>e = 0.506467531924409(</a:t>
                    </a:r>
                    <a:r>
                      <a:rPr lang="en-US" sz="1100" b="0" i="0" baseline="0">
                        <a:effectLst/>
                      </a:rPr>
                      <a:t>F</a:t>
                    </a:r>
                    <a:r>
                      <a:rPr lang="en-US" sz="1100" b="0" i="0" baseline="-25000">
                        <a:effectLst/>
                      </a:rPr>
                      <a:t>a</a:t>
                    </a:r>
                    <a:r>
                      <a:rPr lang="en-US" sz="1100" b="0" i="0" baseline="0">
                        <a:effectLst/>
                      </a:rPr>
                      <a:t>/C</a:t>
                    </a:r>
                    <a:r>
                      <a:rPr lang="en-US" sz="1100" b="0" i="0" baseline="-25000">
                        <a:effectLst/>
                      </a:rPr>
                      <a:t>0</a:t>
                    </a:r>
                    <a:r>
                      <a:rPr lang="en-US" sz="1100" baseline="0">
                        <a:solidFill>
                          <a:schemeClr val="tx1"/>
                        </a:solidFill>
                        <a:latin typeface="Times New Roman" panose="02020603050405020304" pitchFamily="18" charset="0"/>
                        <a:cs typeface="Times New Roman" panose="02020603050405020304" pitchFamily="18" charset="0"/>
                      </a:rPr>
                      <a:t>)</a:t>
                    </a:r>
                    <a:r>
                      <a:rPr lang="en-US" sz="1100" baseline="30000">
                        <a:solidFill>
                          <a:schemeClr val="tx1"/>
                        </a:solidFill>
                        <a:latin typeface="Times New Roman" panose="02020603050405020304" pitchFamily="18" charset="0"/>
                        <a:cs typeface="Times New Roman" panose="02020603050405020304" pitchFamily="18" charset="0"/>
                      </a:rPr>
                      <a:t>0.232037284718490</a:t>
                    </a:r>
                    <a:br>
                      <a:rPr lang="en-US" sz="1100" baseline="0">
                        <a:solidFill>
                          <a:schemeClr val="tx1"/>
                        </a:solidFill>
                        <a:latin typeface="Times New Roman" panose="02020603050405020304" pitchFamily="18" charset="0"/>
                        <a:cs typeface="Times New Roman" panose="02020603050405020304" pitchFamily="18" charset="0"/>
                      </a:rPr>
                    </a:br>
                    <a:r>
                      <a:rPr lang="en-US" sz="1100" baseline="0">
                        <a:solidFill>
                          <a:schemeClr val="tx1"/>
                        </a:solidFill>
                        <a:latin typeface="Times New Roman" panose="02020603050405020304" pitchFamily="18" charset="0"/>
                        <a:cs typeface="Times New Roman" panose="02020603050405020304" pitchFamily="18" charset="0"/>
                      </a:rPr>
                      <a:t>R² = 0.998163064660662</a:t>
                    </a:r>
                    <a:endParaRPr lang="en-US" sz="1100">
                      <a:solidFill>
                        <a:schemeClr val="tx1"/>
                      </a:solidFill>
                      <a:latin typeface="Times New Roman" panose="02020603050405020304" pitchFamily="18" charset="0"/>
                      <a:cs typeface="Times New Roman" panose="02020603050405020304" pitchFamily="18" charset="0"/>
                    </a:endParaRPr>
                  </a:p>
                </c:rich>
              </c:tx>
              <c:numFmt formatCode="#,##0.000000000000000" sourceLinked="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rendlineLbl>
          </c:trendline>
          <c:xVal>
            <c:numRef>
              <c:f>'L18 Comb. Lds Bearings Q25 A&amp;B'!$AK$7:$AK$18</c:f>
              <c:numCache>
                <c:formatCode>0.000</c:formatCode>
                <c:ptCount val="12"/>
                <c:pt idx="0">
                  <c:v>1.4E-2</c:v>
                </c:pt>
                <c:pt idx="1">
                  <c:v>2.1000000000000001E-2</c:v>
                </c:pt>
                <c:pt idx="2">
                  <c:v>2.8000000000000001E-2</c:v>
                </c:pt>
                <c:pt idx="3">
                  <c:v>4.2000000000000003E-2</c:v>
                </c:pt>
                <c:pt idx="4">
                  <c:v>5.6000000000000001E-2</c:v>
                </c:pt>
                <c:pt idx="5">
                  <c:v>7.0000000000000007E-2</c:v>
                </c:pt>
                <c:pt idx="6">
                  <c:v>8.4000000000000005E-2</c:v>
                </c:pt>
                <c:pt idx="7">
                  <c:v>0.11</c:v>
                </c:pt>
                <c:pt idx="8" formatCode="0.00">
                  <c:v>0.17</c:v>
                </c:pt>
                <c:pt idx="9" formatCode="0.00">
                  <c:v>0.28000000000000003</c:v>
                </c:pt>
                <c:pt idx="10" formatCode="0.00">
                  <c:v>0.42</c:v>
                </c:pt>
                <c:pt idx="11" formatCode="0.00">
                  <c:v>0.56000000000000005</c:v>
                </c:pt>
              </c:numCache>
            </c:numRef>
          </c:xVal>
          <c:yVal>
            <c:numRef>
              <c:f>'L18 Comb. Lds Bearings Q25 A&amp;B'!$AL$7:$AL$18</c:f>
              <c:numCache>
                <c:formatCode>0.00</c:formatCode>
                <c:ptCount val="12"/>
                <c:pt idx="0">
                  <c:v>0.19</c:v>
                </c:pt>
                <c:pt idx="1">
                  <c:v>0.21</c:v>
                </c:pt>
                <c:pt idx="2">
                  <c:v>0.22</c:v>
                </c:pt>
                <c:pt idx="3">
                  <c:v>0.24</c:v>
                </c:pt>
                <c:pt idx="4">
                  <c:v>0.26</c:v>
                </c:pt>
                <c:pt idx="5">
                  <c:v>0.27</c:v>
                </c:pt>
                <c:pt idx="6">
                  <c:v>0.28000000000000003</c:v>
                </c:pt>
                <c:pt idx="7">
                  <c:v>0.3</c:v>
                </c:pt>
                <c:pt idx="8">
                  <c:v>0.34</c:v>
                </c:pt>
                <c:pt idx="9">
                  <c:v>0.38</c:v>
                </c:pt>
                <c:pt idx="10">
                  <c:v>0.42</c:v>
                </c:pt>
                <c:pt idx="11">
                  <c:v>0.44</c:v>
                </c:pt>
              </c:numCache>
            </c:numRef>
          </c:yVal>
          <c:smooth val="1"/>
          <c:extLst>
            <c:ext xmlns:c16="http://schemas.microsoft.com/office/drawing/2014/chart" uri="{C3380CC4-5D6E-409C-BE32-E72D297353CC}">
              <c16:uniqueId val="{00000001-429C-49E9-98D5-967DF808D7F0}"/>
            </c:ext>
          </c:extLst>
        </c:ser>
        <c:dLbls>
          <c:showLegendKey val="0"/>
          <c:showVal val="0"/>
          <c:showCatName val="0"/>
          <c:showSerName val="0"/>
          <c:showPercent val="0"/>
          <c:showBubbleSize val="0"/>
        </c:dLbls>
        <c:axId val="533849231"/>
        <c:axId val="943931647"/>
      </c:scatterChart>
      <c:valAx>
        <c:axId val="53384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F</a:t>
                </a:r>
                <a:r>
                  <a:rPr lang="en-US" baseline="-25000"/>
                  <a:t>a</a:t>
                </a:r>
                <a:r>
                  <a:rPr lang="en-US"/>
                  <a:t>/C</a:t>
                </a:r>
                <a:r>
                  <a:rPr lang="en-US" baseline="-25000"/>
                  <a:t>0</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43931647"/>
        <c:crosses val="autoZero"/>
        <c:crossBetween val="midCat"/>
      </c:valAx>
      <c:valAx>
        <c:axId val="9439316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0" sourceLinked="1"/>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33849231"/>
        <c:crossesAt val="-50"/>
        <c:crossBetween val="midCat"/>
      </c:valAx>
      <c:spPr>
        <a:noFill/>
        <a:ln>
          <a:solidFill>
            <a:schemeClr val="tx1"/>
          </a:solid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1135790317876933"/>
          <c:y val="2.1363735783027121E-2"/>
          <c:w val="0.84610746573344997"/>
          <c:h val="0.82358173978252713"/>
        </c:manualLayout>
      </c:layout>
      <c:scatterChart>
        <c:scatterStyle val="lineMarker"/>
        <c:varyColors val="0"/>
        <c:ser>
          <c:idx val="0"/>
          <c:order val="0"/>
          <c:tx>
            <c:v>e against Fa/C0</c:v>
          </c:tx>
          <c:spPr>
            <a:ln w="25400" cap="rnd">
              <a:noFill/>
              <a:round/>
            </a:ln>
            <a:effectLst/>
          </c:spPr>
          <c:marker>
            <c:symbol val="circle"/>
            <c:size val="5"/>
            <c:spPr>
              <a:solidFill>
                <a:srgbClr val="0070C0"/>
              </a:solidFill>
              <a:ln w="9525">
                <a:solidFill>
                  <a:srgbClr val="0070C0"/>
                </a:solidFill>
              </a:ln>
              <a:effectLst/>
            </c:spPr>
          </c:marker>
          <c:trendline>
            <c:spPr>
              <a:ln w="19050" cap="rnd">
                <a:solidFill>
                  <a:srgbClr val="0070C0"/>
                </a:solidFill>
                <a:prstDash val="sysDot"/>
              </a:ln>
              <a:effectLst/>
            </c:spPr>
            <c:trendlineType val="power"/>
            <c:dispRSqr val="1"/>
            <c:dispEq val="1"/>
            <c:trendlineLbl>
              <c:layout>
                <c:manualLayout>
                  <c:x val="1.4196376494604842E-2"/>
                  <c:y val="-0.2870738032745907"/>
                </c:manualLayout>
              </c:layout>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100" baseline="0">
                        <a:solidFill>
                          <a:schemeClr val="tx1"/>
                        </a:solidFill>
                        <a:latin typeface="Times New Roman" panose="02020603050405020304" pitchFamily="18" charset="0"/>
                        <a:cs typeface="Times New Roman" panose="02020603050405020304" pitchFamily="18" charset="0"/>
                      </a:rPr>
                      <a:t>y</a:t>
                    </a:r>
                    <a:r>
                      <a:rPr lang="en-US" sz="1100" baseline="-25000">
                        <a:solidFill>
                          <a:schemeClr val="tx1"/>
                        </a:solidFill>
                        <a:latin typeface="Times New Roman" panose="02020603050405020304" pitchFamily="18" charset="0"/>
                        <a:cs typeface="Times New Roman" panose="02020603050405020304" pitchFamily="18" charset="0"/>
                      </a:rPr>
                      <a:t>2</a:t>
                    </a:r>
                    <a:r>
                      <a:rPr lang="en-US" sz="1100" baseline="0">
                        <a:solidFill>
                          <a:schemeClr val="tx1"/>
                        </a:solidFill>
                        <a:latin typeface="Times New Roman" panose="02020603050405020304" pitchFamily="18" charset="0"/>
                        <a:cs typeface="Times New Roman" panose="02020603050405020304" pitchFamily="18" charset="0"/>
                      </a:rPr>
                      <a:t> = 0.863191147423464</a:t>
                    </a:r>
                    <a:r>
                      <a:rPr lang="en-US" sz="1100" b="0" i="0" u="none" strike="noStrike" baseline="0">
                        <a:effectLst/>
                      </a:rPr>
                      <a:t>(F</a:t>
                    </a:r>
                    <a:r>
                      <a:rPr lang="en-US" sz="1100" b="0" i="0" u="none" strike="noStrike" baseline="-25000">
                        <a:effectLst/>
                      </a:rPr>
                      <a:t>a</a:t>
                    </a:r>
                    <a:r>
                      <a:rPr lang="en-US" sz="1100" b="0" i="0" u="none" strike="noStrike" baseline="0">
                        <a:effectLst/>
                      </a:rPr>
                      <a:t>/C</a:t>
                    </a:r>
                    <a:r>
                      <a:rPr lang="en-US" sz="1100" b="0" i="0" u="none" strike="noStrike" baseline="-25000">
                        <a:effectLst/>
                      </a:rPr>
                      <a:t>0</a:t>
                    </a:r>
                    <a:r>
                      <a:rPr lang="en-US" sz="1100" b="0" i="0" u="none" strike="noStrike" baseline="0">
                        <a:effectLst/>
                      </a:rPr>
                      <a:t>)</a:t>
                    </a:r>
                    <a:r>
                      <a:rPr lang="en-US" sz="1100" baseline="30000">
                        <a:solidFill>
                          <a:schemeClr val="tx1"/>
                        </a:solidFill>
                        <a:latin typeface="Times New Roman" panose="02020603050405020304" pitchFamily="18" charset="0"/>
                        <a:cs typeface="Times New Roman" panose="02020603050405020304" pitchFamily="18" charset="0"/>
                      </a:rPr>
                      <a:t>-0.234866270653838</a:t>
                    </a:r>
                    <a:br>
                      <a:rPr lang="en-US" sz="1100" baseline="0">
                        <a:solidFill>
                          <a:schemeClr val="tx1"/>
                        </a:solidFill>
                        <a:latin typeface="Times New Roman" panose="02020603050405020304" pitchFamily="18" charset="0"/>
                        <a:cs typeface="Times New Roman" panose="02020603050405020304" pitchFamily="18" charset="0"/>
                      </a:rPr>
                    </a:br>
                    <a:r>
                      <a:rPr lang="en-US" sz="1100" baseline="0">
                        <a:solidFill>
                          <a:schemeClr val="tx1"/>
                        </a:solidFill>
                        <a:latin typeface="Times New Roman" panose="02020603050405020304" pitchFamily="18" charset="0"/>
                        <a:cs typeface="Times New Roman" panose="02020603050405020304" pitchFamily="18" charset="0"/>
                      </a:rPr>
                      <a:t>R² = 0.997528042253992</a:t>
                    </a:r>
                    <a:endParaRPr lang="en-US" sz="1100">
                      <a:solidFill>
                        <a:schemeClr val="tx1"/>
                      </a:solidFill>
                      <a:latin typeface="Times New Roman" panose="02020603050405020304" pitchFamily="18" charset="0"/>
                      <a:cs typeface="Times New Roman" panose="02020603050405020304" pitchFamily="18" charset="0"/>
                    </a:endParaRPr>
                  </a:p>
                </c:rich>
              </c:tx>
              <c:numFmt formatCode="#,##0.000000000000000" sourceLinked="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rendlineLbl>
          </c:trendline>
          <c:xVal>
            <c:numRef>
              <c:f>'L18 Comb. Lds Bearings Q25 A&amp;B'!$AK$7:$AK$18</c:f>
              <c:numCache>
                <c:formatCode>0.000</c:formatCode>
                <c:ptCount val="12"/>
                <c:pt idx="0">
                  <c:v>1.4E-2</c:v>
                </c:pt>
                <c:pt idx="1">
                  <c:v>2.1000000000000001E-2</c:v>
                </c:pt>
                <c:pt idx="2">
                  <c:v>2.8000000000000001E-2</c:v>
                </c:pt>
                <c:pt idx="3">
                  <c:v>4.2000000000000003E-2</c:v>
                </c:pt>
                <c:pt idx="4">
                  <c:v>5.6000000000000001E-2</c:v>
                </c:pt>
                <c:pt idx="5">
                  <c:v>7.0000000000000007E-2</c:v>
                </c:pt>
                <c:pt idx="6">
                  <c:v>8.4000000000000005E-2</c:v>
                </c:pt>
                <c:pt idx="7">
                  <c:v>0.11</c:v>
                </c:pt>
                <c:pt idx="8" formatCode="0.00">
                  <c:v>0.17</c:v>
                </c:pt>
                <c:pt idx="9" formatCode="0.00">
                  <c:v>0.28000000000000003</c:v>
                </c:pt>
                <c:pt idx="10" formatCode="0.00">
                  <c:v>0.42</c:v>
                </c:pt>
                <c:pt idx="11" formatCode="0.00">
                  <c:v>0.56000000000000005</c:v>
                </c:pt>
              </c:numCache>
            </c:numRef>
          </c:xVal>
          <c:yVal>
            <c:numRef>
              <c:f>'L18 Comb. Lds Bearings Q25 A&amp;B'!$AP$7:$AP$18</c:f>
              <c:numCache>
                <c:formatCode>0.00</c:formatCode>
                <c:ptCount val="12"/>
                <c:pt idx="0">
                  <c:v>2.2999999999999998</c:v>
                </c:pt>
                <c:pt idx="1">
                  <c:v>2.15</c:v>
                </c:pt>
                <c:pt idx="2">
                  <c:v>1.99</c:v>
                </c:pt>
                <c:pt idx="3">
                  <c:v>1.85</c:v>
                </c:pt>
                <c:pt idx="4">
                  <c:v>1.71</c:v>
                </c:pt>
                <c:pt idx="5">
                  <c:v>1.63</c:v>
                </c:pt>
                <c:pt idx="6">
                  <c:v>1.55</c:v>
                </c:pt>
                <c:pt idx="7">
                  <c:v>1.45</c:v>
                </c:pt>
                <c:pt idx="8">
                  <c:v>1.31</c:v>
                </c:pt>
                <c:pt idx="9">
                  <c:v>1.1499999999999999</c:v>
                </c:pt>
                <c:pt idx="10">
                  <c:v>1.04</c:v>
                </c:pt>
                <c:pt idx="11">
                  <c:v>1</c:v>
                </c:pt>
              </c:numCache>
            </c:numRef>
          </c:yVal>
          <c:smooth val="1"/>
          <c:extLst>
            <c:ext xmlns:c16="http://schemas.microsoft.com/office/drawing/2014/chart" uri="{C3380CC4-5D6E-409C-BE32-E72D297353CC}">
              <c16:uniqueId val="{00000001-D2AF-44A6-87DB-E5389179B2A2}"/>
            </c:ext>
          </c:extLst>
        </c:ser>
        <c:dLbls>
          <c:showLegendKey val="0"/>
          <c:showVal val="0"/>
          <c:showCatName val="0"/>
          <c:showSerName val="0"/>
          <c:showPercent val="0"/>
          <c:showBubbleSize val="0"/>
        </c:dLbls>
        <c:axId val="533849231"/>
        <c:axId val="943931647"/>
      </c:scatterChart>
      <c:valAx>
        <c:axId val="53384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F</a:t>
                </a:r>
                <a:r>
                  <a:rPr lang="en-US" baseline="-25000"/>
                  <a:t>a</a:t>
                </a:r>
                <a:r>
                  <a:rPr lang="en-US"/>
                  <a:t>/C</a:t>
                </a:r>
                <a:r>
                  <a:rPr lang="en-US" baseline="-25000"/>
                  <a:t>0</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43931647"/>
        <c:crosses val="autoZero"/>
        <c:crossBetween val="midCat"/>
      </c:valAx>
      <c:valAx>
        <c:axId val="943931647"/>
        <c:scaling>
          <c:orientation val="minMax"/>
          <c:min val="0.9"/>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sz="1000" b="0" i="0" u="none" strike="noStrike" kern="1200" baseline="0">
                    <a:solidFill>
                      <a:schemeClr val="tx1"/>
                    </a:solidFill>
                    <a:latin typeface="Times New Roman" panose="02020603050405020304" pitchFamily="18" charset="0"/>
                    <a:cs typeface="Times New Roman" panose="02020603050405020304" pitchFamily="18" charset="0"/>
                  </a:rPr>
                  <a:t>y</a:t>
                </a:r>
                <a:r>
                  <a:rPr lang="en-US" sz="1000" b="0" i="0" u="none" strike="noStrike" kern="1200" baseline="-25000">
                    <a:solidFill>
                      <a:schemeClr val="tx1"/>
                    </a:solidFill>
                    <a:latin typeface="Times New Roman" panose="02020603050405020304" pitchFamily="18" charset="0"/>
                    <a:cs typeface="Times New Roman" panose="02020603050405020304" pitchFamily="18" charset="0"/>
                  </a:rPr>
                  <a:t>2</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33849231"/>
        <c:crossesAt val="-50"/>
        <c:crossBetween val="midCat"/>
      </c:valAx>
      <c:spPr>
        <a:noFill/>
        <a:ln>
          <a:solidFill>
            <a:schemeClr val="tx1"/>
          </a:solid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1135790317876933"/>
          <c:y val="2.1363735783027121E-2"/>
          <c:w val="0.84610746573344997"/>
          <c:h val="0.82358173978252713"/>
        </c:manualLayout>
      </c:layout>
      <c:scatterChart>
        <c:scatterStyle val="lineMarker"/>
        <c:varyColors val="0"/>
        <c:ser>
          <c:idx val="0"/>
          <c:order val="0"/>
          <c:tx>
            <c:v>e against Fa/C0</c:v>
          </c:tx>
          <c:spPr>
            <a:ln w="25400" cap="rnd">
              <a:noFill/>
              <a:round/>
            </a:ln>
            <a:effectLst/>
          </c:spPr>
          <c:marker>
            <c:symbol val="circle"/>
            <c:size val="5"/>
            <c:spPr>
              <a:solidFill>
                <a:srgbClr val="0070C0"/>
              </a:solidFill>
              <a:ln w="9525">
                <a:solidFill>
                  <a:srgbClr val="0070C0"/>
                </a:solidFill>
              </a:ln>
              <a:effectLst/>
            </c:spPr>
          </c:marker>
          <c:trendline>
            <c:spPr>
              <a:ln w="19050" cap="rnd">
                <a:solidFill>
                  <a:srgbClr val="0070C0"/>
                </a:solidFill>
                <a:prstDash val="sysDot"/>
              </a:ln>
              <a:effectLst/>
            </c:spPr>
            <c:trendlineType val="power"/>
            <c:dispRSqr val="1"/>
            <c:dispEq val="1"/>
            <c:trendlineLbl>
              <c:layout>
                <c:manualLayout>
                  <c:x val="-3.6116032370953628E-2"/>
                  <c:y val="0.29474534433195848"/>
                </c:manualLayout>
              </c:layout>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100" baseline="0">
                        <a:solidFill>
                          <a:schemeClr val="tx1"/>
                        </a:solidFill>
                        <a:latin typeface="Times New Roman" panose="02020603050405020304" pitchFamily="18" charset="0"/>
                        <a:cs typeface="Times New Roman" panose="02020603050405020304" pitchFamily="18" charset="0"/>
                      </a:rPr>
                      <a:t>e = 0.506467531924409(</a:t>
                    </a:r>
                    <a:r>
                      <a:rPr lang="en-US" sz="1100" b="0" i="0" baseline="0">
                        <a:effectLst/>
                      </a:rPr>
                      <a:t>F</a:t>
                    </a:r>
                    <a:r>
                      <a:rPr lang="en-US" sz="1100" b="0" i="0" baseline="-25000">
                        <a:effectLst/>
                      </a:rPr>
                      <a:t>a</a:t>
                    </a:r>
                    <a:r>
                      <a:rPr lang="en-US" sz="1100" b="0" i="0" baseline="0">
                        <a:effectLst/>
                      </a:rPr>
                      <a:t>/C</a:t>
                    </a:r>
                    <a:r>
                      <a:rPr lang="en-US" sz="1100" b="0" i="0" baseline="-25000">
                        <a:effectLst/>
                      </a:rPr>
                      <a:t>0</a:t>
                    </a:r>
                    <a:r>
                      <a:rPr lang="en-US" sz="1100" baseline="0">
                        <a:solidFill>
                          <a:schemeClr val="tx1"/>
                        </a:solidFill>
                        <a:latin typeface="Times New Roman" panose="02020603050405020304" pitchFamily="18" charset="0"/>
                        <a:cs typeface="Times New Roman" panose="02020603050405020304" pitchFamily="18" charset="0"/>
                      </a:rPr>
                      <a:t>)</a:t>
                    </a:r>
                    <a:r>
                      <a:rPr lang="en-US" sz="1100" baseline="30000">
                        <a:solidFill>
                          <a:schemeClr val="tx1"/>
                        </a:solidFill>
                        <a:latin typeface="Times New Roman" panose="02020603050405020304" pitchFamily="18" charset="0"/>
                        <a:cs typeface="Times New Roman" panose="02020603050405020304" pitchFamily="18" charset="0"/>
                      </a:rPr>
                      <a:t>0.232037284718490</a:t>
                    </a:r>
                    <a:br>
                      <a:rPr lang="en-US" sz="1100" baseline="0">
                        <a:solidFill>
                          <a:schemeClr val="tx1"/>
                        </a:solidFill>
                        <a:latin typeface="Times New Roman" panose="02020603050405020304" pitchFamily="18" charset="0"/>
                        <a:cs typeface="Times New Roman" panose="02020603050405020304" pitchFamily="18" charset="0"/>
                      </a:rPr>
                    </a:br>
                    <a:r>
                      <a:rPr lang="en-US" sz="1100" baseline="0">
                        <a:solidFill>
                          <a:schemeClr val="tx1"/>
                        </a:solidFill>
                        <a:latin typeface="Times New Roman" panose="02020603050405020304" pitchFamily="18" charset="0"/>
                        <a:cs typeface="Times New Roman" panose="02020603050405020304" pitchFamily="18" charset="0"/>
                      </a:rPr>
                      <a:t>R² = 0.998163064660662</a:t>
                    </a:r>
                    <a:endParaRPr lang="en-US" sz="1100">
                      <a:solidFill>
                        <a:schemeClr val="tx1"/>
                      </a:solidFill>
                      <a:latin typeface="Times New Roman" panose="02020603050405020304" pitchFamily="18" charset="0"/>
                      <a:cs typeface="Times New Roman" panose="02020603050405020304" pitchFamily="18" charset="0"/>
                    </a:endParaRPr>
                  </a:p>
                </c:rich>
              </c:tx>
              <c:numFmt formatCode="#,##0.000000000000000" sourceLinked="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rendlineLbl>
          </c:trendline>
          <c:xVal>
            <c:numRef>
              <c:f>'L18 Comb. Lds Bearings Q25 C&amp;D'!$AK$7:$AK$18</c:f>
              <c:numCache>
                <c:formatCode>0.000</c:formatCode>
                <c:ptCount val="12"/>
                <c:pt idx="0">
                  <c:v>1.4E-2</c:v>
                </c:pt>
                <c:pt idx="1">
                  <c:v>2.1000000000000001E-2</c:v>
                </c:pt>
                <c:pt idx="2">
                  <c:v>2.8000000000000001E-2</c:v>
                </c:pt>
                <c:pt idx="3">
                  <c:v>4.2000000000000003E-2</c:v>
                </c:pt>
                <c:pt idx="4">
                  <c:v>5.6000000000000001E-2</c:v>
                </c:pt>
                <c:pt idx="5">
                  <c:v>7.0000000000000007E-2</c:v>
                </c:pt>
                <c:pt idx="6">
                  <c:v>8.4000000000000005E-2</c:v>
                </c:pt>
                <c:pt idx="7">
                  <c:v>0.11</c:v>
                </c:pt>
                <c:pt idx="8" formatCode="0.00">
                  <c:v>0.17</c:v>
                </c:pt>
                <c:pt idx="9" formatCode="0.00">
                  <c:v>0.28000000000000003</c:v>
                </c:pt>
                <c:pt idx="10" formatCode="0.00">
                  <c:v>0.42</c:v>
                </c:pt>
                <c:pt idx="11" formatCode="0.00">
                  <c:v>0.56000000000000005</c:v>
                </c:pt>
              </c:numCache>
            </c:numRef>
          </c:xVal>
          <c:yVal>
            <c:numRef>
              <c:f>'L18 Comb. Lds Bearings Q25 C&amp;D'!$AL$7:$AL$18</c:f>
              <c:numCache>
                <c:formatCode>0.00</c:formatCode>
                <c:ptCount val="12"/>
                <c:pt idx="0">
                  <c:v>0.19</c:v>
                </c:pt>
                <c:pt idx="1">
                  <c:v>0.21</c:v>
                </c:pt>
                <c:pt idx="2">
                  <c:v>0.22</c:v>
                </c:pt>
                <c:pt idx="3">
                  <c:v>0.24</c:v>
                </c:pt>
                <c:pt idx="4">
                  <c:v>0.26</c:v>
                </c:pt>
                <c:pt idx="5">
                  <c:v>0.27</c:v>
                </c:pt>
                <c:pt idx="6">
                  <c:v>0.28000000000000003</c:v>
                </c:pt>
                <c:pt idx="7">
                  <c:v>0.3</c:v>
                </c:pt>
                <c:pt idx="8">
                  <c:v>0.34</c:v>
                </c:pt>
                <c:pt idx="9">
                  <c:v>0.38</c:v>
                </c:pt>
                <c:pt idx="10">
                  <c:v>0.42</c:v>
                </c:pt>
                <c:pt idx="11">
                  <c:v>0.44</c:v>
                </c:pt>
              </c:numCache>
            </c:numRef>
          </c:yVal>
          <c:smooth val="1"/>
          <c:extLst>
            <c:ext xmlns:c16="http://schemas.microsoft.com/office/drawing/2014/chart" uri="{C3380CC4-5D6E-409C-BE32-E72D297353CC}">
              <c16:uniqueId val="{00000001-612F-4C82-951E-E877AED6B76D}"/>
            </c:ext>
          </c:extLst>
        </c:ser>
        <c:dLbls>
          <c:showLegendKey val="0"/>
          <c:showVal val="0"/>
          <c:showCatName val="0"/>
          <c:showSerName val="0"/>
          <c:showPercent val="0"/>
          <c:showBubbleSize val="0"/>
        </c:dLbls>
        <c:axId val="533849231"/>
        <c:axId val="943931647"/>
      </c:scatterChart>
      <c:valAx>
        <c:axId val="53384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F</a:t>
                </a:r>
                <a:r>
                  <a:rPr lang="en-US" baseline="-25000"/>
                  <a:t>a</a:t>
                </a:r>
                <a:r>
                  <a:rPr lang="en-US"/>
                  <a:t>/C</a:t>
                </a:r>
                <a:r>
                  <a:rPr lang="en-US" baseline="-25000"/>
                  <a:t>0</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43931647"/>
        <c:crosses val="autoZero"/>
        <c:crossBetween val="midCat"/>
      </c:valAx>
      <c:valAx>
        <c:axId val="9439316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0" sourceLinked="1"/>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33849231"/>
        <c:crossesAt val="-50"/>
        <c:crossBetween val="midCat"/>
      </c:valAx>
      <c:spPr>
        <a:noFill/>
        <a:ln>
          <a:solidFill>
            <a:schemeClr val="tx1"/>
          </a:solid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1135790317876933"/>
          <c:y val="2.1363735783027121E-2"/>
          <c:w val="0.84610746573344997"/>
          <c:h val="0.82358173978252713"/>
        </c:manualLayout>
      </c:layout>
      <c:scatterChart>
        <c:scatterStyle val="lineMarker"/>
        <c:varyColors val="0"/>
        <c:ser>
          <c:idx val="0"/>
          <c:order val="0"/>
          <c:tx>
            <c:v>e against Fa/C0</c:v>
          </c:tx>
          <c:spPr>
            <a:ln w="25400" cap="rnd">
              <a:noFill/>
              <a:round/>
            </a:ln>
            <a:effectLst/>
          </c:spPr>
          <c:marker>
            <c:symbol val="circle"/>
            <c:size val="5"/>
            <c:spPr>
              <a:solidFill>
                <a:srgbClr val="0070C0"/>
              </a:solidFill>
              <a:ln w="9525">
                <a:solidFill>
                  <a:srgbClr val="0070C0"/>
                </a:solidFill>
              </a:ln>
              <a:effectLst/>
            </c:spPr>
          </c:marker>
          <c:trendline>
            <c:spPr>
              <a:ln w="19050" cap="rnd">
                <a:solidFill>
                  <a:srgbClr val="0070C0"/>
                </a:solidFill>
                <a:prstDash val="sysDot"/>
              </a:ln>
              <a:effectLst/>
            </c:spPr>
            <c:trendlineType val="power"/>
            <c:dispRSqr val="1"/>
            <c:dispEq val="1"/>
            <c:trendlineLbl>
              <c:layout>
                <c:manualLayout>
                  <c:x val="1.4196376494604842E-2"/>
                  <c:y val="-0.2870738032745907"/>
                </c:manualLayout>
              </c:layout>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100" baseline="0">
                        <a:solidFill>
                          <a:schemeClr val="tx1"/>
                        </a:solidFill>
                        <a:latin typeface="Times New Roman" panose="02020603050405020304" pitchFamily="18" charset="0"/>
                        <a:cs typeface="Times New Roman" panose="02020603050405020304" pitchFamily="18" charset="0"/>
                      </a:rPr>
                      <a:t>y</a:t>
                    </a:r>
                    <a:r>
                      <a:rPr lang="en-US" sz="1100" baseline="-25000">
                        <a:solidFill>
                          <a:schemeClr val="tx1"/>
                        </a:solidFill>
                        <a:latin typeface="Times New Roman" panose="02020603050405020304" pitchFamily="18" charset="0"/>
                        <a:cs typeface="Times New Roman" panose="02020603050405020304" pitchFamily="18" charset="0"/>
                      </a:rPr>
                      <a:t>2</a:t>
                    </a:r>
                    <a:r>
                      <a:rPr lang="en-US" sz="1100" baseline="0">
                        <a:solidFill>
                          <a:schemeClr val="tx1"/>
                        </a:solidFill>
                        <a:latin typeface="Times New Roman" panose="02020603050405020304" pitchFamily="18" charset="0"/>
                        <a:cs typeface="Times New Roman" panose="02020603050405020304" pitchFamily="18" charset="0"/>
                      </a:rPr>
                      <a:t> = 0.863191147423464</a:t>
                    </a:r>
                    <a:r>
                      <a:rPr lang="en-US" sz="1100" b="0" i="0" u="none" strike="noStrike" baseline="0">
                        <a:effectLst/>
                      </a:rPr>
                      <a:t>(F</a:t>
                    </a:r>
                    <a:r>
                      <a:rPr lang="en-US" sz="1100" b="0" i="0" u="none" strike="noStrike" baseline="-25000">
                        <a:effectLst/>
                      </a:rPr>
                      <a:t>a</a:t>
                    </a:r>
                    <a:r>
                      <a:rPr lang="en-US" sz="1100" b="0" i="0" u="none" strike="noStrike" baseline="0">
                        <a:effectLst/>
                      </a:rPr>
                      <a:t>/C</a:t>
                    </a:r>
                    <a:r>
                      <a:rPr lang="en-US" sz="1100" b="0" i="0" u="none" strike="noStrike" baseline="-25000">
                        <a:effectLst/>
                      </a:rPr>
                      <a:t>0</a:t>
                    </a:r>
                    <a:r>
                      <a:rPr lang="en-US" sz="1100" b="0" i="0" u="none" strike="noStrike" baseline="0">
                        <a:effectLst/>
                      </a:rPr>
                      <a:t>)</a:t>
                    </a:r>
                    <a:r>
                      <a:rPr lang="en-US" sz="1100" baseline="30000">
                        <a:solidFill>
                          <a:schemeClr val="tx1"/>
                        </a:solidFill>
                        <a:latin typeface="Times New Roman" panose="02020603050405020304" pitchFamily="18" charset="0"/>
                        <a:cs typeface="Times New Roman" panose="02020603050405020304" pitchFamily="18" charset="0"/>
                      </a:rPr>
                      <a:t>-0.234866270653838</a:t>
                    </a:r>
                    <a:br>
                      <a:rPr lang="en-US" sz="1100" baseline="0">
                        <a:solidFill>
                          <a:schemeClr val="tx1"/>
                        </a:solidFill>
                        <a:latin typeface="Times New Roman" panose="02020603050405020304" pitchFamily="18" charset="0"/>
                        <a:cs typeface="Times New Roman" panose="02020603050405020304" pitchFamily="18" charset="0"/>
                      </a:rPr>
                    </a:br>
                    <a:r>
                      <a:rPr lang="en-US" sz="1100" baseline="0">
                        <a:solidFill>
                          <a:schemeClr val="tx1"/>
                        </a:solidFill>
                        <a:latin typeface="Times New Roman" panose="02020603050405020304" pitchFamily="18" charset="0"/>
                        <a:cs typeface="Times New Roman" panose="02020603050405020304" pitchFamily="18" charset="0"/>
                      </a:rPr>
                      <a:t>R² = 0.997528042253992</a:t>
                    </a:r>
                    <a:endParaRPr lang="en-US" sz="1100">
                      <a:solidFill>
                        <a:schemeClr val="tx1"/>
                      </a:solidFill>
                      <a:latin typeface="Times New Roman" panose="02020603050405020304" pitchFamily="18" charset="0"/>
                      <a:cs typeface="Times New Roman" panose="02020603050405020304" pitchFamily="18" charset="0"/>
                    </a:endParaRPr>
                  </a:p>
                </c:rich>
              </c:tx>
              <c:numFmt formatCode="#,##0.000000000000000" sourceLinked="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rendlineLbl>
          </c:trendline>
          <c:xVal>
            <c:numRef>
              <c:f>'L18 Comb. Lds Bearings Q25 C&amp;D'!$AK$7:$AK$18</c:f>
              <c:numCache>
                <c:formatCode>0.000</c:formatCode>
                <c:ptCount val="12"/>
                <c:pt idx="0">
                  <c:v>1.4E-2</c:v>
                </c:pt>
                <c:pt idx="1">
                  <c:v>2.1000000000000001E-2</c:v>
                </c:pt>
                <c:pt idx="2">
                  <c:v>2.8000000000000001E-2</c:v>
                </c:pt>
                <c:pt idx="3">
                  <c:v>4.2000000000000003E-2</c:v>
                </c:pt>
                <c:pt idx="4">
                  <c:v>5.6000000000000001E-2</c:v>
                </c:pt>
                <c:pt idx="5">
                  <c:v>7.0000000000000007E-2</c:v>
                </c:pt>
                <c:pt idx="6">
                  <c:v>8.4000000000000005E-2</c:v>
                </c:pt>
                <c:pt idx="7">
                  <c:v>0.11</c:v>
                </c:pt>
                <c:pt idx="8" formatCode="0.00">
                  <c:v>0.17</c:v>
                </c:pt>
                <c:pt idx="9" formatCode="0.00">
                  <c:v>0.28000000000000003</c:v>
                </c:pt>
                <c:pt idx="10" formatCode="0.00">
                  <c:v>0.42</c:v>
                </c:pt>
                <c:pt idx="11" formatCode="0.00">
                  <c:v>0.56000000000000005</c:v>
                </c:pt>
              </c:numCache>
            </c:numRef>
          </c:xVal>
          <c:yVal>
            <c:numRef>
              <c:f>'L18 Comb. Lds Bearings Q25 C&amp;D'!$AP$7:$AP$18</c:f>
              <c:numCache>
                <c:formatCode>0.00</c:formatCode>
                <c:ptCount val="12"/>
                <c:pt idx="0">
                  <c:v>2.2999999999999998</c:v>
                </c:pt>
                <c:pt idx="1">
                  <c:v>2.15</c:v>
                </c:pt>
                <c:pt idx="2">
                  <c:v>1.99</c:v>
                </c:pt>
                <c:pt idx="3">
                  <c:v>1.85</c:v>
                </c:pt>
                <c:pt idx="4">
                  <c:v>1.71</c:v>
                </c:pt>
                <c:pt idx="5">
                  <c:v>1.63</c:v>
                </c:pt>
                <c:pt idx="6">
                  <c:v>1.55</c:v>
                </c:pt>
                <c:pt idx="7">
                  <c:v>1.45</c:v>
                </c:pt>
                <c:pt idx="8">
                  <c:v>1.31</c:v>
                </c:pt>
                <c:pt idx="9">
                  <c:v>1.1499999999999999</c:v>
                </c:pt>
                <c:pt idx="10">
                  <c:v>1.04</c:v>
                </c:pt>
                <c:pt idx="11">
                  <c:v>1</c:v>
                </c:pt>
              </c:numCache>
            </c:numRef>
          </c:yVal>
          <c:smooth val="1"/>
          <c:extLst>
            <c:ext xmlns:c16="http://schemas.microsoft.com/office/drawing/2014/chart" uri="{C3380CC4-5D6E-409C-BE32-E72D297353CC}">
              <c16:uniqueId val="{00000001-D186-4FCB-8217-7D80123F1551}"/>
            </c:ext>
          </c:extLst>
        </c:ser>
        <c:dLbls>
          <c:showLegendKey val="0"/>
          <c:showVal val="0"/>
          <c:showCatName val="0"/>
          <c:showSerName val="0"/>
          <c:showPercent val="0"/>
          <c:showBubbleSize val="0"/>
        </c:dLbls>
        <c:axId val="533849231"/>
        <c:axId val="943931647"/>
      </c:scatterChart>
      <c:valAx>
        <c:axId val="53384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F</a:t>
                </a:r>
                <a:r>
                  <a:rPr lang="en-US" baseline="-25000"/>
                  <a:t>a</a:t>
                </a:r>
                <a:r>
                  <a:rPr lang="en-US"/>
                  <a:t>/C</a:t>
                </a:r>
                <a:r>
                  <a:rPr lang="en-US" baseline="-25000"/>
                  <a:t>0</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43931647"/>
        <c:crosses val="autoZero"/>
        <c:crossBetween val="midCat"/>
      </c:valAx>
      <c:valAx>
        <c:axId val="943931647"/>
        <c:scaling>
          <c:orientation val="minMax"/>
          <c:min val="0.9"/>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sz="1000" b="0" i="0" u="none" strike="noStrike" kern="1200" baseline="0">
                    <a:solidFill>
                      <a:schemeClr val="tx1"/>
                    </a:solidFill>
                    <a:latin typeface="Times New Roman" panose="02020603050405020304" pitchFamily="18" charset="0"/>
                    <a:cs typeface="Times New Roman" panose="02020603050405020304" pitchFamily="18" charset="0"/>
                  </a:rPr>
                  <a:t>y</a:t>
                </a:r>
                <a:r>
                  <a:rPr lang="en-US" sz="1000" b="0" i="0" u="none" strike="noStrike" kern="1200" baseline="-25000">
                    <a:solidFill>
                      <a:schemeClr val="tx1"/>
                    </a:solidFill>
                    <a:latin typeface="Times New Roman" panose="02020603050405020304" pitchFamily="18" charset="0"/>
                    <a:cs typeface="Times New Roman" panose="02020603050405020304" pitchFamily="18" charset="0"/>
                  </a:rPr>
                  <a:t>2</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33849231"/>
        <c:crossesAt val="-50"/>
        <c:crossBetween val="midCat"/>
      </c:valAx>
      <c:spPr>
        <a:noFill/>
        <a:ln>
          <a:solidFill>
            <a:schemeClr val="tx1"/>
          </a:solid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5.png"/><Relationship Id="rId7" Type="http://schemas.openxmlformats.org/officeDocument/2006/relationships/chart" Target="../charts/chart1.xml"/><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5.png"/><Relationship Id="rId7" Type="http://schemas.openxmlformats.org/officeDocument/2006/relationships/chart" Target="../charts/chart3.xml"/><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17</xdr:col>
      <xdr:colOff>571500</xdr:colOff>
      <xdr:row>15</xdr:row>
      <xdr:rowOff>123826</xdr:rowOff>
    </xdr:from>
    <xdr:to>
      <xdr:col>25</xdr:col>
      <xdr:colOff>343894</xdr:colOff>
      <xdr:row>30</xdr:row>
      <xdr:rowOff>104776</xdr:rowOff>
    </xdr:to>
    <xdr:pic>
      <xdr:nvPicPr>
        <xdr:cNvPr id="2" name="Picture 1">
          <a:extLst>
            <a:ext uri="{FF2B5EF4-FFF2-40B4-BE49-F238E27FC236}">
              <a16:creationId xmlns:a16="http://schemas.microsoft.com/office/drawing/2014/main" id="{CCFEE744-0553-4701-BE56-CCCC2B9D7AD3}"/>
            </a:ext>
          </a:extLst>
        </xdr:cNvPr>
        <xdr:cNvPicPr>
          <a:picLocks noChangeAspect="1"/>
        </xdr:cNvPicPr>
      </xdr:nvPicPr>
      <xdr:blipFill rotWithShape="1">
        <a:blip xmlns:r="http://schemas.openxmlformats.org/officeDocument/2006/relationships" r:embed="rId1"/>
        <a:srcRect b="56818"/>
        <a:stretch/>
      </xdr:blipFill>
      <xdr:spPr>
        <a:xfrm>
          <a:off x="16821150" y="2981326"/>
          <a:ext cx="7125694" cy="2838450"/>
        </a:xfrm>
        <a:prstGeom prst="rect">
          <a:avLst/>
        </a:prstGeom>
      </xdr:spPr>
    </xdr:pic>
    <xdr:clientData/>
  </xdr:twoCellAnchor>
  <xdr:twoCellAnchor editAs="oneCell">
    <xdr:from>
      <xdr:col>0</xdr:col>
      <xdr:colOff>523875</xdr:colOff>
      <xdr:row>53</xdr:row>
      <xdr:rowOff>171450</xdr:rowOff>
    </xdr:from>
    <xdr:to>
      <xdr:col>7</xdr:col>
      <xdr:colOff>1315444</xdr:colOff>
      <xdr:row>88</xdr:row>
      <xdr:rowOff>77117</xdr:rowOff>
    </xdr:to>
    <xdr:pic>
      <xdr:nvPicPr>
        <xdr:cNvPr id="3" name="Picture 2">
          <a:extLst>
            <a:ext uri="{FF2B5EF4-FFF2-40B4-BE49-F238E27FC236}">
              <a16:creationId xmlns:a16="http://schemas.microsoft.com/office/drawing/2014/main" id="{EEC0074B-DC0F-4FD9-AB7F-666F18AFA635}"/>
            </a:ext>
          </a:extLst>
        </xdr:cNvPr>
        <xdr:cNvPicPr>
          <a:picLocks noChangeAspect="1"/>
        </xdr:cNvPicPr>
      </xdr:nvPicPr>
      <xdr:blipFill>
        <a:blip xmlns:r="http://schemas.openxmlformats.org/officeDocument/2006/relationships" r:embed="rId1"/>
        <a:stretch>
          <a:fillRect/>
        </a:stretch>
      </xdr:blipFill>
      <xdr:spPr>
        <a:xfrm>
          <a:off x="523875" y="10267950"/>
          <a:ext cx="7125694" cy="6573167"/>
        </a:xfrm>
        <a:prstGeom prst="rect">
          <a:avLst/>
        </a:prstGeom>
      </xdr:spPr>
    </xdr:pic>
    <xdr:clientData/>
  </xdr:twoCellAnchor>
  <xdr:twoCellAnchor editAs="oneCell">
    <xdr:from>
      <xdr:col>11</xdr:col>
      <xdr:colOff>295275</xdr:colOff>
      <xdr:row>4</xdr:row>
      <xdr:rowOff>57149</xdr:rowOff>
    </xdr:from>
    <xdr:to>
      <xdr:col>13</xdr:col>
      <xdr:colOff>457199</xdr:colOff>
      <xdr:row>19</xdr:row>
      <xdr:rowOff>157232</xdr:rowOff>
    </xdr:to>
    <xdr:pic>
      <xdr:nvPicPr>
        <xdr:cNvPr id="4" name="Picture 3">
          <a:extLst>
            <a:ext uri="{FF2B5EF4-FFF2-40B4-BE49-F238E27FC236}">
              <a16:creationId xmlns:a16="http://schemas.microsoft.com/office/drawing/2014/main" id="{749DD1C9-B0F3-49D7-AF43-EC47B799F731}"/>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548"/>
        <a:stretch/>
      </xdr:blipFill>
      <xdr:spPr bwMode="auto">
        <a:xfrm>
          <a:off x="10553700" y="819149"/>
          <a:ext cx="2800349" cy="29575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17</xdr:col>
      <xdr:colOff>571500</xdr:colOff>
      <xdr:row>15</xdr:row>
      <xdr:rowOff>123826</xdr:rowOff>
    </xdr:from>
    <xdr:to>
      <xdr:col>25</xdr:col>
      <xdr:colOff>343894</xdr:colOff>
      <xdr:row>30</xdr:row>
      <xdr:rowOff>104776</xdr:rowOff>
    </xdr:to>
    <xdr:pic>
      <xdr:nvPicPr>
        <xdr:cNvPr id="2" name="Picture 1">
          <a:extLst>
            <a:ext uri="{FF2B5EF4-FFF2-40B4-BE49-F238E27FC236}">
              <a16:creationId xmlns:a16="http://schemas.microsoft.com/office/drawing/2014/main" id="{6ADF1459-6C8B-4603-8CD7-13FAE78475DE}"/>
            </a:ext>
          </a:extLst>
        </xdr:cNvPr>
        <xdr:cNvPicPr>
          <a:picLocks noChangeAspect="1"/>
        </xdr:cNvPicPr>
      </xdr:nvPicPr>
      <xdr:blipFill rotWithShape="1">
        <a:blip xmlns:r="http://schemas.openxmlformats.org/officeDocument/2006/relationships" r:embed="rId1"/>
        <a:srcRect b="56818"/>
        <a:stretch/>
      </xdr:blipFill>
      <xdr:spPr>
        <a:xfrm>
          <a:off x="10610850" y="2981326"/>
          <a:ext cx="7125694" cy="2838450"/>
        </a:xfrm>
        <a:prstGeom prst="rect">
          <a:avLst/>
        </a:prstGeom>
      </xdr:spPr>
    </xdr:pic>
    <xdr:clientData/>
  </xdr:twoCellAnchor>
  <xdr:twoCellAnchor editAs="oneCell">
    <xdr:from>
      <xdr:col>0</xdr:col>
      <xdr:colOff>552450</xdr:colOff>
      <xdr:row>51</xdr:row>
      <xdr:rowOff>161925</xdr:rowOff>
    </xdr:from>
    <xdr:to>
      <xdr:col>7</xdr:col>
      <xdr:colOff>1344019</xdr:colOff>
      <xdr:row>86</xdr:row>
      <xdr:rowOff>67592</xdr:rowOff>
    </xdr:to>
    <xdr:pic>
      <xdr:nvPicPr>
        <xdr:cNvPr id="3" name="Picture 2">
          <a:extLst>
            <a:ext uri="{FF2B5EF4-FFF2-40B4-BE49-F238E27FC236}">
              <a16:creationId xmlns:a16="http://schemas.microsoft.com/office/drawing/2014/main" id="{1DDB67FF-CA19-4DCE-80E9-9607AA698BAE}"/>
            </a:ext>
          </a:extLst>
        </xdr:cNvPr>
        <xdr:cNvPicPr>
          <a:picLocks noChangeAspect="1"/>
        </xdr:cNvPicPr>
      </xdr:nvPicPr>
      <xdr:blipFill>
        <a:blip xmlns:r="http://schemas.openxmlformats.org/officeDocument/2006/relationships" r:embed="rId1"/>
        <a:stretch>
          <a:fillRect/>
        </a:stretch>
      </xdr:blipFill>
      <xdr:spPr>
        <a:xfrm>
          <a:off x="552450" y="9877425"/>
          <a:ext cx="7125694" cy="6573167"/>
        </a:xfrm>
        <a:prstGeom prst="rect">
          <a:avLst/>
        </a:prstGeom>
      </xdr:spPr>
    </xdr:pic>
    <xdr:clientData/>
  </xdr:twoCellAnchor>
  <xdr:twoCellAnchor editAs="oneCell">
    <xdr:from>
      <xdr:col>11</xdr:col>
      <xdr:colOff>295275</xdr:colOff>
      <xdr:row>4</xdr:row>
      <xdr:rowOff>57149</xdr:rowOff>
    </xdr:from>
    <xdr:to>
      <xdr:col>13</xdr:col>
      <xdr:colOff>457199</xdr:colOff>
      <xdr:row>19</xdr:row>
      <xdr:rowOff>157232</xdr:rowOff>
    </xdr:to>
    <xdr:pic>
      <xdr:nvPicPr>
        <xdr:cNvPr id="6" name="Picture 5">
          <a:extLst>
            <a:ext uri="{FF2B5EF4-FFF2-40B4-BE49-F238E27FC236}">
              <a16:creationId xmlns:a16="http://schemas.microsoft.com/office/drawing/2014/main" id="{651405C9-A6CA-488D-A91E-C87CB0166E7A}"/>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548"/>
        <a:stretch/>
      </xdr:blipFill>
      <xdr:spPr bwMode="auto">
        <a:xfrm>
          <a:off x="10553700" y="819149"/>
          <a:ext cx="2800349" cy="29575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57149</xdr:colOff>
      <xdr:row>42</xdr:row>
      <xdr:rowOff>123825</xdr:rowOff>
    </xdr:from>
    <xdr:to>
      <xdr:col>4</xdr:col>
      <xdr:colOff>1267523</xdr:colOff>
      <xdr:row>55</xdr:row>
      <xdr:rowOff>328</xdr:rowOff>
    </xdr:to>
    <xdr:pic>
      <xdr:nvPicPr>
        <xdr:cNvPr id="2" name="Picture 1">
          <a:extLst>
            <a:ext uri="{FF2B5EF4-FFF2-40B4-BE49-F238E27FC236}">
              <a16:creationId xmlns:a16="http://schemas.microsoft.com/office/drawing/2014/main" id="{71595B63-88CE-4E84-86BB-378EA4FFF604}"/>
            </a:ext>
          </a:extLst>
        </xdr:cNvPr>
        <xdr:cNvPicPr>
          <a:picLocks noChangeAspect="1"/>
        </xdr:cNvPicPr>
      </xdr:nvPicPr>
      <xdr:blipFill>
        <a:blip xmlns:r="http://schemas.openxmlformats.org/officeDocument/2006/relationships" r:embed="rId1"/>
        <a:stretch>
          <a:fillRect/>
        </a:stretch>
      </xdr:blipFill>
      <xdr:spPr>
        <a:xfrm>
          <a:off x="666749" y="8124825"/>
          <a:ext cx="5010849" cy="2353003"/>
        </a:xfrm>
        <a:prstGeom prst="rect">
          <a:avLst/>
        </a:prstGeom>
      </xdr:spPr>
    </xdr:pic>
    <xdr:clientData/>
  </xdr:twoCellAnchor>
  <xdr:twoCellAnchor editAs="oneCell">
    <xdr:from>
      <xdr:col>0</xdr:col>
      <xdr:colOff>314324</xdr:colOff>
      <xdr:row>56</xdr:row>
      <xdr:rowOff>95250</xdr:rowOff>
    </xdr:from>
    <xdr:to>
      <xdr:col>5</xdr:col>
      <xdr:colOff>486662</xdr:colOff>
      <xdr:row>74</xdr:row>
      <xdr:rowOff>67150</xdr:rowOff>
    </xdr:to>
    <xdr:pic>
      <xdr:nvPicPr>
        <xdr:cNvPr id="3" name="Picture 2">
          <a:extLst>
            <a:ext uri="{FF2B5EF4-FFF2-40B4-BE49-F238E27FC236}">
              <a16:creationId xmlns:a16="http://schemas.microsoft.com/office/drawing/2014/main" id="{0CDD860F-3C13-4ED4-BA8C-320D0E60DEEB}"/>
            </a:ext>
          </a:extLst>
        </xdr:cNvPr>
        <xdr:cNvPicPr>
          <a:picLocks noChangeAspect="1"/>
        </xdr:cNvPicPr>
      </xdr:nvPicPr>
      <xdr:blipFill>
        <a:blip xmlns:r="http://schemas.openxmlformats.org/officeDocument/2006/relationships" r:embed="rId2"/>
        <a:stretch>
          <a:fillRect/>
        </a:stretch>
      </xdr:blipFill>
      <xdr:spPr>
        <a:xfrm>
          <a:off x="314324" y="10763250"/>
          <a:ext cx="6363588" cy="3400900"/>
        </a:xfrm>
        <a:prstGeom prst="rect">
          <a:avLst/>
        </a:prstGeom>
      </xdr:spPr>
    </xdr:pic>
    <xdr:clientData/>
  </xdr:twoCellAnchor>
  <xdr:twoCellAnchor editAs="oneCell">
    <xdr:from>
      <xdr:col>24</xdr:col>
      <xdr:colOff>380999</xdr:colOff>
      <xdr:row>82</xdr:row>
      <xdr:rowOff>85725</xdr:rowOff>
    </xdr:from>
    <xdr:to>
      <xdr:col>34</xdr:col>
      <xdr:colOff>184332</xdr:colOff>
      <xdr:row>111</xdr:row>
      <xdr:rowOff>115224</xdr:rowOff>
    </xdr:to>
    <xdr:pic>
      <xdr:nvPicPr>
        <xdr:cNvPr id="4" name="Picture 3">
          <a:extLst>
            <a:ext uri="{FF2B5EF4-FFF2-40B4-BE49-F238E27FC236}">
              <a16:creationId xmlns:a16="http://schemas.microsoft.com/office/drawing/2014/main" id="{7D108A69-5A82-4671-AF6F-DABE5EBD8142}"/>
            </a:ext>
          </a:extLst>
        </xdr:cNvPr>
        <xdr:cNvPicPr>
          <a:picLocks noChangeAspect="1"/>
        </xdr:cNvPicPr>
      </xdr:nvPicPr>
      <xdr:blipFill>
        <a:blip xmlns:r="http://schemas.openxmlformats.org/officeDocument/2006/relationships" r:embed="rId3"/>
        <a:stretch>
          <a:fillRect/>
        </a:stretch>
      </xdr:blipFill>
      <xdr:spPr>
        <a:xfrm>
          <a:off x="20745449" y="15706725"/>
          <a:ext cx="7328083" cy="5553999"/>
        </a:xfrm>
        <a:prstGeom prst="rect">
          <a:avLst/>
        </a:prstGeom>
      </xdr:spPr>
    </xdr:pic>
    <xdr:clientData/>
  </xdr:twoCellAnchor>
  <xdr:twoCellAnchor>
    <xdr:from>
      <xdr:col>18</xdr:col>
      <xdr:colOff>95250</xdr:colOff>
      <xdr:row>7</xdr:row>
      <xdr:rowOff>161925</xdr:rowOff>
    </xdr:from>
    <xdr:to>
      <xdr:col>24</xdr:col>
      <xdr:colOff>467366</xdr:colOff>
      <xdr:row>21</xdr:row>
      <xdr:rowOff>350</xdr:rowOff>
    </xdr:to>
    <xdr:grpSp>
      <xdr:nvGrpSpPr>
        <xdr:cNvPr id="5" name="Group 4">
          <a:extLst>
            <a:ext uri="{FF2B5EF4-FFF2-40B4-BE49-F238E27FC236}">
              <a16:creationId xmlns:a16="http://schemas.microsoft.com/office/drawing/2014/main" id="{141ECE97-619B-4135-82AE-53763C396E64}"/>
            </a:ext>
          </a:extLst>
        </xdr:cNvPr>
        <xdr:cNvGrpSpPr/>
      </xdr:nvGrpSpPr>
      <xdr:grpSpPr>
        <a:xfrm>
          <a:off x="18408650" y="1495425"/>
          <a:ext cx="5375916" cy="2505425"/>
          <a:chOff x="428626" y="4572000"/>
          <a:chExt cx="4782191" cy="2505425"/>
        </a:xfrm>
      </xdr:grpSpPr>
      <xdr:pic>
        <xdr:nvPicPr>
          <xdr:cNvPr id="6" name="Picture 5">
            <a:extLst>
              <a:ext uri="{FF2B5EF4-FFF2-40B4-BE49-F238E27FC236}">
                <a16:creationId xmlns:a16="http://schemas.microsoft.com/office/drawing/2014/main" id="{7FD6619C-BED0-40E1-7E81-C49E46BF85CE}"/>
              </a:ext>
            </a:extLst>
          </xdr:cNvPr>
          <xdr:cNvPicPr>
            <a:picLocks noChangeAspect="1"/>
          </xdr:cNvPicPr>
        </xdr:nvPicPr>
        <xdr:blipFill>
          <a:blip xmlns:r="http://schemas.openxmlformats.org/officeDocument/2006/relationships" r:embed="rId4"/>
          <a:stretch>
            <a:fillRect/>
          </a:stretch>
        </xdr:blipFill>
        <xdr:spPr>
          <a:xfrm>
            <a:off x="609600" y="4572000"/>
            <a:ext cx="4601217" cy="2505425"/>
          </a:xfrm>
          <a:prstGeom prst="rect">
            <a:avLst/>
          </a:prstGeom>
        </xdr:spPr>
      </xdr:pic>
      <xdr:sp macro="" textlink="">
        <xdr:nvSpPr>
          <xdr:cNvPr id="7" name="TextBox 6">
            <a:extLst>
              <a:ext uri="{FF2B5EF4-FFF2-40B4-BE49-F238E27FC236}">
                <a16:creationId xmlns:a16="http://schemas.microsoft.com/office/drawing/2014/main" id="{98FCFF1B-F5F4-34BE-0B2C-93F0ABEF63A7}"/>
              </a:ext>
            </a:extLst>
          </xdr:cNvPr>
          <xdr:cNvSpPr txBox="1"/>
        </xdr:nvSpPr>
        <xdr:spPr>
          <a:xfrm>
            <a:off x="428626" y="6172200"/>
            <a:ext cx="15525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t>TIMKEN</a:t>
            </a:r>
          </a:p>
        </xdr:txBody>
      </xdr:sp>
      <xdr:sp macro="" textlink="">
        <xdr:nvSpPr>
          <xdr:cNvPr id="8" name="TextBox 7">
            <a:extLst>
              <a:ext uri="{FF2B5EF4-FFF2-40B4-BE49-F238E27FC236}">
                <a16:creationId xmlns:a16="http://schemas.microsoft.com/office/drawing/2014/main" id="{7CE0B7C9-7DFF-8F13-B344-E7F8844632B1}"/>
              </a:ext>
            </a:extLst>
          </xdr:cNvPr>
          <xdr:cNvSpPr txBox="1"/>
        </xdr:nvSpPr>
        <xdr:spPr>
          <a:xfrm>
            <a:off x="438150" y="6457950"/>
            <a:ext cx="15525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t>SKF</a:t>
            </a:r>
          </a:p>
        </xdr:txBody>
      </xdr:sp>
    </xdr:grpSp>
    <xdr:clientData/>
  </xdr:twoCellAnchor>
  <xdr:twoCellAnchor editAs="oneCell">
    <xdr:from>
      <xdr:col>25</xdr:col>
      <xdr:colOff>152401</xdr:colOff>
      <xdr:row>27</xdr:row>
      <xdr:rowOff>104775</xdr:rowOff>
    </xdr:from>
    <xdr:to>
      <xdr:col>34</xdr:col>
      <xdr:colOff>474054</xdr:colOff>
      <xdr:row>56</xdr:row>
      <xdr:rowOff>114300</xdr:rowOff>
    </xdr:to>
    <xdr:pic>
      <xdr:nvPicPr>
        <xdr:cNvPr id="9" name="Picture 8">
          <a:extLst>
            <a:ext uri="{FF2B5EF4-FFF2-40B4-BE49-F238E27FC236}">
              <a16:creationId xmlns:a16="http://schemas.microsoft.com/office/drawing/2014/main" id="{E7BF8131-3935-4EC0-BEC3-DC50A517AA59}"/>
            </a:ext>
          </a:extLst>
        </xdr:cNvPr>
        <xdr:cNvPicPr>
          <a:picLocks noChangeAspect="1"/>
        </xdr:cNvPicPr>
      </xdr:nvPicPr>
      <xdr:blipFill>
        <a:blip xmlns:r="http://schemas.openxmlformats.org/officeDocument/2006/relationships" r:embed="rId5"/>
        <a:stretch>
          <a:fillRect/>
        </a:stretch>
      </xdr:blipFill>
      <xdr:spPr>
        <a:xfrm>
          <a:off x="21126451" y="5248275"/>
          <a:ext cx="7236803" cy="5534025"/>
        </a:xfrm>
        <a:prstGeom prst="rect">
          <a:avLst/>
        </a:prstGeom>
      </xdr:spPr>
    </xdr:pic>
    <xdr:clientData/>
  </xdr:twoCellAnchor>
  <xdr:twoCellAnchor editAs="oneCell">
    <xdr:from>
      <xdr:col>35</xdr:col>
      <xdr:colOff>670392</xdr:colOff>
      <xdr:row>19</xdr:row>
      <xdr:rowOff>57149</xdr:rowOff>
    </xdr:from>
    <xdr:to>
      <xdr:col>42</xdr:col>
      <xdr:colOff>848517</xdr:colOff>
      <xdr:row>38</xdr:row>
      <xdr:rowOff>114904</xdr:rowOff>
    </xdr:to>
    <xdr:pic>
      <xdr:nvPicPr>
        <xdr:cNvPr id="10" name="Picture 9">
          <a:extLst>
            <a:ext uri="{FF2B5EF4-FFF2-40B4-BE49-F238E27FC236}">
              <a16:creationId xmlns:a16="http://schemas.microsoft.com/office/drawing/2014/main" id="{A3BDE985-B32A-4127-BE1B-839107DB774C}"/>
            </a:ext>
          </a:extLst>
        </xdr:cNvPr>
        <xdr:cNvPicPr>
          <a:picLocks noChangeAspect="1"/>
        </xdr:cNvPicPr>
      </xdr:nvPicPr>
      <xdr:blipFill>
        <a:blip xmlns:r="http://schemas.openxmlformats.org/officeDocument/2006/relationships" r:embed="rId6"/>
        <a:stretch>
          <a:fillRect/>
        </a:stretch>
      </xdr:blipFill>
      <xdr:spPr>
        <a:xfrm>
          <a:off x="29169192" y="3676649"/>
          <a:ext cx="4816800" cy="3677255"/>
        </a:xfrm>
        <a:prstGeom prst="rect">
          <a:avLst/>
        </a:prstGeom>
      </xdr:spPr>
    </xdr:pic>
    <xdr:clientData/>
  </xdr:twoCellAnchor>
  <xdr:twoCellAnchor>
    <xdr:from>
      <xdr:col>35</xdr:col>
      <xdr:colOff>342900</xdr:colOff>
      <xdr:row>40</xdr:row>
      <xdr:rowOff>4762</xdr:rowOff>
    </xdr:from>
    <xdr:to>
      <xdr:col>43</xdr:col>
      <xdr:colOff>209550</xdr:colOff>
      <xdr:row>56</xdr:row>
      <xdr:rowOff>157162</xdr:rowOff>
    </xdr:to>
    <xdr:graphicFrame macro="">
      <xdr:nvGraphicFramePr>
        <xdr:cNvPr id="11" name="Chart 10">
          <a:extLst>
            <a:ext uri="{FF2B5EF4-FFF2-40B4-BE49-F238E27FC236}">
              <a16:creationId xmlns:a16="http://schemas.microsoft.com/office/drawing/2014/main" id="{416954FC-AAA5-46E9-997D-66E80027BE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35</xdr:col>
      <xdr:colOff>419100</xdr:colOff>
      <xdr:row>57</xdr:row>
      <xdr:rowOff>66675</xdr:rowOff>
    </xdr:from>
    <xdr:to>
      <xdr:col>43</xdr:col>
      <xdr:colOff>285750</xdr:colOff>
      <xdr:row>74</xdr:row>
      <xdr:rowOff>28575</xdr:rowOff>
    </xdr:to>
    <xdr:graphicFrame macro="">
      <xdr:nvGraphicFramePr>
        <xdr:cNvPr id="12" name="Chart 11">
          <a:extLst>
            <a:ext uri="{FF2B5EF4-FFF2-40B4-BE49-F238E27FC236}">
              <a16:creationId xmlns:a16="http://schemas.microsoft.com/office/drawing/2014/main" id="{67041EC3-DB6A-4CD4-B991-041A814C67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57149</xdr:colOff>
      <xdr:row>42</xdr:row>
      <xdr:rowOff>123825</xdr:rowOff>
    </xdr:from>
    <xdr:to>
      <xdr:col>4</xdr:col>
      <xdr:colOff>1267523</xdr:colOff>
      <xdr:row>55</xdr:row>
      <xdr:rowOff>328</xdr:rowOff>
    </xdr:to>
    <xdr:pic>
      <xdr:nvPicPr>
        <xdr:cNvPr id="2" name="Picture 1">
          <a:extLst>
            <a:ext uri="{FF2B5EF4-FFF2-40B4-BE49-F238E27FC236}">
              <a16:creationId xmlns:a16="http://schemas.microsoft.com/office/drawing/2014/main" id="{CC85E10C-75E4-4D8D-907F-71919081849B}"/>
            </a:ext>
          </a:extLst>
        </xdr:cNvPr>
        <xdr:cNvPicPr>
          <a:picLocks noChangeAspect="1"/>
        </xdr:cNvPicPr>
      </xdr:nvPicPr>
      <xdr:blipFill>
        <a:blip xmlns:r="http://schemas.openxmlformats.org/officeDocument/2006/relationships" r:embed="rId1"/>
        <a:stretch>
          <a:fillRect/>
        </a:stretch>
      </xdr:blipFill>
      <xdr:spPr>
        <a:xfrm>
          <a:off x="666749" y="8124825"/>
          <a:ext cx="5010849" cy="2353003"/>
        </a:xfrm>
        <a:prstGeom prst="rect">
          <a:avLst/>
        </a:prstGeom>
      </xdr:spPr>
    </xdr:pic>
    <xdr:clientData/>
  </xdr:twoCellAnchor>
  <xdr:twoCellAnchor editAs="oneCell">
    <xdr:from>
      <xdr:col>0</xdr:col>
      <xdr:colOff>314324</xdr:colOff>
      <xdr:row>56</xdr:row>
      <xdr:rowOff>95250</xdr:rowOff>
    </xdr:from>
    <xdr:to>
      <xdr:col>5</xdr:col>
      <xdr:colOff>486662</xdr:colOff>
      <xdr:row>74</xdr:row>
      <xdr:rowOff>67150</xdr:rowOff>
    </xdr:to>
    <xdr:pic>
      <xdr:nvPicPr>
        <xdr:cNvPr id="3" name="Picture 2">
          <a:extLst>
            <a:ext uri="{FF2B5EF4-FFF2-40B4-BE49-F238E27FC236}">
              <a16:creationId xmlns:a16="http://schemas.microsoft.com/office/drawing/2014/main" id="{DF1ADF95-F792-4C12-922F-ABA143011646}"/>
            </a:ext>
          </a:extLst>
        </xdr:cNvPr>
        <xdr:cNvPicPr>
          <a:picLocks noChangeAspect="1"/>
        </xdr:cNvPicPr>
      </xdr:nvPicPr>
      <xdr:blipFill>
        <a:blip xmlns:r="http://schemas.openxmlformats.org/officeDocument/2006/relationships" r:embed="rId2"/>
        <a:stretch>
          <a:fillRect/>
        </a:stretch>
      </xdr:blipFill>
      <xdr:spPr>
        <a:xfrm>
          <a:off x="314324" y="10763250"/>
          <a:ext cx="6363588" cy="3400900"/>
        </a:xfrm>
        <a:prstGeom prst="rect">
          <a:avLst/>
        </a:prstGeom>
      </xdr:spPr>
    </xdr:pic>
    <xdr:clientData/>
  </xdr:twoCellAnchor>
  <xdr:twoCellAnchor editAs="oneCell">
    <xdr:from>
      <xdr:col>24</xdr:col>
      <xdr:colOff>380999</xdr:colOff>
      <xdr:row>82</xdr:row>
      <xdr:rowOff>85725</xdr:rowOff>
    </xdr:from>
    <xdr:to>
      <xdr:col>34</xdr:col>
      <xdr:colOff>184332</xdr:colOff>
      <xdr:row>111</xdr:row>
      <xdr:rowOff>115224</xdr:rowOff>
    </xdr:to>
    <xdr:pic>
      <xdr:nvPicPr>
        <xdr:cNvPr id="4" name="Picture 3">
          <a:extLst>
            <a:ext uri="{FF2B5EF4-FFF2-40B4-BE49-F238E27FC236}">
              <a16:creationId xmlns:a16="http://schemas.microsoft.com/office/drawing/2014/main" id="{BAF40144-ED43-4611-A815-99C2CAD186A3}"/>
            </a:ext>
          </a:extLst>
        </xdr:cNvPr>
        <xdr:cNvPicPr>
          <a:picLocks noChangeAspect="1"/>
        </xdr:cNvPicPr>
      </xdr:nvPicPr>
      <xdr:blipFill>
        <a:blip xmlns:r="http://schemas.openxmlformats.org/officeDocument/2006/relationships" r:embed="rId3"/>
        <a:stretch>
          <a:fillRect/>
        </a:stretch>
      </xdr:blipFill>
      <xdr:spPr>
        <a:xfrm>
          <a:off x="20935949" y="15706725"/>
          <a:ext cx="7328083" cy="5553999"/>
        </a:xfrm>
        <a:prstGeom prst="rect">
          <a:avLst/>
        </a:prstGeom>
      </xdr:spPr>
    </xdr:pic>
    <xdr:clientData/>
  </xdr:twoCellAnchor>
  <xdr:twoCellAnchor>
    <xdr:from>
      <xdr:col>18</xdr:col>
      <xdr:colOff>95250</xdr:colOff>
      <xdr:row>7</xdr:row>
      <xdr:rowOff>161925</xdr:rowOff>
    </xdr:from>
    <xdr:to>
      <xdr:col>24</xdr:col>
      <xdr:colOff>467366</xdr:colOff>
      <xdr:row>21</xdr:row>
      <xdr:rowOff>350</xdr:rowOff>
    </xdr:to>
    <xdr:grpSp>
      <xdr:nvGrpSpPr>
        <xdr:cNvPr id="5" name="Group 4">
          <a:extLst>
            <a:ext uri="{FF2B5EF4-FFF2-40B4-BE49-F238E27FC236}">
              <a16:creationId xmlns:a16="http://schemas.microsoft.com/office/drawing/2014/main" id="{1982A52B-209D-4CBB-86F4-5EEFB82D36B1}"/>
            </a:ext>
          </a:extLst>
        </xdr:cNvPr>
        <xdr:cNvGrpSpPr/>
      </xdr:nvGrpSpPr>
      <xdr:grpSpPr>
        <a:xfrm>
          <a:off x="18408650" y="1495425"/>
          <a:ext cx="5375916" cy="2505425"/>
          <a:chOff x="428626" y="4572000"/>
          <a:chExt cx="4782191" cy="2505425"/>
        </a:xfrm>
      </xdr:grpSpPr>
      <xdr:pic>
        <xdr:nvPicPr>
          <xdr:cNvPr id="6" name="Picture 5">
            <a:extLst>
              <a:ext uri="{FF2B5EF4-FFF2-40B4-BE49-F238E27FC236}">
                <a16:creationId xmlns:a16="http://schemas.microsoft.com/office/drawing/2014/main" id="{32C93BC8-31F7-D9FA-B940-64A7B299CE3B}"/>
              </a:ext>
            </a:extLst>
          </xdr:cNvPr>
          <xdr:cNvPicPr>
            <a:picLocks noChangeAspect="1"/>
          </xdr:cNvPicPr>
        </xdr:nvPicPr>
        <xdr:blipFill>
          <a:blip xmlns:r="http://schemas.openxmlformats.org/officeDocument/2006/relationships" r:embed="rId4"/>
          <a:stretch>
            <a:fillRect/>
          </a:stretch>
        </xdr:blipFill>
        <xdr:spPr>
          <a:xfrm>
            <a:off x="609600" y="4572000"/>
            <a:ext cx="4601217" cy="2505425"/>
          </a:xfrm>
          <a:prstGeom prst="rect">
            <a:avLst/>
          </a:prstGeom>
        </xdr:spPr>
      </xdr:pic>
      <xdr:sp macro="" textlink="">
        <xdr:nvSpPr>
          <xdr:cNvPr id="7" name="TextBox 6">
            <a:extLst>
              <a:ext uri="{FF2B5EF4-FFF2-40B4-BE49-F238E27FC236}">
                <a16:creationId xmlns:a16="http://schemas.microsoft.com/office/drawing/2014/main" id="{6B60E43B-0CD6-7466-BF08-D3C4F65B6DA1}"/>
              </a:ext>
            </a:extLst>
          </xdr:cNvPr>
          <xdr:cNvSpPr txBox="1"/>
        </xdr:nvSpPr>
        <xdr:spPr>
          <a:xfrm>
            <a:off x="428626" y="6172200"/>
            <a:ext cx="15525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t>TIMKEN</a:t>
            </a:r>
          </a:p>
        </xdr:txBody>
      </xdr:sp>
      <xdr:sp macro="" textlink="">
        <xdr:nvSpPr>
          <xdr:cNvPr id="8" name="TextBox 7">
            <a:extLst>
              <a:ext uri="{FF2B5EF4-FFF2-40B4-BE49-F238E27FC236}">
                <a16:creationId xmlns:a16="http://schemas.microsoft.com/office/drawing/2014/main" id="{C3E11477-F1B7-1BF4-9A28-04273513B620}"/>
              </a:ext>
            </a:extLst>
          </xdr:cNvPr>
          <xdr:cNvSpPr txBox="1"/>
        </xdr:nvSpPr>
        <xdr:spPr>
          <a:xfrm>
            <a:off x="438150" y="6457950"/>
            <a:ext cx="15525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t>SKF</a:t>
            </a:r>
          </a:p>
        </xdr:txBody>
      </xdr:sp>
    </xdr:grpSp>
    <xdr:clientData/>
  </xdr:twoCellAnchor>
  <xdr:twoCellAnchor editAs="oneCell">
    <xdr:from>
      <xdr:col>25</xdr:col>
      <xdr:colOff>152401</xdr:colOff>
      <xdr:row>27</xdr:row>
      <xdr:rowOff>104775</xdr:rowOff>
    </xdr:from>
    <xdr:to>
      <xdr:col>34</xdr:col>
      <xdr:colOff>474054</xdr:colOff>
      <xdr:row>56</xdr:row>
      <xdr:rowOff>114300</xdr:rowOff>
    </xdr:to>
    <xdr:pic>
      <xdr:nvPicPr>
        <xdr:cNvPr id="9" name="Picture 8">
          <a:extLst>
            <a:ext uri="{FF2B5EF4-FFF2-40B4-BE49-F238E27FC236}">
              <a16:creationId xmlns:a16="http://schemas.microsoft.com/office/drawing/2014/main" id="{6ED95D66-4142-4172-9B8A-20CC62C6A7B9}"/>
            </a:ext>
          </a:extLst>
        </xdr:cNvPr>
        <xdr:cNvPicPr>
          <a:picLocks noChangeAspect="1"/>
        </xdr:cNvPicPr>
      </xdr:nvPicPr>
      <xdr:blipFill>
        <a:blip xmlns:r="http://schemas.openxmlformats.org/officeDocument/2006/relationships" r:embed="rId5"/>
        <a:stretch>
          <a:fillRect/>
        </a:stretch>
      </xdr:blipFill>
      <xdr:spPr>
        <a:xfrm>
          <a:off x="21316951" y="5248275"/>
          <a:ext cx="7236803" cy="5534025"/>
        </a:xfrm>
        <a:prstGeom prst="rect">
          <a:avLst/>
        </a:prstGeom>
      </xdr:spPr>
    </xdr:pic>
    <xdr:clientData/>
  </xdr:twoCellAnchor>
  <xdr:twoCellAnchor editAs="oneCell">
    <xdr:from>
      <xdr:col>35</xdr:col>
      <xdr:colOff>670392</xdr:colOff>
      <xdr:row>19</xdr:row>
      <xdr:rowOff>57149</xdr:rowOff>
    </xdr:from>
    <xdr:to>
      <xdr:col>42</xdr:col>
      <xdr:colOff>848517</xdr:colOff>
      <xdr:row>38</xdr:row>
      <xdr:rowOff>114904</xdr:rowOff>
    </xdr:to>
    <xdr:pic>
      <xdr:nvPicPr>
        <xdr:cNvPr id="10" name="Picture 9">
          <a:extLst>
            <a:ext uri="{FF2B5EF4-FFF2-40B4-BE49-F238E27FC236}">
              <a16:creationId xmlns:a16="http://schemas.microsoft.com/office/drawing/2014/main" id="{DF69D95D-0B26-4253-826B-7702AB9EAAC7}"/>
            </a:ext>
          </a:extLst>
        </xdr:cNvPr>
        <xdr:cNvPicPr>
          <a:picLocks noChangeAspect="1"/>
        </xdr:cNvPicPr>
      </xdr:nvPicPr>
      <xdr:blipFill>
        <a:blip xmlns:r="http://schemas.openxmlformats.org/officeDocument/2006/relationships" r:embed="rId6"/>
        <a:stretch>
          <a:fillRect/>
        </a:stretch>
      </xdr:blipFill>
      <xdr:spPr>
        <a:xfrm>
          <a:off x="29359692" y="3676649"/>
          <a:ext cx="4816800" cy="3677255"/>
        </a:xfrm>
        <a:prstGeom prst="rect">
          <a:avLst/>
        </a:prstGeom>
      </xdr:spPr>
    </xdr:pic>
    <xdr:clientData/>
  </xdr:twoCellAnchor>
  <xdr:twoCellAnchor>
    <xdr:from>
      <xdr:col>35</xdr:col>
      <xdr:colOff>342900</xdr:colOff>
      <xdr:row>40</xdr:row>
      <xdr:rowOff>4762</xdr:rowOff>
    </xdr:from>
    <xdr:to>
      <xdr:col>43</xdr:col>
      <xdr:colOff>209550</xdr:colOff>
      <xdr:row>56</xdr:row>
      <xdr:rowOff>157162</xdr:rowOff>
    </xdr:to>
    <xdr:graphicFrame macro="">
      <xdr:nvGraphicFramePr>
        <xdr:cNvPr id="11" name="Chart 10">
          <a:extLst>
            <a:ext uri="{FF2B5EF4-FFF2-40B4-BE49-F238E27FC236}">
              <a16:creationId xmlns:a16="http://schemas.microsoft.com/office/drawing/2014/main" id="{30CEC730-1796-408A-9981-0D06F50E91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35</xdr:col>
      <xdr:colOff>419100</xdr:colOff>
      <xdr:row>57</xdr:row>
      <xdr:rowOff>66675</xdr:rowOff>
    </xdr:from>
    <xdr:to>
      <xdr:col>43</xdr:col>
      <xdr:colOff>285750</xdr:colOff>
      <xdr:row>74</xdr:row>
      <xdr:rowOff>28575</xdr:rowOff>
    </xdr:to>
    <xdr:graphicFrame macro="">
      <xdr:nvGraphicFramePr>
        <xdr:cNvPr id="12" name="Chart 11">
          <a:extLst>
            <a:ext uri="{FF2B5EF4-FFF2-40B4-BE49-F238E27FC236}">
              <a16:creationId xmlns:a16="http://schemas.microsoft.com/office/drawing/2014/main" id="{4A2E160F-6885-45D4-B7E5-5B493AB0C8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36345-8D46-4CE6-923C-54040DA5DB9F}">
  <sheetPr>
    <tabColor rgb="FFC00000"/>
  </sheetPr>
  <dimension ref="B1:CI202"/>
  <sheetViews>
    <sheetView tabSelected="1" zoomScaleNormal="100" workbookViewId="0">
      <selection activeCell="C20" sqref="C20"/>
    </sheetView>
  </sheetViews>
  <sheetFormatPr baseColWidth="10" defaultColWidth="8.83203125" defaultRowHeight="15" customHeight="1" x14ac:dyDescent="0.2"/>
  <cols>
    <col min="2" max="2" width="30.5" style="1" customWidth="1"/>
    <col min="3" max="3" width="13" style="1" customWidth="1"/>
    <col min="4" max="4" width="10.1640625" style="1" customWidth="1"/>
    <col min="5" max="5" width="9.6640625" bestFit="1" customWidth="1"/>
    <col min="7" max="7" width="13.33203125" customWidth="1"/>
    <col min="8" max="8" width="26.5" style="1" bestFit="1" customWidth="1"/>
    <col min="9" max="9" width="13" style="1" customWidth="1"/>
    <col min="10" max="10" width="10.1640625" style="1" customWidth="1"/>
    <col min="12" max="12" width="26.5" style="1" bestFit="1" customWidth="1"/>
    <col min="13" max="13" width="13" style="1" customWidth="1"/>
    <col min="14" max="14" width="10.1640625" style="1" customWidth="1"/>
    <col min="15" max="15" width="21.83203125" bestFit="1" customWidth="1"/>
    <col min="16" max="16" width="9.1640625" customWidth="1"/>
    <col min="19" max="19" width="13.5" bestFit="1" customWidth="1"/>
    <col min="20" max="20" width="23.33203125" bestFit="1" customWidth="1"/>
    <col min="21" max="21" width="15.5" bestFit="1" customWidth="1"/>
    <col min="22" max="22" width="16" bestFit="1" customWidth="1"/>
    <col min="23" max="23" width="14.5" bestFit="1" customWidth="1"/>
    <col min="30" max="34" width="9.1640625" customWidth="1"/>
  </cols>
  <sheetData>
    <row r="1" spans="2:87" ht="15" customHeight="1" thickBot="1" x14ac:dyDescent="0.25">
      <c r="X1" s="18"/>
      <c r="AE1" s="18"/>
      <c r="AL1" s="18"/>
      <c r="AS1" s="18"/>
      <c r="AZ1" s="18"/>
      <c r="BG1" s="18"/>
      <c r="BN1" s="18"/>
      <c r="BU1" s="18"/>
      <c r="CB1" s="18"/>
      <c r="CI1" s="18"/>
    </row>
    <row r="2" spans="2:87" ht="15" customHeight="1" x14ac:dyDescent="0.2">
      <c r="C2"/>
      <c r="D2"/>
      <c r="H2"/>
      <c r="I2"/>
      <c r="J2"/>
      <c r="L2"/>
      <c r="M2"/>
      <c r="N2"/>
      <c r="S2" s="29" t="s">
        <v>16</v>
      </c>
      <c r="T2" s="30"/>
      <c r="U2" s="30"/>
      <c r="V2" s="31"/>
      <c r="X2" s="18"/>
      <c r="AE2" s="18"/>
      <c r="AL2" s="18"/>
      <c r="AS2" s="18"/>
      <c r="AZ2" s="18"/>
      <c r="BG2" s="18"/>
      <c r="BN2" s="18"/>
      <c r="BU2" s="18"/>
      <c r="CB2" s="18"/>
      <c r="CI2" s="18"/>
    </row>
    <row r="3" spans="2:87" ht="15" customHeight="1" x14ac:dyDescent="0.2">
      <c r="B3" s="2" t="s">
        <v>0</v>
      </c>
      <c r="C3" s="3" t="s">
        <v>1</v>
      </c>
      <c r="D3" s="4" t="s">
        <v>3</v>
      </c>
      <c r="E3" s="14"/>
      <c r="F3" s="14"/>
      <c r="H3" s="5" t="s">
        <v>4</v>
      </c>
      <c r="I3" s="5"/>
      <c r="J3" s="5"/>
      <c r="K3" s="5"/>
      <c r="L3" s="5"/>
      <c r="M3" s="5"/>
      <c r="N3" s="5"/>
      <c r="S3" s="22" t="s">
        <v>9</v>
      </c>
      <c r="T3" s="23" t="s">
        <v>10</v>
      </c>
      <c r="U3" s="23" t="str">
        <f>IF($D$3="English","Addendum (a)/P", "Addendum (a)*m")</f>
        <v>Addendum (a)/P</v>
      </c>
      <c r="V3" s="24" t="str">
        <f>IF($D$3="English","Dedendum (b)/P", "Dedendum (b)*m")</f>
        <v>Dedendum (b)/P</v>
      </c>
      <c r="W3" t="s">
        <v>24</v>
      </c>
      <c r="X3" s="18"/>
      <c r="AE3" s="18"/>
      <c r="AL3" s="18"/>
      <c r="AS3" s="18"/>
      <c r="AZ3" s="18"/>
      <c r="BG3" s="18"/>
      <c r="BN3" s="18"/>
      <c r="BU3" s="18"/>
      <c r="CB3" s="18"/>
      <c r="CI3" s="18"/>
    </row>
    <row r="4" spans="2:87" ht="15" customHeight="1" x14ac:dyDescent="0.2">
      <c r="S4" s="25" t="s">
        <v>11</v>
      </c>
      <c r="T4" s="26">
        <v>20</v>
      </c>
      <c r="U4" s="26">
        <v>1</v>
      </c>
      <c r="V4" s="32">
        <v>1.25</v>
      </c>
      <c r="W4" t="s">
        <v>12</v>
      </c>
      <c r="X4" s="18"/>
      <c r="AE4" s="18"/>
      <c r="AL4" s="18"/>
      <c r="AS4" s="18"/>
      <c r="AZ4" s="18"/>
      <c r="BG4" s="18"/>
      <c r="BN4" s="18"/>
      <c r="BU4" s="18"/>
      <c r="CB4" s="18"/>
      <c r="CI4" s="18"/>
    </row>
    <row r="5" spans="2:87" ht="15" customHeight="1" x14ac:dyDescent="0.2">
      <c r="B5" s="6" t="s">
        <v>27</v>
      </c>
      <c r="C5" s="6"/>
      <c r="D5" s="6"/>
      <c r="H5" s="8" t="s">
        <v>34</v>
      </c>
      <c r="I5" s="8"/>
      <c r="J5" s="8"/>
      <c r="S5" s="25" t="s">
        <v>11</v>
      </c>
      <c r="T5" s="26">
        <v>22.5</v>
      </c>
      <c r="U5" s="26">
        <v>1</v>
      </c>
      <c r="V5" s="32">
        <v>1.25</v>
      </c>
      <c r="W5" t="s">
        <v>12</v>
      </c>
      <c r="X5" s="18"/>
      <c r="AE5" s="18"/>
      <c r="AL5" s="18"/>
      <c r="AS5" s="18"/>
      <c r="AZ5" s="18"/>
      <c r="BG5" s="18"/>
      <c r="BN5" s="18"/>
      <c r="BU5" s="18"/>
      <c r="CB5" s="18"/>
      <c r="CI5" s="18"/>
    </row>
    <row r="6" spans="2:87" ht="15" customHeight="1" x14ac:dyDescent="0.2">
      <c r="B6" s="10" t="s">
        <v>9</v>
      </c>
      <c r="C6" s="10" t="s">
        <v>11</v>
      </c>
      <c r="D6" s="10"/>
      <c r="H6" s="11" t="s">
        <v>20</v>
      </c>
      <c r="I6" s="41">
        <f>C24/C35</f>
        <v>2.5</v>
      </c>
      <c r="J6" s="16" t="s">
        <v>21</v>
      </c>
      <c r="S6" s="25" t="s">
        <v>11</v>
      </c>
      <c r="T6" s="26">
        <v>25</v>
      </c>
      <c r="U6" s="26">
        <v>1</v>
      </c>
      <c r="V6" s="32">
        <v>1.25</v>
      </c>
      <c r="W6" t="s">
        <v>12</v>
      </c>
      <c r="X6" s="18"/>
      <c r="AE6" s="18"/>
      <c r="AL6" s="18"/>
      <c r="AS6" s="18"/>
      <c r="AZ6" s="18"/>
      <c r="BG6" s="18"/>
      <c r="BN6" s="18"/>
      <c r="BU6" s="18"/>
      <c r="CB6" s="18"/>
      <c r="CI6" s="18"/>
    </row>
    <row r="7" spans="2:87" ht="15" customHeight="1" thickBot="1" x14ac:dyDescent="0.25">
      <c r="B7" s="10" t="s">
        <v>14</v>
      </c>
      <c r="C7" s="10">
        <v>20</v>
      </c>
      <c r="D7" s="10" t="s">
        <v>15</v>
      </c>
      <c r="H7" s="11" t="s">
        <v>19</v>
      </c>
      <c r="I7" s="11">
        <f>I26/2 + I37/2</f>
        <v>6.3</v>
      </c>
      <c r="J7" s="11" t="str">
        <f>IF($D$3="English","in", "mm")</f>
        <v>in</v>
      </c>
      <c r="S7" s="27" t="s">
        <v>13</v>
      </c>
      <c r="T7" s="28">
        <v>20</v>
      </c>
      <c r="U7" s="28">
        <v>0.8</v>
      </c>
      <c r="V7" s="33">
        <v>1</v>
      </c>
      <c r="X7" s="18"/>
      <c r="AE7" s="18"/>
      <c r="AL7" s="18"/>
      <c r="AS7" s="18"/>
      <c r="AZ7" s="18"/>
      <c r="BG7" s="18"/>
      <c r="BN7" s="18"/>
      <c r="BU7" s="18"/>
      <c r="CB7" s="18"/>
      <c r="CI7" s="18"/>
    </row>
    <row r="8" spans="2:87" ht="15" customHeight="1" x14ac:dyDescent="0.2">
      <c r="B8"/>
      <c r="C8"/>
      <c r="D8"/>
      <c r="H8" s="11" t="s">
        <v>17</v>
      </c>
      <c r="I8" s="11">
        <f>IF($D$3="English",VLOOKUP($C$7,$T$11:$V$13,2,FALSE)/I11, VLOOKUP($C$7,$T$11:$V$13,2,FALSE)*I11)</f>
        <v>0.2</v>
      </c>
      <c r="J8" s="11" t="str">
        <f t="shared" ref="J8:J9" si="0">IF($D$3="English","in", "mm")</f>
        <v>in</v>
      </c>
      <c r="L8"/>
      <c r="AE8" s="18"/>
      <c r="AL8" s="18"/>
      <c r="AS8" s="18"/>
      <c r="AZ8" s="18"/>
      <c r="BG8" s="18"/>
      <c r="BN8" s="18"/>
      <c r="BU8" s="18"/>
      <c r="CB8" s="18"/>
      <c r="CI8" s="18"/>
    </row>
    <row r="9" spans="2:87" ht="15" customHeight="1" x14ac:dyDescent="0.2">
      <c r="H9" s="11" t="s">
        <v>18</v>
      </c>
      <c r="I9" s="11">
        <f>IF($D$3="English",VLOOKUP($C$7,$T$11:$V$13,3,FALSE)/I11, VLOOKUP($C$7,$T$11:$V$13,3,FALSE)*I11)</f>
        <v>0.25</v>
      </c>
      <c r="J9" s="11" t="str">
        <f t="shared" si="0"/>
        <v>in</v>
      </c>
      <c r="AE9" s="18"/>
      <c r="AL9" s="18"/>
      <c r="AS9" s="18"/>
      <c r="AZ9" s="18"/>
      <c r="BG9" s="18"/>
      <c r="BN9" s="18"/>
      <c r="BU9" s="18"/>
      <c r="CB9" s="18"/>
      <c r="CI9" s="18"/>
    </row>
    <row r="10" spans="2:87" ht="15" customHeight="1" thickBot="1" x14ac:dyDescent="0.25">
      <c r="H10" s="11" t="s">
        <v>22</v>
      </c>
      <c r="I10" s="11">
        <f>I9-I8</f>
        <v>4.9999999999999989E-2</v>
      </c>
      <c r="J10" s="11" t="str">
        <f>IF($D$3="English","in", "mm")</f>
        <v>in</v>
      </c>
      <c r="AE10" s="18"/>
      <c r="AL10" s="18"/>
      <c r="AS10" s="18"/>
      <c r="AZ10" s="18"/>
      <c r="BG10" s="18"/>
      <c r="BN10" s="18"/>
      <c r="BU10" s="18"/>
      <c r="CB10" s="18"/>
      <c r="CI10" s="18"/>
    </row>
    <row r="11" spans="2:87" ht="15" customHeight="1" x14ac:dyDescent="0.2">
      <c r="H11" s="11" t="str">
        <f>IF($D$3="English","Diametrial Pitch, P (N/d)", "Module, m (d/N)")</f>
        <v>Diametrial Pitch, P (N/d)</v>
      </c>
      <c r="I11" s="11">
        <f>C31</f>
        <v>5</v>
      </c>
      <c r="J11" s="16" t="str">
        <f>IF($D$3="English","teeth/in", "mm/tooth")</f>
        <v>teeth/in</v>
      </c>
      <c r="S11" s="39" t="str" cm="1">
        <f t="array" ref="S11:V13">_xlfn._xlws.FILTER(S4:V7,S4:S7=C6,S8:V10=NA())</f>
        <v>Full depth</v>
      </c>
      <c r="T11" s="34">
        <v>20</v>
      </c>
      <c r="U11" s="34">
        <v>1</v>
      </c>
      <c r="V11" s="36">
        <v>1.25</v>
      </c>
      <c r="AE11" s="18"/>
      <c r="AL11" s="18"/>
      <c r="AS11" s="18"/>
      <c r="AZ11" s="18"/>
      <c r="BG11" s="18"/>
      <c r="BN11" s="18"/>
      <c r="BU11" s="18"/>
      <c r="CB11" s="18"/>
      <c r="CI11" s="18"/>
    </row>
    <row r="12" spans="2:87" ht="15" customHeight="1" x14ac:dyDescent="0.2">
      <c r="H12" s="11" t="s">
        <v>23</v>
      </c>
      <c r="I12" s="40">
        <f>PI()*I26/I25</f>
        <v>0.62831853071795862</v>
      </c>
      <c r="J12" s="11" t="str">
        <f>IF($D$3="English","in", "mm")</f>
        <v>in</v>
      </c>
      <c r="S12" s="20" t="str">
        <v>Full depth</v>
      </c>
      <c r="T12" s="1">
        <v>22.5</v>
      </c>
      <c r="U12" s="1">
        <v>1</v>
      </c>
      <c r="V12" s="37">
        <v>1.25</v>
      </c>
      <c r="AE12" s="18"/>
      <c r="AL12" s="18"/>
      <c r="AS12" s="18"/>
      <c r="AZ12" s="18"/>
      <c r="BG12" s="18"/>
      <c r="BN12" s="18"/>
      <c r="BU12" s="18"/>
      <c r="CB12" s="18"/>
      <c r="CI12" s="18"/>
    </row>
    <row r="13" spans="2:87" ht="15" customHeight="1" thickBot="1" x14ac:dyDescent="0.25">
      <c r="H13" s="11" t="s">
        <v>49</v>
      </c>
      <c r="I13" s="41">
        <f>I24*I26/2</f>
        <v>339.29200658769764</v>
      </c>
      <c r="J13" s="11" t="str">
        <f>IF($D$3="English","in/s", "mm/s")</f>
        <v>in/s</v>
      </c>
      <c r="S13" s="21" t="str">
        <v>Full depth</v>
      </c>
      <c r="T13" s="35">
        <v>25</v>
      </c>
      <c r="U13" s="35">
        <v>1</v>
      </c>
      <c r="V13" s="38">
        <v>1.25</v>
      </c>
      <c r="AE13" s="18"/>
      <c r="AL13" s="18"/>
      <c r="AS13" s="18"/>
      <c r="AZ13" s="18"/>
      <c r="BG13" s="18"/>
      <c r="BN13" s="18"/>
      <c r="BU13" s="18"/>
      <c r="CB13" s="18"/>
      <c r="CI13" s="18"/>
    </row>
    <row r="14" spans="2:87" ht="15" customHeight="1" x14ac:dyDescent="0.2">
      <c r="H14" s="11"/>
      <c r="I14" s="41">
        <f>IF($D$3="English",I13*(1/12)*60, I13*60)</f>
        <v>1696.460032938488</v>
      </c>
      <c r="J14" s="11" t="str">
        <f>IF($D$3="English","ft/min", "mm/min")</f>
        <v>ft/min</v>
      </c>
      <c r="S14" s="1"/>
      <c r="X14" s="18"/>
      <c r="AE14" s="18"/>
      <c r="AL14" s="18"/>
      <c r="AS14" s="18"/>
      <c r="AZ14" s="18"/>
      <c r="BG14" s="18"/>
      <c r="BN14" s="18"/>
      <c r="BU14" s="18"/>
      <c r="CB14" s="18"/>
      <c r="CI14" s="18"/>
    </row>
    <row r="15" spans="2:87" ht="15" customHeight="1" x14ac:dyDescent="0.2">
      <c r="H15" s="11" t="s">
        <v>47</v>
      </c>
      <c r="I15" s="41">
        <f>IF($D$3="English",33000, 60000)*C20/I14</f>
        <v>622.47266631496859</v>
      </c>
      <c r="J15" s="11" t="str">
        <f>IF($D$3="English","lbf", "kN")</f>
        <v>lbf</v>
      </c>
      <c r="S15" s="1"/>
      <c r="X15" s="18"/>
      <c r="AE15" s="18"/>
      <c r="AL15" s="18"/>
      <c r="AS15" s="18"/>
      <c r="AZ15" s="18"/>
      <c r="BG15" s="18"/>
      <c r="BN15" s="18"/>
      <c r="BU15" s="18"/>
      <c r="CB15" s="18"/>
      <c r="CI15" s="18"/>
    </row>
    <row r="16" spans="2:87" ht="15" customHeight="1" x14ac:dyDescent="0.2">
      <c r="H16" s="11" t="s">
        <v>50</v>
      </c>
      <c r="I16" s="41">
        <f>I15*TAN(RADIANS(C7))</f>
        <v>226.56152218296671</v>
      </c>
      <c r="J16" s="11" t="str">
        <f>IF($D$3="English","lbf", "kN")</f>
        <v>lbf</v>
      </c>
      <c r="S16" s="1"/>
      <c r="X16" s="18"/>
      <c r="AE16" s="18"/>
      <c r="AL16" s="18"/>
      <c r="AS16" s="18"/>
      <c r="AZ16" s="18"/>
      <c r="BG16" s="18"/>
      <c r="BN16" s="18"/>
      <c r="BU16" s="18"/>
      <c r="CB16" s="18"/>
      <c r="CI16" s="18"/>
    </row>
    <row r="17" spans="2:87" ht="15" customHeight="1" x14ac:dyDescent="0.2">
      <c r="H17" s="11" t="s">
        <v>52</v>
      </c>
      <c r="I17" s="41">
        <f>I15*I26/2</f>
        <v>1120.4507993669436</v>
      </c>
      <c r="J17" s="11" t="str">
        <f>IF($D$3="English","in-lbf", "N-m")</f>
        <v>in-lbf</v>
      </c>
      <c r="S17" s="1"/>
      <c r="X17" s="18"/>
      <c r="AL17" s="18"/>
      <c r="AS17" s="18"/>
      <c r="AZ17" s="18"/>
      <c r="BG17" s="18"/>
      <c r="BN17" s="18"/>
      <c r="BU17" s="18"/>
      <c r="CB17" s="18"/>
      <c r="CI17" s="18"/>
    </row>
    <row r="18" spans="2:87" ht="15" customHeight="1" x14ac:dyDescent="0.2">
      <c r="H18" s="11"/>
      <c r="I18" s="41">
        <f>IF($D$3="English",I17*(1/12), I17)</f>
        <v>93.370899947245292</v>
      </c>
      <c r="J18" s="11" t="str">
        <f>IF($D$3="English","ft-lbf", "N-m")</f>
        <v>ft-lbf</v>
      </c>
      <c r="S18" s="1"/>
      <c r="X18" s="18"/>
      <c r="AL18" s="18"/>
      <c r="AS18" s="18"/>
      <c r="AZ18" s="18"/>
      <c r="BG18" s="18"/>
      <c r="BN18" s="18"/>
      <c r="BU18" s="18"/>
      <c r="CB18" s="18"/>
      <c r="CI18" s="18"/>
    </row>
    <row r="19" spans="2:87" ht="15" customHeight="1" x14ac:dyDescent="0.2">
      <c r="B19" s="6" t="s">
        <v>51</v>
      </c>
      <c r="C19" s="6"/>
      <c r="D19" s="6"/>
      <c r="H19" s="11" t="s">
        <v>53</v>
      </c>
      <c r="I19" s="41">
        <f>I15*I37/2</f>
        <v>2801.1269984173587</v>
      </c>
      <c r="J19" s="11" t="str">
        <f>IF($D$3="English","in-lbf", "N-m")</f>
        <v>in-lbf</v>
      </c>
      <c r="S19" s="1"/>
      <c r="X19" s="18"/>
      <c r="AL19" s="18"/>
      <c r="AS19" s="18"/>
      <c r="AZ19" s="18"/>
      <c r="BG19" s="18"/>
      <c r="BN19" s="18"/>
      <c r="BU19" s="18"/>
      <c r="CB19" s="18"/>
      <c r="CI19" s="18"/>
    </row>
    <row r="20" spans="2:87" ht="15" customHeight="1" x14ac:dyDescent="0.2">
      <c r="B20" s="10" t="s">
        <v>48</v>
      </c>
      <c r="C20" s="10">
        <v>32</v>
      </c>
      <c r="D20" s="10" t="str">
        <f>IF($D$3="English","hp", "kN")</f>
        <v>hp</v>
      </c>
      <c r="H20" s="11"/>
      <c r="I20" s="41">
        <f>IF($D$3="English",I19*(1/12), I19)</f>
        <v>233.42724986811322</v>
      </c>
      <c r="J20" s="11" t="str">
        <f>IF($D$3="English","ft-lbf", "N-m")</f>
        <v>ft-lbf</v>
      </c>
      <c r="S20" s="1"/>
      <c r="X20" s="18"/>
      <c r="AL20" s="18"/>
      <c r="AS20" s="18"/>
      <c r="AZ20" s="18"/>
      <c r="BG20" s="18"/>
      <c r="BN20" s="18"/>
      <c r="BU20" s="18"/>
      <c r="CB20" s="18"/>
      <c r="CI20" s="18"/>
    </row>
    <row r="21" spans="2:87" ht="15" customHeight="1" x14ac:dyDescent="0.2">
      <c r="L21" s="8" t="s">
        <v>54</v>
      </c>
      <c r="M21" s="8"/>
      <c r="N21" s="8"/>
      <c r="S21" s="1"/>
      <c r="X21" s="18"/>
      <c r="AL21" s="18"/>
      <c r="AS21" s="18"/>
      <c r="AZ21" s="18"/>
      <c r="BG21" s="18"/>
      <c r="BN21" s="18"/>
      <c r="BU21" s="18"/>
      <c r="CB21" s="18"/>
      <c r="CI21" s="18"/>
    </row>
    <row r="22" spans="2:87" ht="15" customHeight="1" x14ac:dyDescent="0.2">
      <c r="B22" s="6" t="s">
        <v>25</v>
      </c>
      <c r="C22" s="6"/>
      <c r="D22" s="6"/>
      <c r="E22" s="6"/>
      <c r="F22" s="6"/>
      <c r="H22" s="8" t="s">
        <v>33</v>
      </c>
      <c r="I22" s="9"/>
      <c r="J22" s="9"/>
      <c r="L22" s="10" t="s">
        <v>62</v>
      </c>
      <c r="M22" s="10">
        <v>3</v>
      </c>
      <c r="N22" s="10" t="s">
        <v>59</v>
      </c>
      <c r="S22" s="1"/>
      <c r="X22" s="18"/>
      <c r="AL22" s="18"/>
      <c r="AS22" s="18"/>
      <c r="AZ22" s="18"/>
      <c r="BG22" s="18"/>
      <c r="BN22" s="18"/>
      <c r="BU22" s="18"/>
      <c r="CB22" s="18"/>
      <c r="CI22" s="18"/>
    </row>
    <row r="23" spans="2:87" ht="15" customHeight="1" x14ac:dyDescent="0.2">
      <c r="B23" s="10" t="s">
        <v>39</v>
      </c>
      <c r="C23" s="10">
        <v>1800</v>
      </c>
      <c r="D23" s="10" t="s">
        <v>2</v>
      </c>
      <c r="E23" s="10" t="s">
        <v>7</v>
      </c>
      <c r="F23" s="12" t="b">
        <f>NOT(C23=0)</f>
        <v>1</v>
      </c>
      <c r="H23" s="11" t="s">
        <v>39</v>
      </c>
      <c r="I23" s="11">
        <f>C24</f>
        <v>1800</v>
      </c>
      <c r="J23" s="11" t="s">
        <v>2</v>
      </c>
      <c r="L23" s="10" t="s">
        <v>58</v>
      </c>
      <c r="M23" s="10">
        <v>6</v>
      </c>
      <c r="N23" s="10" t="s">
        <v>59</v>
      </c>
      <c r="S23" s="1"/>
      <c r="X23" s="18"/>
      <c r="AL23" s="18"/>
      <c r="AS23" s="18"/>
      <c r="AZ23" s="18"/>
      <c r="BG23" s="18"/>
      <c r="BN23" s="18"/>
      <c r="BU23" s="18"/>
      <c r="CB23" s="18"/>
      <c r="CI23" s="18"/>
    </row>
    <row r="24" spans="2:87" ht="15" customHeight="1" x14ac:dyDescent="0.2">
      <c r="B24" s="11"/>
      <c r="C24" s="42">
        <f>IF(F23,C23,C35*(C40/C29))</f>
        <v>1800</v>
      </c>
      <c r="D24" s="11" t="s">
        <v>2</v>
      </c>
      <c r="H24" s="11" t="s">
        <v>28</v>
      </c>
      <c r="I24" s="41">
        <f>C25</f>
        <v>188.49555921538757</v>
      </c>
      <c r="J24" s="11" t="s">
        <v>40</v>
      </c>
      <c r="L24" s="11" t="s">
        <v>57</v>
      </c>
      <c r="M24" s="41" cm="1">
        <f t="array" ref="M24">-SQRT(SUM(I15:I16^2))</f>
        <v>-662.42157546620501</v>
      </c>
      <c r="N24" s="11" t="s">
        <v>60</v>
      </c>
      <c r="X24" s="18"/>
      <c r="AL24" s="18"/>
      <c r="AS24" s="18"/>
      <c r="AZ24" s="18"/>
      <c r="BG24" s="18"/>
      <c r="BN24" s="18"/>
      <c r="BU24" s="18"/>
      <c r="CB24" s="18"/>
      <c r="CI24" s="18"/>
    </row>
    <row r="25" spans="2:87" ht="15" customHeight="1" x14ac:dyDescent="0.2">
      <c r="B25" s="11" t="s">
        <v>28</v>
      </c>
      <c r="C25" s="41">
        <f>C24*PI()/30</f>
        <v>188.49555921538757</v>
      </c>
      <c r="D25" s="11" t="s">
        <v>40</v>
      </c>
      <c r="H25" s="11" t="s">
        <v>29</v>
      </c>
      <c r="I25" s="11">
        <f>C27</f>
        <v>18</v>
      </c>
      <c r="J25" s="16" t="s">
        <v>6</v>
      </c>
      <c r="L25" s="11" t="s">
        <v>56</v>
      </c>
      <c r="M25" s="41">
        <f>-M24*M22/M23</f>
        <v>331.21078773310251</v>
      </c>
      <c r="N25" s="11" t="s">
        <v>60</v>
      </c>
      <c r="O25" s="43" t="s">
        <v>68</v>
      </c>
      <c r="X25" s="18"/>
      <c r="AL25" s="18"/>
      <c r="AS25" s="18"/>
      <c r="AZ25" s="18"/>
      <c r="BG25" s="18"/>
      <c r="BN25" s="18"/>
      <c r="BU25" s="18"/>
      <c r="CB25" s="18"/>
      <c r="CI25" s="18"/>
    </row>
    <row r="26" spans="2:87" ht="15" customHeight="1" x14ac:dyDescent="0.2">
      <c r="B26" s="10" t="s">
        <v>29</v>
      </c>
      <c r="C26" s="10">
        <v>18</v>
      </c>
      <c r="D26" s="15" t="s">
        <v>6</v>
      </c>
      <c r="E26" s="10" t="s">
        <v>8</v>
      </c>
      <c r="F26" s="12" t="b">
        <f>NOT(C26=0)</f>
        <v>1</v>
      </c>
      <c r="H26" s="11" t="s">
        <v>30</v>
      </c>
      <c r="I26" s="11">
        <f>C29</f>
        <v>3.6</v>
      </c>
      <c r="J26" s="11" t="str">
        <f>IF($D$3="English","in", "mm")</f>
        <v>in</v>
      </c>
      <c r="L26" s="11" t="s">
        <v>55</v>
      </c>
      <c r="M26" s="41">
        <f>SUM(M24:M25)</f>
        <v>-331.21078773310251</v>
      </c>
      <c r="N26" s="11" t="s">
        <v>60</v>
      </c>
      <c r="X26" s="18"/>
      <c r="AL26" s="18"/>
      <c r="AS26" s="18"/>
      <c r="AZ26" s="18"/>
      <c r="BG26" s="18"/>
      <c r="BN26" s="18"/>
      <c r="BU26" s="18"/>
      <c r="CB26" s="18"/>
      <c r="CI26" s="18"/>
    </row>
    <row r="27" spans="2:87" ht="15" customHeight="1" x14ac:dyDescent="0.2">
      <c r="B27" s="11"/>
      <c r="C27" s="11">
        <f>IF(F26,C26,IF($D$3="English",C31*C29,(C31^-1)*C29))</f>
        <v>18</v>
      </c>
      <c r="D27" s="16" t="s">
        <v>6</v>
      </c>
      <c r="H27" s="11" t="s">
        <v>41</v>
      </c>
      <c r="I27" s="11">
        <f>I26/2</f>
        <v>1.8</v>
      </c>
      <c r="J27" s="11" t="str">
        <f>IF($D$3="English","in", "mm")</f>
        <v>in</v>
      </c>
      <c r="L27" s="10" t="s">
        <v>61</v>
      </c>
      <c r="M27" s="10">
        <v>3</v>
      </c>
      <c r="N27" s="10" t="s">
        <v>59</v>
      </c>
      <c r="X27" s="18"/>
      <c r="AL27" s="18"/>
      <c r="AS27" s="18"/>
      <c r="AZ27" s="18"/>
      <c r="BG27" s="18"/>
      <c r="BN27" s="18"/>
      <c r="BU27" s="18"/>
      <c r="CB27" s="18"/>
      <c r="CI27" s="18"/>
    </row>
    <row r="28" spans="2:87" ht="15" customHeight="1" x14ac:dyDescent="0.2">
      <c r="B28" s="10" t="s">
        <v>30</v>
      </c>
      <c r="C28" s="10"/>
      <c r="D28" s="10" t="str">
        <f>IF($D$3="English","in", "mm")</f>
        <v>in</v>
      </c>
      <c r="E28" s="14" t="s">
        <v>5</v>
      </c>
      <c r="F28" s="13" t="b">
        <v>0</v>
      </c>
      <c r="H28" s="11" t="s">
        <v>42</v>
      </c>
      <c r="I28" s="40">
        <f>I26*COS(RADIANS($C$7))</f>
        <v>3.3828934348292705</v>
      </c>
      <c r="J28" s="11" t="str">
        <f>IF($D$3="English","in", "mm")</f>
        <v>in</v>
      </c>
      <c r="L28" s="10" t="s">
        <v>63</v>
      </c>
      <c r="M28" s="10">
        <v>6</v>
      </c>
      <c r="N28" s="10" t="s">
        <v>59</v>
      </c>
      <c r="X28" s="18"/>
      <c r="AL28" s="18"/>
      <c r="AS28" s="18"/>
      <c r="AZ28" s="18"/>
      <c r="BG28" s="18"/>
      <c r="BN28" s="18"/>
      <c r="BU28" s="18"/>
      <c r="CB28" s="18"/>
      <c r="CI28" s="18"/>
    </row>
    <row r="29" spans="2:87" ht="15" customHeight="1" x14ac:dyDescent="0.2">
      <c r="B29" s="11"/>
      <c r="C29" s="11">
        <f>IF(F28,C28,IF(F26,IF($D$3="English",(C31^-1)*C26, C31*C26),C40*(C35/C24)))</f>
        <v>3.6</v>
      </c>
      <c r="D29" s="11" t="str">
        <f>IF($D$3="English","in", "mm")</f>
        <v>in</v>
      </c>
      <c r="H29" s="11" t="s">
        <v>44</v>
      </c>
      <c r="I29" s="40">
        <f>I28/2</f>
        <v>1.6914467174146353</v>
      </c>
      <c r="J29" s="11" t="str">
        <f>IF($D$3="English","in", "mm")</f>
        <v>in</v>
      </c>
      <c r="L29" s="11" t="s">
        <v>64</v>
      </c>
      <c r="M29" s="41" cm="1">
        <f t="array" ref="M29">SQRT(SUM(I15:I16^2))</f>
        <v>662.42157546620501</v>
      </c>
      <c r="N29" s="11" t="s">
        <v>60</v>
      </c>
      <c r="X29" s="18"/>
      <c r="AL29" s="18"/>
      <c r="AS29" s="18"/>
      <c r="AZ29" s="18"/>
      <c r="BG29" s="18"/>
      <c r="BN29" s="18"/>
      <c r="BU29" s="18"/>
      <c r="CB29" s="18"/>
      <c r="CI29" s="18"/>
    </row>
    <row r="30" spans="2:87" ht="15" customHeight="1" x14ac:dyDescent="0.2">
      <c r="B30" s="10" t="str">
        <f>IF($D$3="English","Diametrial Pitch, P (N/d)", "Module, m (d/N)")</f>
        <v>Diametrial Pitch, P (N/d)</v>
      </c>
      <c r="C30" s="10">
        <v>5</v>
      </c>
      <c r="D30" s="15" t="str">
        <f>IF($D$3="English","teeth/in", "mm/tooth")</f>
        <v>teeth/in</v>
      </c>
      <c r="E30" s="14" t="str">
        <f>IF($D$3="English","P known", "m known")</f>
        <v>P known</v>
      </c>
      <c r="F30" s="12" t="b">
        <f>NOT(F28)</f>
        <v>1</v>
      </c>
      <c r="L30" s="11" t="s">
        <v>65</v>
      </c>
      <c r="M30" s="41">
        <f>-M29*M27/M28</f>
        <v>-331.21078773310251</v>
      </c>
      <c r="N30" s="11" t="s">
        <v>60</v>
      </c>
      <c r="O30" s="43" t="s">
        <v>67</v>
      </c>
      <c r="X30" s="18"/>
      <c r="AL30" s="18"/>
      <c r="AS30" s="18"/>
      <c r="AZ30" s="18"/>
      <c r="BG30" s="18"/>
      <c r="BN30" s="18"/>
      <c r="BU30" s="18"/>
      <c r="CB30" s="18"/>
      <c r="CI30" s="18"/>
    </row>
    <row r="31" spans="2:87" ht="15" customHeight="1" x14ac:dyDescent="0.25">
      <c r="B31" s="11"/>
      <c r="C31" s="11">
        <f>IF(F30,IF(F31,IF(F42,"Pitch Wrong",C42),C30),IF($D$3="English",C26/C29, C29/C26))</f>
        <v>5</v>
      </c>
      <c r="D31" s="16" t="str">
        <f>IF($D$3="English","teeth/in", "mm/tooth")</f>
        <v>teeth/in</v>
      </c>
      <c r="E31" s="14" t="s">
        <v>31</v>
      </c>
      <c r="F31" s="19" t="b">
        <v>0</v>
      </c>
      <c r="L31" s="11" t="s">
        <v>66</v>
      </c>
      <c r="M31" s="41">
        <f>SUM(M29:M30)</f>
        <v>331.21078773310251</v>
      </c>
      <c r="N31" s="11" t="s">
        <v>60</v>
      </c>
      <c r="X31" s="18"/>
      <c r="AL31" s="18"/>
      <c r="AS31" s="18"/>
      <c r="AZ31" s="18"/>
      <c r="BG31" s="18"/>
      <c r="BN31" s="18"/>
      <c r="BU31" s="18"/>
      <c r="CB31" s="18"/>
      <c r="CI31" s="18"/>
    </row>
    <row r="32" spans="2:87" ht="15" customHeight="1" x14ac:dyDescent="0.2">
      <c r="X32" s="18"/>
      <c r="AL32" s="18"/>
      <c r="AS32" s="18"/>
      <c r="AZ32" s="18"/>
      <c r="BG32" s="18"/>
      <c r="BN32" s="18"/>
      <c r="BU32" s="18"/>
      <c r="CB32" s="18"/>
      <c r="CI32" s="18"/>
    </row>
    <row r="33" spans="2:87" ht="15" customHeight="1" x14ac:dyDescent="0.2">
      <c r="B33" s="6" t="s">
        <v>26</v>
      </c>
      <c r="C33" s="6"/>
      <c r="D33" s="6"/>
      <c r="E33" s="6"/>
      <c r="F33" s="6"/>
      <c r="H33" s="8" t="s">
        <v>32</v>
      </c>
      <c r="I33" s="9"/>
      <c r="J33" s="9"/>
      <c r="L33" s="8" t="s">
        <v>69</v>
      </c>
      <c r="M33" s="8"/>
      <c r="N33" s="8"/>
      <c r="Q33" s="1"/>
      <c r="X33" s="18"/>
      <c r="AL33" s="18"/>
      <c r="AS33" s="18"/>
      <c r="AZ33" s="18"/>
      <c r="BG33" s="18"/>
      <c r="BN33" s="18"/>
      <c r="BU33" s="18"/>
      <c r="CB33" s="18"/>
      <c r="CI33" s="18"/>
    </row>
    <row r="34" spans="2:87" ht="15" customHeight="1" x14ac:dyDescent="0.2">
      <c r="B34" s="10" t="s">
        <v>38</v>
      </c>
      <c r="C34" s="10"/>
      <c r="D34" s="10" t="s">
        <v>2</v>
      </c>
      <c r="E34" s="10" t="s">
        <v>7</v>
      </c>
      <c r="F34" s="12" t="b">
        <f>NOT(C34=0)</f>
        <v>0</v>
      </c>
      <c r="H34" s="11" t="s">
        <v>38</v>
      </c>
      <c r="I34" s="11">
        <f>C35</f>
        <v>720</v>
      </c>
      <c r="J34" s="11" t="s">
        <v>2</v>
      </c>
      <c r="L34" s="17" t="s">
        <v>70</v>
      </c>
      <c r="M34" s="17"/>
      <c r="N34" s="17"/>
      <c r="Q34" s="1"/>
      <c r="X34" s="18"/>
      <c r="AL34" s="18"/>
      <c r="AS34" s="18"/>
      <c r="AZ34" s="18"/>
      <c r="BG34" s="18"/>
      <c r="BN34" s="18"/>
      <c r="BU34" s="18"/>
      <c r="CB34" s="18"/>
      <c r="CI34" s="18"/>
    </row>
    <row r="35" spans="2:87" ht="15" customHeight="1" x14ac:dyDescent="0.2">
      <c r="B35" s="11"/>
      <c r="C35" s="42">
        <f>IF(F34,C34,C24*(C29/C40))</f>
        <v>720</v>
      </c>
      <c r="D35" s="11" t="s">
        <v>2</v>
      </c>
      <c r="H35" s="11" t="s">
        <v>35</v>
      </c>
      <c r="I35" s="41">
        <f>C36</f>
        <v>75.398223686155035</v>
      </c>
      <c r="J35" s="11" t="s">
        <v>40</v>
      </c>
      <c r="L35" s="17" t="s">
        <v>71</v>
      </c>
      <c r="M35" s="17"/>
      <c r="N35" s="17"/>
      <c r="Q35" s="1"/>
      <c r="X35" s="18"/>
      <c r="AL35" s="18"/>
      <c r="AS35" s="18"/>
      <c r="AZ35" s="18"/>
      <c r="BG35" s="18"/>
      <c r="BN35" s="18"/>
      <c r="BU35" s="18"/>
      <c r="CB35" s="18"/>
      <c r="CI35" s="18"/>
    </row>
    <row r="36" spans="2:87" ht="15" customHeight="1" x14ac:dyDescent="0.2">
      <c r="B36" s="11" t="s">
        <v>35</v>
      </c>
      <c r="C36" s="41">
        <f>C35*PI()/30</f>
        <v>75.398223686155035</v>
      </c>
      <c r="D36" s="11" t="s">
        <v>40</v>
      </c>
      <c r="H36" s="11" t="s">
        <v>36</v>
      </c>
      <c r="I36" s="11">
        <f>C38</f>
        <v>45</v>
      </c>
      <c r="J36" s="16" t="s">
        <v>6</v>
      </c>
      <c r="L36" s="10" t="s">
        <v>72</v>
      </c>
      <c r="M36" s="10">
        <v>4</v>
      </c>
      <c r="N36" s="15" t="s">
        <v>21</v>
      </c>
      <c r="Q36" s="1"/>
      <c r="X36" s="18"/>
      <c r="AE36" s="18"/>
      <c r="AL36" s="18"/>
      <c r="AS36" s="18"/>
      <c r="AZ36" s="18"/>
      <c r="BG36" s="18"/>
      <c r="BN36" s="18"/>
      <c r="BU36" s="18"/>
      <c r="CB36" s="18"/>
      <c r="CI36" s="18"/>
    </row>
    <row r="37" spans="2:87" ht="15" customHeight="1" x14ac:dyDescent="0.2">
      <c r="B37" s="10" t="s">
        <v>36</v>
      </c>
      <c r="C37" s="10">
        <v>45</v>
      </c>
      <c r="D37" s="15" t="s">
        <v>6</v>
      </c>
      <c r="E37" s="10" t="s">
        <v>8</v>
      </c>
      <c r="F37" s="12" t="b">
        <f>NOT(C37=0)</f>
        <v>1</v>
      </c>
      <c r="H37" s="11" t="s">
        <v>37</v>
      </c>
      <c r="I37" s="11">
        <f>C40</f>
        <v>9</v>
      </c>
      <c r="J37" s="11" t="str">
        <f>IF($D$3="English","in", "mm")</f>
        <v>in</v>
      </c>
      <c r="L37" s="10" t="s">
        <v>73</v>
      </c>
      <c r="M37" s="44">
        <v>0.95</v>
      </c>
      <c r="N37" s="15" t="s">
        <v>21</v>
      </c>
      <c r="Q37" s="1"/>
      <c r="X37" s="18"/>
      <c r="AE37" s="18"/>
      <c r="AL37" s="18"/>
      <c r="AS37" s="18"/>
      <c r="AZ37" s="18"/>
      <c r="BG37" s="18"/>
      <c r="BN37" s="18"/>
      <c r="BU37" s="18"/>
      <c r="CB37" s="18"/>
      <c r="CI37" s="18"/>
    </row>
    <row r="38" spans="2:87" ht="15" customHeight="1" x14ac:dyDescent="0.2">
      <c r="B38" s="11"/>
      <c r="C38" s="11">
        <f>IF(F37,C37,IF($D$3="English",C42*C40,(C42^-1)*C40))</f>
        <v>45</v>
      </c>
      <c r="D38" s="16" t="s">
        <v>6</v>
      </c>
      <c r="H38" s="11" t="s">
        <v>46</v>
      </c>
      <c r="I38" s="11">
        <f>I37/2</f>
        <v>4.5</v>
      </c>
      <c r="J38" s="11" t="str">
        <f>IF($D$3="English","in", "mm")</f>
        <v>in</v>
      </c>
      <c r="L38" s="11" t="s">
        <v>74</v>
      </c>
      <c r="M38" s="45">
        <f>(M37)^(1/M36)</f>
        <v>0.98725854490143383</v>
      </c>
      <c r="N38" s="16" t="s">
        <v>21</v>
      </c>
      <c r="Q38" s="1"/>
      <c r="X38" s="18"/>
      <c r="AE38" s="18"/>
      <c r="AL38" s="18"/>
      <c r="AS38" s="18"/>
      <c r="AZ38" s="18"/>
      <c r="BG38" s="18"/>
      <c r="BN38" s="18"/>
      <c r="BU38" s="18"/>
      <c r="CB38" s="18"/>
      <c r="CI38" s="18"/>
    </row>
    <row r="39" spans="2:87" ht="15" customHeight="1" x14ac:dyDescent="0.2">
      <c r="B39" s="10" t="s">
        <v>37</v>
      </c>
      <c r="C39" s="10"/>
      <c r="D39" s="10" t="str">
        <f>IF($D$3="English","in", "mm")</f>
        <v>in</v>
      </c>
      <c r="E39" s="14" t="s">
        <v>5</v>
      </c>
      <c r="F39" s="13" t="b">
        <v>0</v>
      </c>
      <c r="H39" s="11" t="s">
        <v>43</v>
      </c>
      <c r="I39" s="41">
        <f>I37*COS(RADIANS($C$7))</f>
        <v>8.4572335870731763</v>
      </c>
      <c r="J39" s="11" t="str">
        <f>IF($D$3="English","in", "mm")</f>
        <v>in</v>
      </c>
      <c r="Q39" s="1"/>
      <c r="X39" s="18"/>
      <c r="AE39" s="18"/>
      <c r="AL39" s="18"/>
      <c r="AS39" s="18"/>
      <c r="AZ39" s="18"/>
      <c r="BG39" s="18"/>
      <c r="BN39" s="18"/>
      <c r="BU39" s="18"/>
      <c r="CB39" s="18"/>
      <c r="CI39" s="18"/>
    </row>
    <row r="40" spans="2:87" ht="15" customHeight="1" x14ac:dyDescent="0.2">
      <c r="B40" s="11"/>
      <c r="C40" s="11">
        <f>IF(F39,C39,IF(F37,IF($D$3="English",(C42^-1)*C37, C42*C37),C29*(C24/C35)))</f>
        <v>9</v>
      </c>
      <c r="D40" s="11" t="str">
        <f>IF($D$3="English","in", "mm")</f>
        <v>in</v>
      </c>
      <c r="H40" s="11" t="s">
        <v>45</v>
      </c>
      <c r="I40" s="41">
        <f>I39/2</f>
        <v>4.2286167935365881</v>
      </c>
      <c r="J40" s="11" t="str">
        <f>IF($D$3="English","in", "mm")</f>
        <v>in</v>
      </c>
      <c r="Q40" s="1"/>
      <c r="X40" s="18"/>
      <c r="AE40" s="18"/>
      <c r="AL40" s="18"/>
      <c r="AS40" s="18"/>
      <c r="AZ40" s="18"/>
      <c r="BG40" s="18"/>
      <c r="BN40" s="18"/>
      <c r="BU40" s="18"/>
      <c r="CB40" s="18"/>
      <c r="CI40" s="18"/>
    </row>
    <row r="41" spans="2:87" ht="15" customHeight="1" x14ac:dyDescent="0.2">
      <c r="B41" s="10" t="str">
        <f>IF($D$3="English","Diametrial Pitch, P (N/d)", "Module, m (d/N)")</f>
        <v>Diametrial Pitch, P (N/d)</v>
      </c>
      <c r="C41" s="10"/>
      <c r="D41" s="10" t="str">
        <f>IF($D$3="English","teeth/in", "mm/tooth")</f>
        <v>teeth/in</v>
      </c>
      <c r="E41" s="14" t="str">
        <f>IF($D$3="English","P known", "m known")</f>
        <v>P known</v>
      </c>
      <c r="F41" s="12" t="b">
        <f>NOT(F39)</f>
        <v>1</v>
      </c>
      <c r="Q41" s="1"/>
      <c r="X41" s="18"/>
      <c r="AE41" s="18"/>
      <c r="AL41" s="18"/>
      <c r="AS41" s="18"/>
      <c r="AZ41" s="18"/>
      <c r="BG41" s="18"/>
      <c r="BN41" s="18"/>
      <c r="BU41" s="18"/>
      <c r="CB41" s="18"/>
      <c r="CI41" s="18"/>
    </row>
    <row r="42" spans="2:87" ht="15" customHeight="1" x14ac:dyDescent="0.25">
      <c r="B42" s="11"/>
      <c r="C42" s="11">
        <f>IF(F41,IF(F42,IF(F31,"Pitch Wrong",C31),C41),IF($D$3="English",C37/C40, C40/C37))</f>
        <v>5</v>
      </c>
      <c r="D42" s="11" t="str">
        <f>IF($D$3="English","teeth/in", "mm/tooth")</f>
        <v>teeth/in</v>
      </c>
      <c r="E42" s="14" t="s">
        <v>31</v>
      </c>
      <c r="F42" s="19" t="b">
        <v>1</v>
      </c>
      <c r="X42" s="18"/>
      <c r="AE42" s="18"/>
      <c r="AL42" s="18"/>
      <c r="AS42" s="18"/>
      <c r="AZ42" s="18"/>
      <c r="BG42" s="18"/>
      <c r="BN42" s="18"/>
      <c r="BU42" s="18"/>
      <c r="CB42" s="18"/>
      <c r="CI42" s="18"/>
    </row>
    <row r="43" spans="2:87" ht="15" customHeight="1" x14ac:dyDescent="0.2">
      <c r="X43" s="18"/>
      <c r="AE43" s="18"/>
      <c r="AL43" s="18"/>
      <c r="AS43" s="18"/>
      <c r="AZ43" s="18"/>
      <c r="BG43" s="18"/>
      <c r="BN43" s="18"/>
      <c r="BU43" s="18"/>
      <c r="CB43" s="18"/>
      <c r="CI43" s="18"/>
    </row>
    <row r="44" spans="2:87" ht="15" customHeight="1" x14ac:dyDescent="0.2">
      <c r="X44" s="18"/>
      <c r="AE44" s="18"/>
      <c r="AL44" s="18"/>
      <c r="AS44" s="18"/>
      <c r="AZ44" s="18"/>
      <c r="BG44" s="18"/>
      <c r="BN44" s="18"/>
      <c r="BU44" s="18"/>
      <c r="CB44" s="18"/>
      <c r="CI44" s="18"/>
    </row>
    <row r="45" spans="2:87" ht="15" customHeight="1" x14ac:dyDescent="0.2">
      <c r="X45" s="18"/>
      <c r="AE45" s="18"/>
      <c r="AL45" s="18"/>
      <c r="AS45" s="18"/>
      <c r="AZ45" s="18"/>
      <c r="BG45" s="18"/>
      <c r="BN45" s="18"/>
      <c r="BU45" s="18"/>
      <c r="CB45" s="18"/>
      <c r="CI45" s="18"/>
    </row>
    <row r="46" spans="2:87" ht="15" customHeight="1" x14ac:dyDescent="0.2">
      <c r="X46" s="18"/>
      <c r="AE46" s="18"/>
      <c r="AL46" s="18"/>
      <c r="AS46" s="18"/>
      <c r="AZ46" s="18"/>
      <c r="BG46" s="18"/>
      <c r="BN46" s="18"/>
      <c r="BU46" s="18"/>
      <c r="CB46" s="18"/>
      <c r="CI46" s="18"/>
    </row>
    <row r="47" spans="2:87" ht="15" customHeight="1" x14ac:dyDescent="0.2">
      <c r="X47" s="18"/>
      <c r="AE47" s="18"/>
      <c r="AL47" s="18"/>
      <c r="AS47" s="18"/>
      <c r="AZ47" s="18"/>
      <c r="BG47" s="18"/>
      <c r="BN47" s="18"/>
      <c r="BU47" s="18"/>
      <c r="CB47" s="18"/>
      <c r="CI47" s="18"/>
    </row>
    <row r="48" spans="2:87" ht="15" customHeight="1" x14ac:dyDescent="0.2">
      <c r="X48" s="18"/>
      <c r="AE48" s="18"/>
      <c r="AL48" s="18"/>
      <c r="AS48" s="18"/>
      <c r="AZ48" s="18"/>
      <c r="BG48" s="18"/>
      <c r="BN48" s="18"/>
      <c r="BU48" s="18"/>
      <c r="CB48" s="18"/>
      <c r="CI48" s="18"/>
    </row>
    <row r="49" spans="24:87" ht="15" customHeight="1" x14ac:dyDescent="0.2">
      <c r="X49" s="18"/>
      <c r="AE49" s="18"/>
      <c r="AL49" s="18"/>
      <c r="AS49" s="18"/>
      <c r="AZ49" s="18"/>
      <c r="BG49" s="18"/>
      <c r="BN49" s="18"/>
      <c r="BU49" s="18"/>
      <c r="CB49" s="18"/>
      <c r="CI49" s="18"/>
    </row>
    <row r="50" spans="24:87" ht="15" customHeight="1" x14ac:dyDescent="0.2">
      <c r="X50" s="18"/>
      <c r="AE50" s="18"/>
      <c r="AL50" s="18"/>
      <c r="AS50" s="18"/>
      <c r="AZ50" s="18"/>
      <c r="BG50" s="18"/>
      <c r="BN50" s="18"/>
      <c r="BU50" s="18"/>
      <c r="CB50" s="18"/>
      <c r="CI50" s="18"/>
    </row>
    <row r="51" spans="24:87" ht="15" customHeight="1" x14ac:dyDescent="0.2">
      <c r="X51" s="18"/>
      <c r="AE51" s="18"/>
      <c r="AL51" s="18"/>
      <c r="AS51" s="18"/>
      <c r="AZ51" s="18"/>
      <c r="BG51" s="18"/>
      <c r="BN51" s="18"/>
      <c r="BU51" s="18"/>
      <c r="CB51" s="18"/>
      <c r="CI51" s="18"/>
    </row>
    <row r="52" spans="24:87" ht="15" customHeight="1" x14ac:dyDescent="0.2">
      <c r="X52" s="18"/>
      <c r="AE52" s="18"/>
      <c r="AL52" s="18"/>
      <c r="AS52" s="18"/>
      <c r="AZ52" s="18"/>
      <c r="BG52" s="18"/>
      <c r="BN52" s="18"/>
      <c r="BU52" s="18"/>
      <c r="CB52" s="18"/>
      <c r="CI52" s="18"/>
    </row>
    <row r="53" spans="24:87" ht="15" customHeight="1" x14ac:dyDescent="0.2">
      <c r="X53" s="18"/>
      <c r="AE53" s="18"/>
      <c r="AL53" s="18"/>
      <c r="AS53" s="18"/>
      <c r="AZ53" s="18"/>
      <c r="BG53" s="18"/>
      <c r="BN53" s="18"/>
      <c r="BU53" s="18"/>
      <c r="CB53" s="18"/>
      <c r="CI53" s="18"/>
    </row>
    <row r="54" spans="24:87" ht="15" customHeight="1" x14ac:dyDescent="0.2">
      <c r="X54" s="18"/>
      <c r="AE54" s="18"/>
      <c r="AL54" s="18"/>
      <c r="AS54" s="18"/>
      <c r="AZ54" s="18"/>
      <c r="BG54" s="18"/>
      <c r="BN54" s="18"/>
      <c r="BU54" s="18"/>
      <c r="CB54" s="18"/>
      <c r="CI54" s="18"/>
    </row>
    <row r="55" spans="24:87" ht="15" customHeight="1" x14ac:dyDescent="0.2">
      <c r="X55" s="18"/>
      <c r="AE55" s="18"/>
      <c r="AL55" s="18"/>
      <c r="AS55" s="18"/>
      <c r="AZ55" s="18"/>
      <c r="BG55" s="18"/>
      <c r="BN55" s="18"/>
      <c r="BU55" s="18"/>
      <c r="CB55" s="18"/>
      <c r="CI55" s="18"/>
    </row>
    <row r="56" spans="24:87" ht="15" customHeight="1" x14ac:dyDescent="0.2">
      <c r="X56" s="18"/>
      <c r="AE56" s="18"/>
      <c r="AL56" s="18"/>
      <c r="AS56" s="18"/>
      <c r="AZ56" s="18"/>
      <c r="BG56" s="18"/>
      <c r="BN56" s="18"/>
      <c r="BU56" s="18"/>
      <c r="CB56" s="18"/>
      <c r="CI56" s="18"/>
    </row>
    <row r="57" spans="24:87" ht="15" customHeight="1" x14ac:dyDescent="0.2">
      <c r="X57" s="18"/>
      <c r="AE57" s="18"/>
      <c r="AL57" s="18"/>
      <c r="AS57" s="18"/>
      <c r="AZ57" s="18"/>
      <c r="BG57" s="18"/>
      <c r="BN57" s="18"/>
      <c r="BU57" s="18"/>
      <c r="CB57" s="18"/>
      <c r="CI57" s="18"/>
    </row>
    <row r="58" spans="24:87" ht="15" customHeight="1" x14ac:dyDescent="0.2">
      <c r="X58" s="18"/>
      <c r="AE58" s="18"/>
      <c r="AL58" s="18"/>
      <c r="AS58" s="18"/>
      <c r="AZ58" s="18"/>
      <c r="BG58" s="18"/>
      <c r="BN58" s="18"/>
      <c r="BU58" s="18"/>
      <c r="CB58" s="18"/>
      <c r="CI58" s="18"/>
    </row>
    <row r="59" spans="24:87" ht="15" customHeight="1" x14ac:dyDescent="0.2">
      <c r="X59" s="18"/>
      <c r="AE59" s="18"/>
      <c r="AL59" s="18"/>
      <c r="AS59" s="18"/>
      <c r="AZ59" s="18"/>
      <c r="BG59" s="18"/>
      <c r="BN59" s="18"/>
      <c r="BU59" s="18"/>
      <c r="CB59" s="18"/>
      <c r="CI59" s="18"/>
    </row>
    <row r="60" spans="24:87" ht="15" customHeight="1" x14ac:dyDescent="0.2">
      <c r="X60" s="18"/>
      <c r="AE60" s="18"/>
      <c r="AL60" s="18"/>
      <c r="AS60" s="18"/>
      <c r="AZ60" s="18"/>
      <c r="BG60" s="18"/>
      <c r="BN60" s="18"/>
      <c r="BU60" s="18"/>
      <c r="CB60" s="18"/>
      <c r="CI60" s="18"/>
    </row>
    <row r="61" spans="24:87" ht="15" customHeight="1" x14ac:dyDescent="0.2">
      <c r="X61" s="18"/>
      <c r="AE61" s="18"/>
      <c r="AL61" s="18"/>
      <c r="AS61" s="18"/>
      <c r="AZ61" s="18"/>
      <c r="BG61" s="18"/>
      <c r="BN61" s="18"/>
      <c r="BU61" s="18"/>
      <c r="CB61" s="18"/>
      <c r="CI61" s="18"/>
    </row>
    <row r="62" spans="24:87" ht="15" customHeight="1" x14ac:dyDescent="0.2">
      <c r="X62" s="18"/>
      <c r="AE62" s="18"/>
      <c r="AL62" s="18"/>
      <c r="AS62" s="18"/>
      <c r="AZ62" s="18"/>
      <c r="BG62" s="18"/>
      <c r="BN62" s="18"/>
      <c r="BU62" s="18"/>
      <c r="CB62" s="18"/>
      <c r="CI62" s="18"/>
    </row>
    <row r="63" spans="24:87" ht="15" customHeight="1" x14ac:dyDescent="0.2">
      <c r="X63" s="18"/>
      <c r="AE63" s="18"/>
      <c r="AL63" s="18"/>
      <c r="AS63" s="18"/>
      <c r="AZ63" s="18"/>
      <c r="BG63" s="18"/>
      <c r="BN63" s="18"/>
      <c r="BU63" s="18"/>
      <c r="CB63" s="18"/>
      <c r="CI63" s="18"/>
    </row>
    <row r="64" spans="24:87" ht="15" customHeight="1" x14ac:dyDescent="0.2">
      <c r="X64" s="18"/>
      <c r="AE64" s="18"/>
      <c r="AL64" s="18"/>
      <c r="AS64" s="18"/>
      <c r="AZ64" s="18"/>
      <c r="BG64" s="18"/>
      <c r="BN64" s="18"/>
      <c r="BU64" s="18"/>
      <c r="CB64" s="18"/>
      <c r="CI64" s="18"/>
    </row>
    <row r="73" spans="10:14" ht="15" customHeight="1" x14ac:dyDescent="0.2">
      <c r="J73"/>
      <c r="N73"/>
    </row>
    <row r="202" spans="2:2" ht="15" customHeight="1" x14ac:dyDescent="0.2">
      <c r="B202"/>
    </row>
  </sheetData>
  <conditionalFormatting sqref="B28:D28">
    <cfRule type="expression" dxfId="41" priority="6">
      <formula>$F$30</formula>
    </cfRule>
  </conditionalFormatting>
  <conditionalFormatting sqref="B30:D30">
    <cfRule type="expression" dxfId="40" priority="1">
      <formula>$F$31</formula>
    </cfRule>
    <cfRule type="expression" dxfId="39" priority="2">
      <formula>$F$28</formula>
    </cfRule>
  </conditionalFormatting>
  <conditionalFormatting sqref="B39:D39">
    <cfRule type="expression" dxfId="38" priority="5">
      <formula>$F$41</formula>
    </cfRule>
  </conditionalFormatting>
  <conditionalFormatting sqref="B41:D41">
    <cfRule type="expression" dxfId="37" priority="3">
      <formula>$F$39</formula>
    </cfRule>
    <cfRule type="expression" dxfId="36" priority="4">
      <formula>$F$42</formula>
    </cfRule>
  </conditionalFormatting>
  <conditionalFormatting sqref="F31">
    <cfRule type="expression" dxfId="35" priority="9" stopIfTrue="1">
      <formula>$F$42</formula>
    </cfRule>
    <cfRule type="expression" dxfId="34" priority="10" stopIfTrue="1">
      <formula>$F$28</formula>
    </cfRule>
  </conditionalFormatting>
  <conditionalFormatting sqref="F42">
    <cfRule type="expression" dxfId="33" priority="7" stopIfTrue="1">
      <formula>$F$31</formula>
    </cfRule>
    <cfRule type="expression" dxfId="32" priority="8">
      <formula>$F$39</formula>
    </cfRule>
  </conditionalFormatting>
  <dataValidations count="2">
    <dataValidation type="list" allowBlank="1" showInputMessage="1" showErrorMessage="1" sqref="C6" xr:uid="{85AD1BC6-D8D6-47FA-B030-66AA94EDF2E9}">
      <formula1>"Full depth, Stub"</formula1>
    </dataValidation>
    <dataValidation type="list" allowBlank="1" showInputMessage="1" showErrorMessage="1" sqref="D3" xr:uid="{167693C2-4991-41CA-99BB-DC00DFA5D28C}">
      <formula1>"English, Metric"</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19110-BB32-4DEF-B585-A0BF6CE04A18}">
  <sheetPr>
    <tabColor rgb="FF00B050"/>
  </sheetPr>
  <dimension ref="B1:CI202"/>
  <sheetViews>
    <sheetView zoomScaleNormal="100" workbookViewId="0">
      <selection activeCell="M45" sqref="M45"/>
    </sheetView>
  </sheetViews>
  <sheetFormatPr baseColWidth="10" defaultColWidth="8.83203125" defaultRowHeight="15" customHeight="1" x14ac:dyDescent="0.2"/>
  <cols>
    <col min="2" max="2" width="30.5" style="1" customWidth="1"/>
    <col min="3" max="3" width="13" style="1" customWidth="1"/>
    <col min="4" max="4" width="10.1640625" style="1" customWidth="1"/>
    <col min="5" max="5" width="9.6640625" bestFit="1" customWidth="1"/>
    <col min="7" max="7" width="13.33203125" customWidth="1"/>
    <col min="8" max="8" width="26.5" style="1" bestFit="1" customWidth="1"/>
    <col min="9" max="9" width="13" style="1" customWidth="1"/>
    <col min="10" max="10" width="10.1640625" style="1" customWidth="1"/>
    <col min="12" max="12" width="26.5" style="1" bestFit="1" customWidth="1"/>
    <col min="13" max="13" width="13" style="1" customWidth="1"/>
    <col min="14" max="14" width="10.1640625" style="1" customWidth="1"/>
    <col min="15" max="15" width="21.83203125" bestFit="1" customWidth="1"/>
    <col min="16" max="16" width="9.1640625" customWidth="1"/>
    <col min="19" max="19" width="13.5" bestFit="1" customWidth="1"/>
    <col min="20" max="20" width="23.33203125" bestFit="1" customWidth="1"/>
    <col min="21" max="21" width="15.5" bestFit="1" customWidth="1"/>
    <col min="22" max="22" width="16" bestFit="1" customWidth="1"/>
    <col min="23" max="23" width="14.5" bestFit="1" customWidth="1"/>
    <col min="30" max="34" width="9.1640625" customWidth="1"/>
  </cols>
  <sheetData>
    <row r="1" spans="2:87" ht="15" customHeight="1" thickBot="1" x14ac:dyDescent="0.25">
      <c r="X1" s="18"/>
      <c r="AE1" s="18"/>
      <c r="AL1" s="18"/>
      <c r="AS1" s="18"/>
      <c r="AZ1" s="18"/>
      <c r="BG1" s="18"/>
      <c r="BN1" s="18"/>
      <c r="BU1" s="18"/>
      <c r="CB1" s="18"/>
      <c r="CI1" s="18"/>
    </row>
    <row r="2" spans="2:87" ht="15" customHeight="1" x14ac:dyDescent="0.2">
      <c r="C2"/>
      <c r="D2"/>
      <c r="H2"/>
      <c r="I2"/>
      <c r="J2"/>
      <c r="L2"/>
      <c r="M2"/>
      <c r="N2"/>
      <c r="S2" s="29" t="s">
        <v>16</v>
      </c>
      <c r="T2" s="30"/>
      <c r="U2" s="30"/>
      <c r="V2" s="31"/>
      <c r="X2" s="18"/>
      <c r="AE2" s="18"/>
      <c r="AL2" s="18"/>
      <c r="AS2" s="18"/>
      <c r="AZ2" s="18"/>
      <c r="BG2" s="18"/>
      <c r="BN2" s="18"/>
      <c r="BU2" s="18"/>
      <c r="CB2" s="18"/>
      <c r="CI2" s="18"/>
    </row>
    <row r="3" spans="2:87" ht="15" customHeight="1" x14ac:dyDescent="0.2">
      <c r="B3" s="2" t="s">
        <v>0</v>
      </c>
      <c r="C3" s="3" t="s">
        <v>1</v>
      </c>
      <c r="D3" s="4" t="s">
        <v>3</v>
      </c>
      <c r="E3" s="14"/>
      <c r="F3" s="14"/>
      <c r="H3" s="5" t="s">
        <v>4</v>
      </c>
      <c r="I3" s="5"/>
      <c r="J3" s="5"/>
      <c r="K3" s="5"/>
      <c r="L3" s="5"/>
      <c r="M3" s="5"/>
      <c r="N3" s="5"/>
      <c r="S3" s="22" t="s">
        <v>9</v>
      </c>
      <c r="T3" s="23" t="s">
        <v>10</v>
      </c>
      <c r="U3" s="23" t="str">
        <f>IF($D$3="English","Addendum (a)/P", "Addendum (a)*m")</f>
        <v>Addendum (a)/P</v>
      </c>
      <c r="V3" s="24" t="str">
        <f>IF($D$3="English","Dedendum (b)/P", "Dedendum (b)*m")</f>
        <v>Dedendum (b)/P</v>
      </c>
      <c r="W3" t="s">
        <v>24</v>
      </c>
      <c r="X3" s="18"/>
      <c r="AE3" s="18"/>
      <c r="AL3" s="18"/>
      <c r="AS3" s="18"/>
      <c r="AZ3" s="18"/>
      <c r="BG3" s="18"/>
      <c r="BN3" s="18"/>
      <c r="BU3" s="18"/>
      <c r="CB3" s="18"/>
      <c r="CI3" s="18"/>
    </row>
    <row r="4" spans="2:87" ht="15" customHeight="1" x14ac:dyDescent="0.2">
      <c r="S4" s="25" t="s">
        <v>11</v>
      </c>
      <c r="T4" s="26">
        <v>20</v>
      </c>
      <c r="U4" s="26">
        <v>1</v>
      </c>
      <c r="V4" s="32">
        <v>1.25</v>
      </c>
      <c r="W4" t="s">
        <v>12</v>
      </c>
      <c r="X4" s="18"/>
      <c r="AE4" s="18"/>
      <c r="AL4" s="18"/>
      <c r="AS4" s="18"/>
      <c r="AZ4" s="18"/>
      <c r="BG4" s="18"/>
      <c r="BN4" s="18"/>
      <c r="BU4" s="18"/>
      <c r="CB4" s="18"/>
      <c r="CI4" s="18"/>
    </row>
    <row r="5" spans="2:87" ht="15" customHeight="1" x14ac:dyDescent="0.2">
      <c r="B5" s="6" t="s">
        <v>27</v>
      </c>
      <c r="C5" s="6"/>
      <c r="D5" s="6"/>
      <c r="H5" s="8" t="s">
        <v>34</v>
      </c>
      <c r="I5" s="8"/>
      <c r="J5" s="8"/>
      <c r="S5" s="25" t="s">
        <v>11</v>
      </c>
      <c r="T5" s="26">
        <v>22.5</v>
      </c>
      <c r="U5" s="26">
        <v>1</v>
      </c>
      <c r="V5" s="32">
        <v>1.25</v>
      </c>
      <c r="W5" t="s">
        <v>12</v>
      </c>
      <c r="X5" s="18"/>
      <c r="AE5" s="18"/>
      <c r="AL5" s="18"/>
      <c r="AS5" s="18"/>
      <c r="AZ5" s="18"/>
      <c r="BG5" s="18"/>
      <c r="BN5" s="18"/>
      <c r="BU5" s="18"/>
      <c r="CB5" s="18"/>
      <c r="CI5" s="18"/>
    </row>
    <row r="6" spans="2:87" ht="15" customHeight="1" x14ac:dyDescent="0.2">
      <c r="B6" s="10" t="s">
        <v>9</v>
      </c>
      <c r="C6" s="10" t="s">
        <v>11</v>
      </c>
      <c r="D6" s="10"/>
      <c r="H6" s="11" t="s">
        <v>20</v>
      </c>
      <c r="I6" s="41">
        <f>C24/C35</f>
        <v>2.5</v>
      </c>
      <c r="J6" s="16" t="s">
        <v>21</v>
      </c>
      <c r="S6" s="25" t="s">
        <v>11</v>
      </c>
      <c r="T6" s="26">
        <v>25</v>
      </c>
      <c r="U6" s="26">
        <v>1</v>
      </c>
      <c r="V6" s="32">
        <v>1.25</v>
      </c>
      <c r="W6" t="s">
        <v>12</v>
      </c>
      <c r="X6" s="18"/>
      <c r="AE6" s="18"/>
      <c r="AL6" s="18"/>
      <c r="AS6" s="18"/>
      <c r="AZ6" s="18"/>
      <c r="BG6" s="18"/>
      <c r="BN6" s="18"/>
      <c r="BU6" s="18"/>
      <c r="CB6" s="18"/>
      <c r="CI6" s="18"/>
    </row>
    <row r="7" spans="2:87" ht="15" customHeight="1" thickBot="1" x14ac:dyDescent="0.25">
      <c r="B7" s="10" t="s">
        <v>14</v>
      </c>
      <c r="C7" s="10">
        <v>20</v>
      </c>
      <c r="D7" s="10" t="s">
        <v>15</v>
      </c>
      <c r="H7" s="11" t="s">
        <v>19</v>
      </c>
      <c r="I7" s="11">
        <f>I26/2 + I37/2</f>
        <v>6.3</v>
      </c>
      <c r="J7" s="11" t="str">
        <f>IF($D$3="English","in", "mm")</f>
        <v>in</v>
      </c>
      <c r="S7" s="27" t="s">
        <v>13</v>
      </c>
      <c r="T7" s="28">
        <v>20</v>
      </c>
      <c r="U7" s="28">
        <v>0.8</v>
      </c>
      <c r="V7" s="33">
        <v>1</v>
      </c>
      <c r="X7" s="18"/>
      <c r="AE7" s="18"/>
      <c r="AL7" s="18"/>
      <c r="AS7" s="18"/>
      <c r="AZ7" s="18"/>
      <c r="BG7" s="18"/>
      <c r="BN7" s="18"/>
      <c r="BU7" s="18"/>
      <c r="CB7" s="18"/>
      <c r="CI7" s="18"/>
    </row>
    <row r="8" spans="2:87" ht="15" customHeight="1" x14ac:dyDescent="0.2">
      <c r="B8"/>
      <c r="C8"/>
      <c r="D8"/>
      <c r="H8" s="11" t="s">
        <v>17</v>
      </c>
      <c r="I8" s="11">
        <f>IF($D$3="English",VLOOKUP($C$7,$T$11:$V$13,2,FALSE)/I11, VLOOKUP($C$7,$T$11:$V$13,2,FALSE)*I11)</f>
        <v>0.2</v>
      </c>
      <c r="J8" s="11" t="str">
        <f>IF($D$3="English","in/tooth", "mm/tooth")</f>
        <v>in/tooth</v>
      </c>
      <c r="L8"/>
      <c r="AE8" s="18"/>
      <c r="AL8" s="18"/>
      <c r="AS8" s="18"/>
      <c r="AZ8" s="18"/>
      <c r="BG8" s="18"/>
      <c r="BN8" s="18"/>
      <c r="BU8" s="18"/>
      <c r="CB8" s="18"/>
      <c r="CI8" s="18"/>
    </row>
    <row r="9" spans="2:87" ht="15" customHeight="1" x14ac:dyDescent="0.2">
      <c r="H9" s="11" t="s">
        <v>18</v>
      </c>
      <c r="I9" s="11">
        <f>IF($D$3="English",VLOOKUP($C$7,$T$11:$V$13,3,FALSE)/I11, VLOOKUP($C$7,$T$11:$V$13,3,FALSE)*I11)</f>
        <v>0.25</v>
      </c>
      <c r="J9" s="11" t="str">
        <f>IF($D$3="English","in/tooth", "mm/tooth")</f>
        <v>in/tooth</v>
      </c>
      <c r="AE9" s="18"/>
      <c r="AL9" s="18"/>
      <c r="AS9" s="18"/>
      <c r="AZ9" s="18"/>
      <c r="BG9" s="18"/>
      <c r="BN9" s="18"/>
      <c r="BU9" s="18"/>
      <c r="CB9" s="18"/>
      <c r="CI9" s="18"/>
    </row>
    <row r="10" spans="2:87" ht="15" customHeight="1" thickBot="1" x14ac:dyDescent="0.25">
      <c r="H10" s="11" t="s">
        <v>22</v>
      </c>
      <c r="I10" s="11">
        <f>I9-I8</f>
        <v>4.9999999999999989E-2</v>
      </c>
      <c r="J10" s="11" t="str">
        <f>IF($D$3="English","in", "mm")</f>
        <v>in</v>
      </c>
      <c r="AE10" s="18"/>
      <c r="AL10" s="18"/>
      <c r="AS10" s="18"/>
      <c r="AZ10" s="18"/>
      <c r="BG10" s="18"/>
      <c r="BN10" s="18"/>
      <c r="BU10" s="18"/>
      <c r="CB10" s="18"/>
      <c r="CI10" s="18"/>
    </row>
    <row r="11" spans="2:87" ht="15" customHeight="1" x14ac:dyDescent="0.2">
      <c r="H11" s="11" t="str">
        <f>IF($D$3="English","Diametrial Pitch, P (N/d)", "Module, m (d/N)")</f>
        <v>Diametrial Pitch, P (N/d)</v>
      </c>
      <c r="I11" s="11">
        <f>C31</f>
        <v>5</v>
      </c>
      <c r="J11" s="16" t="str">
        <f>IF($D$3="English","teeth/in", "mm/tooth")</f>
        <v>teeth/in</v>
      </c>
      <c r="S11" s="39" t="str" cm="1">
        <f t="array" ref="S11:V13">_xlfn._xlws.FILTER(S4:V7,S4:S7=C6,S8:V10=NA())</f>
        <v>Full depth</v>
      </c>
      <c r="T11" s="34">
        <v>20</v>
      </c>
      <c r="U11" s="34">
        <v>1</v>
      </c>
      <c r="V11" s="36">
        <v>1.25</v>
      </c>
      <c r="AE11" s="18"/>
      <c r="AL11" s="18"/>
      <c r="AS11" s="18"/>
      <c r="AZ11" s="18"/>
      <c r="BG11" s="18"/>
      <c r="BN11" s="18"/>
      <c r="BU11" s="18"/>
      <c r="CB11" s="18"/>
      <c r="CI11" s="18"/>
    </row>
    <row r="12" spans="2:87" ht="15" customHeight="1" x14ac:dyDescent="0.2">
      <c r="H12" s="11" t="s">
        <v>23</v>
      </c>
      <c r="I12" s="40">
        <f>PI()*I26/I25</f>
        <v>0.62831853071795862</v>
      </c>
      <c r="J12" s="11" t="str">
        <f>IF($D$3="English","in", "mm")</f>
        <v>in</v>
      </c>
      <c r="S12" s="20" t="str">
        <v>Full depth</v>
      </c>
      <c r="T12" s="1">
        <v>22.5</v>
      </c>
      <c r="U12" s="1">
        <v>1</v>
      </c>
      <c r="V12" s="37">
        <v>1.25</v>
      </c>
      <c r="AE12" s="18"/>
      <c r="AL12" s="18"/>
      <c r="AS12" s="18"/>
      <c r="AZ12" s="18"/>
      <c r="BG12" s="18"/>
      <c r="BN12" s="18"/>
      <c r="BU12" s="18"/>
      <c r="CB12" s="18"/>
      <c r="CI12" s="18"/>
    </row>
    <row r="13" spans="2:87" ht="15" customHeight="1" thickBot="1" x14ac:dyDescent="0.25">
      <c r="H13" s="11" t="s">
        <v>49</v>
      </c>
      <c r="I13" s="41">
        <f>I24*I26/2</f>
        <v>339.29200658769764</v>
      </c>
      <c r="J13" s="11" t="str">
        <f>IF($D$3="English","in/s", "mm/s")</f>
        <v>in/s</v>
      </c>
      <c r="S13" s="21" t="str">
        <v>Full depth</v>
      </c>
      <c r="T13" s="35">
        <v>25</v>
      </c>
      <c r="U13" s="35">
        <v>1</v>
      </c>
      <c r="V13" s="38">
        <v>1.25</v>
      </c>
      <c r="AE13" s="18"/>
      <c r="AL13" s="18"/>
      <c r="AS13" s="18"/>
      <c r="AZ13" s="18"/>
      <c r="BG13" s="18"/>
      <c r="BN13" s="18"/>
      <c r="BU13" s="18"/>
      <c r="CB13" s="18"/>
      <c r="CI13" s="18"/>
    </row>
    <row r="14" spans="2:87" ht="15" customHeight="1" x14ac:dyDescent="0.2">
      <c r="H14" s="11"/>
      <c r="I14" s="41">
        <f>IF($D$3="English",I13*(1/12)*60, I13*60)</f>
        <v>1696.460032938488</v>
      </c>
      <c r="J14" s="11" t="str">
        <f>IF($D$3="English","ft/min", "mm/min")</f>
        <v>ft/min</v>
      </c>
      <c r="S14" s="1"/>
      <c r="X14" s="18"/>
      <c r="AE14" s="18"/>
      <c r="AL14" s="18"/>
      <c r="AS14" s="18"/>
      <c r="AZ14" s="18"/>
      <c r="BG14" s="18"/>
      <c r="BN14" s="18"/>
      <c r="BU14" s="18"/>
      <c r="CB14" s="18"/>
      <c r="CI14" s="18"/>
    </row>
    <row r="15" spans="2:87" ht="15" customHeight="1" x14ac:dyDescent="0.2">
      <c r="H15" s="11" t="s">
        <v>47</v>
      </c>
      <c r="I15" s="41">
        <f>IF($D$3="English",33000, 60000)*C20/I14</f>
        <v>622.47266631496859</v>
      </c>
      <c r="J15" s="11" t="str">
        <f>IF($D$3="English","lbf", "kN")</f>
        <v>lbf</v>
      </c>
      <c r="S15" s="1"/>
      <c r="X15" s="18"/>
      <c r="AE15" s="18"/>
      <c r="AL15" s="18"/>
      <c r="AS15" s="18"/>
      <c r="AZ15" s="18"/>
      <c r="BG15" s="18"/>
      <c r="BN15" s="18"/>
      <c r="BU15" s="18"/>
      <c r="CB15" s="18"/>
      <c r="CI15" s="18"/>
    </row>
    <row r="16" spans="2:87" ht="15" customHeight="1" x14ac:dyDescent="0.2">
      <c r="H16" s="11" t="s">
        <v>50</v>
      </c>
      <c r="I16" s="41">
        <f>I15*TAN(RADIANS(C7))</f>
        <v>226.56152218296671</v>
      </c>
      <c r="J16" s="11" t="str">
        <f>IF($D$3="English","lbf", "kN")</f>
        <v>lbf</v>
      </c>
      <c r="S16" s="1"/>
      <c r="X16" s="18"/>
      <c r="AE16" s="18"/>
      <c r="AL16" s="18"/>
      <c r="AS16" s="18"/>
      <c r="AZ16" s="18"/>
      <c r="BG16" s="18"/>
      <c r="BN16" s="18"/>
      <c r="BU16" s="18"/>
      <c r="CB16" s="18"/>
      <c r="CI16" s="18"/>
    </row>
    <row r="17" spans="2:87" ht="15" customHeight="1" x14ac:dyDescent="0.2">
      <c r="H17" s="11" t="s">
        <v>52</v>
      </c>
      <c r="I17" s="41">
        <f>I15*I26/2</f>
        <v>1120.4507993669436</v>
      </c>
      <c r="J17" s="11" t="str">
        <f>IF($D$3="English","in-lbf", "N-m")</f>
        <v>in-lbf</v>
      </c>
      <c r="S17" s="1"/>
      <c r="X17" s="18"/>
      <c r="AL17" s="18"/>
      <c r="AS17" s="18"/>
      <c r="AZ17" s="18"/>
      <c r="BG17" s="18"/>
      <c r="BN17" s="18"/>
      <c r="BU17" s="18"/>
      <c r="CB17" s="18"/>
      <c r="CI17" s="18"/>
    </row>
    <row r="18" spans="2:87" ht="15" customHeight="1" x14ac:dyDescent="0.2">
      <c r="H18" s="11"/>
      <c r="I18" s="41">
        <f>IF($D$3="English",I17*(1/12), I17)</f>
        <v>93.370899947245292</v>
      </c>
      <c r="J18" s="11" t="str">
        <f>IF($D$3="English","ft-lbf", "N-m")</f>
        <v>ft-lbf</v>
      </c>
      <c r="S18" s="1"/>
      <c r="X18" s="18"/>
      <c r="AL18" s="18"/>
      <c r="AS18" s="18"/>
      <c r="AZ18" s="18"/>
      <c r="BG18" s="18"/>
      <c r="BN18" s="18"/>
      <c r="BU18" s="18"/>
      <c r="CB18" s="18"/>
      <c r="CI18" s="18"/>
    </row>
    <row r="19" spans="2:87" ht="15" customHeight="1" x14ac:dyDescent="0.2">
      <c r="B19" s="6" t="s">
        <v>51</v>
      </c>
      <c r="C19" s="6"/>
      <c r="D19" s="6"/>
      <c r="H19" s="11" t="s">
        <v>53</v>
      </c>
      <c r="I19" s="41">
        <f>I15*I37/2</f>
        <v>2801.1269984173587</v>
      </c>
      <c r="J19" s="11" t="str">
        <f>IF($D$3="English","in-lbf", "N-m")</f>
        <v>in-lbf</v>
      </c>
      <c r="S19" s="1"/>
      <c r="X19" s="18"/>
      <c r="AL19" s="18"/>
      <c r="AS19" s="18"/>
      <c r="AZ19" s="18"/>
      <c r="BG19" s="18"/>
      <c r="BN19" s="18"/>
      <c r="BU19" s="18"/>
      <c r="CB19" s="18"/>
      <c r="CI19" s="18"/>
    </row>
    <row r="20" spans="2:87" ht="15" customHeight="1" x14ac:dyDescent="0.2">
      <c r="B20" s="10" t="s">
        <v>48</v>
      </c>
      <c r="C20" s="10">
        <v>32</v>
      </c>
      <c r="D20" s="10" t="str">
        <f>IF($D$3="English","hp", "kN")</f>
        <v>hp</v>
      </c>
      <c r="H20" s="11"/>
      <c r="I20" s="41">
        <f>IF($D$3="English",I19*(1/12), I19)</f>
        <v>233.42724986811322</v>
      </c>
      <c r="J20" s="11" t="str">
        <f>IF($D$3="English","ft-lbf", "N-m")</f>
        <v>ft-lbf</v>
      </c>
      <c r="S20" s="1"/>
      <c r="X20" s="18"/>
      <c r="AL20" s="18"/>
      <c r="AS20" s="18"/>
      <c r="AZ20" s="18"/>
      <c r="BG20" s="18"/>
      <c r="BN20" s="18"/>
      <c r="BU20" s="18"/>
      <c r="CB20" s="18"/>
      <c r="CI20" s="18"/>
    </row>
    <row r="21" spans="2:87" ht="15" customHeight="1" x14ac:dyDescent="0.2">
      <c r="L21" s="8" t="s">
        <v>54</v>
      </c>
      <c r="M21" s="8"/>
      <c r="N21" s="8"/>
      <c r="S21" s="1"/>
      <c r="X21" s="18"/>
      <c r="AL21" s="18"/>
      <c r="AS21" s="18"/>
      <c r="AZ21" s="18"/>
      <c r="BG21" s="18"/>
      <c r="BN21" s="18"/>
      <c r="BU21" s="18"/>
      <c r="CB21" s="18"/>
      <c r="CI21" s="18"/>
    </row>
    <row r="22" spans="2:87" ht="15" customHeight="1" x14ac:dyDescent="0.2">
      <c r="B22" s="6" t="s">
        <v>25</v>
      </c>
      <c r="C22" s="6"/>
      <c r="D22" s="6"/>
      <c r="E22" s="6"/>
      <c r="F22" s="6"/>
      <c r="H22" s="8" t="s">
        <v>33</v>
      </c>
      <c r="I22" s="9"/>
      <c r="J22" s="9"/>
      <c r="L22" s="10" t="s">
        <v>62</v>
      </c>
      <c r="M22" s="10">
        <v>3</v>
      </c>
      <c r="N22" s="10" t="s">
        <v>59</v>
      </c>
      <c r="S22" s="1"/>
      <c r="X22" s="18"/>
      <c r="AL22" s="18"/>
      <c r="AS22" s="18"/>
      <c r="AZ22" s="18"/>
      <c r="BG22" s="18"/>
      <c r="BN22" s="18"/>
      <c r="BU22" s="18"/>
      <c r="CB22" s="18"/>
      <c r="CI22" s="18"/>
    </row>
    <row r="23" spans="2:87" ht="15" customHeight="1" x14ac:dyDescent="0.2">
      <c r="B23" s="10" t="s">
        <v>39</v>
      </c>
      <c r="C23" s="10">
        <v>1800</v>
      </c>
      <c r="D23" s="10" t="s">
        <v>2</v>
      </c>
      <c r="E23" s="10" t="s">
        <v>7</v>
      </c>
      <c r="F23" s="12" t="b">
        <f>NOT(C23=0)</f>
        <v>1</v>
      </c>
      <c r="H23" s="11" t="s">
        <v>39</v>
      </c>
      <c r="I23" s="11">
        <f>C24</f>
        <v>1800</v>
      </c>
      <c r="J23" s="11" t="s">
        <v>2</v>
      </c>
      <c r="L23" s="10" t="s">
        <v>58</v>
      </c>
      <c r="M23" s="10">
        <v>6</v>
      </c>
      <c r="N23" s="10" t="s">
        <v>59</v>
      </c>
      <c r="S23" s="1"/>
      <c r="X23" s="18"/>
      <c r="AL23" s="18"/>
      <c r="AS23" s="18"/>
      <c r="AZ23" s="18"/>
      <c r="BG23" s="18"/>
      <c r="BN23" s="18"/>
      <c r="BU23" s="18"/>
      <c r="CB23" s="18"/>
      <c r="CI23" s="18"/>
    </row>
    <row r="24" spans="2:87" ht="15" customHeight="1" x14ac:dyDescent="0.2">
      <c r="B24" s="11"/>
      <c r="C24" s="42">
        <f>IF(F23,C23,C35*(C40/C29))</f>
        <v>1800</v>
      </c>
      <c r="D24" s="11" t="s">
        <v>2</v>
      </c>
      <c r="H24" s="11" t="s">
        <v>28</v>
      </c>
      <c r="I24" s="41">
        <f>C25</f>
        <v>188.49555921538757</v>
      </c>
      <c r="J24" s="11" t="s">
        <v>40</v>
      </c>
      <c r="L24" s="11" t="s">
        <v>57</v>
      </c>
      <c r="M24" s="41" cm="1">
        <f t="array" ref="M24">-SQRT(SUM(I15:I16^2))</f>
        <v>-662.42157546620501</v>
      </c>
      <c r="N24" s="11" t="s">
        <v>60</v>
      </c>
      <c r="X24" s="18"/>
      <c r="AL24" s="18"/>
      <c r="AS24" s="18"/>
      <c r="AZ24" s="18"/>
      <c r="BG24" s="18"/>
      <c r="BN24" s="18"/>
      <c r="BU24" s="18"/>
      <c r="CB24" s="18"/>
      <c r="CI24" s="18"/>
    </row>
    <row r="25" spans="2:87" ht="15" customHeight="1" x14ac:dyDescent="0.2">
      <c r="B25" s="11" t="s">
        <v>28</v>
      </c>
      <c r="C25" s="41">
        <f>C24*PI()/30</f>
        <v>188.49555921538757</v>
      </c>
      <c r="D25" s="11" t="s">
        <v>40</v>
      </c>
      <c r="H25" s="11" t="s">
        <v>29</v>
      </c>
      <c r="I25" s="11">
        <f>C27</f>
        <v>18</v>
      </c>
      <c r="J25" s="16" t="s">
        <v>6</v>
      </c>
      <c r="L25" s="11" t="s">
        <v>56</v>
      </c>
      <c r="M25" s="41">
        <f>-M24*M22/M23</f>
        <v>331.21078773310251</v>
      </c>
      <c r="N25" s="11" t="s">
        <v>60</v>
      </c>
      <c r="O25" s="43" t="s">
        <v>68</v>
      </c>
      <c r="X25" s="18"/>
      <c r="AL25" s="18"/>
      <c r="AS25" s="18"/>
      <c r="AZ25" s="18"/>
      <c r="BG25" s="18"/>
      <c r="BN25" s="18"/>
      <c r="BU25" s="18"/>
      <c r="CB25" s="18"/>
      <c r="CI25" s="18"/>
    </row>
    <row r="26" spans="2:87" ht="15" customHeight="1" x14ac:dyDescent="0.2">
      <c r="B26" s="10" t="s">
        <v>29</v>
      </c>
      <c r="C26" s="10">
        <v>18</v>
      </c>
      <c r="D26" s="15" t="s">
        <v>6</v>
      </c>
      <c r="E26" s="10" t="s">
        <v>8</v>
      </c>
      <c r="F26" s="12" t="b">
        <f>NOT(C26=0)</f>
        <v>1</v>
      </c>
      <c r="H26" s="11" t="s">
        <v>30</v>
      </c>
      <c r="I26" s="11">
        <f>C29</f>
        <v>3.6</v>
      </c>
      <c r="J26" s="11" t="str">
        <f>IF($D$3="English","in", "mm")</f>
        <v>in</v>
      </c>
      <c r="L26" s="11" t="s">
        <v>55</v>
      </c>
      <c r="M26" s="41">
        <f>SUM(M24:M25)</f>
        <v>-331.21078773310251</v>
      </c>
      <c r="N26" s="11" t="s">
        <v>60</v>
      </c>
      <c r="X26" s="18"/>
      <c r="AL26" s="18"/>
      <c r="AS26" s="18"/>
      <c r="AZ26" s="18"/>
      <c r="BG26" s="18"/>
      <c r="BN26" s="18"/>
      <c r="BU26" s="18"/>
      <c r="CB26" s="18"/>
      <c r="CI26" s="18"/>
    </row>
    <row r="27" spans="2:87" ht="15" customHeight="1" x14ac:dyDescent="0.2">
      <c r="B27" s="11"/>
      <c r="C27" s="11">
        <f>IF(F26,C26,IF($D$3="English",C31*C29,(C31^-1)*C29))</f>
        <v>18</v>
      </c>
      <c r="D27" s="16" t="s">
        <v>6</v>
      </c>
      <c r="H27" s="11" t="s">
        <v>41</v>
      </c>
      <c r="I27" s="11">
        <f>I26/2</f>
        <v>1.8</v>
      </c>
      <c r="J27" s="11" t="str">
        <f>IF($D$3="English","in", "mm")</f>
        <v>in</v>
      </c>
      <c r="L27" s="10" t="s">
        <v>61</v>
      </c>
      <c r="M27" s="10">
        <v>3</v>
      </c>
      <c r="N27" s="10" t="s">
        <v>59</v>
      </c>
      <c r="X27" s="18"/>
      <c r="AL27" s="18"/>
      <c r="AS27" s="18"/>
      <c r="AZ27" s="18"/>
      <c r="BG27" s="18"/>
      <c r="BN27" s="18"/>
      <c r="BU27" s="18"/>
      <c r="CB27" s="18"/>
      <c r="CI27" s="18"/>
    </row>
    <row r="28" spans="2:87" ht="15" customHeight="1" x14ac:dyDescent="0.2">
      <c r="B28" s="10" t="s">
        <v>30</v>
      </c>
      <c r="C28" s="10"/>
      <c r="D28" s="10" t="str">
        <f>IF($D$3="English","in", "mm")</f>
        <v>in</v>
      </c>
      <c r="E28" s="14" t="s">
        <v>5</v>
      </c>
      <c r="F28" s="13" t="b">
        <v>0</v>
      </c>
      <c r="H28" s="11" t="s">
        <v>42</v>
      </c>
      <c r="I28" s="40">
        <f>I26*COS(RADIANS($C$7))</f>
        <v>3.3828934348292705</v>
      </c>
      <c r="J28" s="11" t="str">
        <f>IF($D$3="English","in", "mm")</f>
        <v>in</v>
      </c>
      <c r="L28" s="10" t="s">
        <v>63</v>
      </c>
      <c r="M28" s="10">
        <v>6</v>
      </c>
      <c r="N28" s="10" t="s">
        <v>59</v>
      </c>
      <c r="X28" s="18"/>
      <c r="AL28" s="18"/>
      <c r="AS28" s="18"/>
      <c r="AZ28" s="18"/>
      <c r="BG28" s="18"/>
      <c r="BN28" s="18"/>
      <c r="BU28" s="18"/>
      <c r="CB28" s="18"/>
      <c r="CI28" s="18"/>
    </row>
    <row r="29" spans="2:87" ht="15" customHeight="1" x14ac:dyDescent="0.2">
      <c r="B29" s="11"/>
      <c r="C29" s="11">
        <f>IF(F28,C28,IF(F26,IF($D$3="English",(C31^-1)*C26, C31*C26),C40*(C35/C24)))</f>
        <v>3.6</v>
      </c>
      <c r="D29" s="11" t="str">
        <f>IF($D$3="English","in", "mm")</f>
        <v>in</v>
      </c>
      <c r="H29" s="11" t="s">
        <v>44</v>
      </c>
      <c r="I29" s="40">
        <f>I28/2</f>
        <v>1.6914467174146353</v>
      </c>
      <c r="J29" s="11" t="str">
        <f>IF($D$3="English","in", "mm")</f>
        <v>in</v>
      </c>
      <c r="L29" s="11" t="s">
        <v>64</v>
      </c>
      <c r="M29" s="41" cm="1">
        <f t="array" ref="M29">SQRT(SUM(I15:I16^2))</f>
        <v>662.42157546620501</v>
      </c>
      <c r="N29" s="11" t="s">
        <v>60</v>
      </c>
      <c r="X29" s="18"/>
      <c r="AL29" s="18"/>
      <c r="AS29" s="18"/>
      <c r="AZ29" s="18"/>
      <c r="BG29" s="18"/>
      <c r="BN29" s="18"/>
      <c r="BU29" s="18"/>
      <c r="CB29" s="18"/>
      <c r="CI29" s="18"/>
    </row>
    <row r="30" spans="2:87" ht="15" customHeight="1" x14ac:dyDescent="0.2">
      <c r="B30" s="10" t="str">
        <f>IF($D$3="English","Diametrial Pitch, P (N/d)", "Module, m (d/N)")</f>
        <v>Diametrial Pitch, P (N/d)</v>
      </c>
      <c r="C30" s="10">
        <v>5</v>
      </c>
      <c r="D30" s="15" t="str">
        <f>IF($D$3="English","teeth/in", "mm/tooth")</f>
        <v>teeth/in</v>
      </c>
      <c r="E30" s="14" t="str">
        <f>IF($D$3="English","P known", "m known")</f>
        <v>P known</v>
      </c>
      <c r="F30" s="12" t="b">
        <f>NOT(F28)</f>
        <v>1</v>
      </c>
      <c r="L30" s="11" t="s">
        <v>65</v>
      </c>
      <c r="M30" s="41">
        <f>-M29*M27/M28</f>
        <v>-331.21078773310251</v>
      </c>
      <c r="N30" s="11" t="s">
        <v>60</v>
      </c>
      <c r="O30" s="43" t="s">
        <v>67</v>
      </c>
      <c r="X30" s="18"/>
      <c r="AL30" s="18"/>
      <c r="AS30" s="18"/>
      <c r="AZ30" s="18"/>
      <c r="BG30" s="18"/>
      <c r="BN30" s="18"/>
      <c r="BU30" s="18"/>
      <c r="CB30" s="18"/>
      <c r="CI30" s="18"/>
    </row>
    <row r="31" spans="2:87" ht="15" customHeight="1" x14ac:dyDescent="0.25">
      <c r="B31" s="11"/>
      <c r="C31" s="11">
        <f>IF(F30,IF(F31,IF(F42,"Pitch Wrong",C42),C30),IF($D$3="English",C26/C29, C29/C26))</f>
        <v>5</v>
      </c>
      <c r="D31" s="16" t="str">
        <f>IF($D$3="English","teeth/in", "mm/tooth")</f>
        <v>teeth/in</v>
      </c>
      <c r="E31" s="14" t="s">
        <v>31</v>
      </c>
      <c r="F31" s="19" t="b">
        <v>0</v>
      </c>
      <c r="L31" s="11" t="s">
        <v>66</v>
      </c>
      <c r="M31" s="41">
        <f>SUM(M29:M30)</f>
        <v>331.21078773310251</v>
      </c>
      <c r="N31" s="11" t="s">
        <v>60</v>
      </c>
      <c r="X31" s="18"/>
      <c r="AL31" s="18"/>
      <c r="AS31" s="18"/>
      <c r="AZ31" s="18"/>
      <c r="BG31" s="18"/>
      <c r="BN31" s="18"/>
      <c r="BU31" s="18"/>
      <c r="CB31" s="18"/>
      <c r="CI31" s="18"/>
    </row>
    <row r="32" spans="2:87" ht="15" customHeight="1" x14ac:dyDescent="0.2">
      <c r="X32" s="18"/>
      <c r="AL32" s="18"/>
      <c r="AS32" s="18"/>
      <c r="AZ32" s="18"/>
      <c r="BG32" s="18"/>
      <c r="BN32" s="18"/>
      <c r="BU32" s="18"/>
      <c r="CB32" s="18"/>
      <c r="CI32" s="18"/>
    </row>
    <row r="33" spans="2:87" ht="15" customHeight="1" x14ac:dyDescent="0.2">
      <c r="B33" s="6" t="s">
        <v>26</v>
      </c>
      <c r="C33" s="6"/>
      <c r="D33" s="6"/>
      <c r="E33" s="6"/>
      <c r="F33" s="6"/>
      <c r="H33" s="8" t="s">
        <v>32</v>
      </c>
      <c r="I33" s="9"/>
      <c r="J33" s="9"/>
      <c r="L33" s="8" t="s">
        <v>69</v>
      </c>
      <c r="M33" s="8"/>
      <c r="N33" s="8"/>
      <c r="Q33" s="1"/>
      <c r="X33" s="18"/>
      <c r="AL33" s="18"/>
      <c r="AS33" s="18"/>
      <c r="AZ33" s="18"/>
      <c r="BG33" s="18"/>
      <c r="BN33" s="18"/>
      <c r="BU33" s="18"/>
      <c r="CB33" s="18"/>
      <c r="CI33" s="18"/>
    </row>
    <row r="34" spans="2:87" ht="15" customHeight="1" x14ac:dyDescent="0.2">
      <c r="B34" s="10" t="s">
        <v>38</v>
      </c>
      <c r="C34" s="10"/>
      <c r="D34" s="10" t="s">
        <v>2</v>
      </c>
      <c r="E34" s="10" t="s">
        <v>7</v>
      </c>
      <c r="F34" s="12" t="b">
        <f>NOT(C34=0)</f>
        <v>0</v>
      </c>
      <c r="H34" s="11" t="s">
        <v>38</v>
      </c>
      <c r="I34" s="11">
        <f>C35</f>
        <v>720</v>
      </c>
      <c r="J34" s="11" t="s">
        <v>2</v>
      </c>
      <c r="L34" s="17" t="s">
        <v>70</v>
      </c>
      <c r="M34" s="17"/>
      <c r="N34" s="17"/>
      <c r="Q34" s="1"/>
      <c r="X34" s="18"/>
      <c r="AL34" s="18"/>
      <c r="AS34" s="18"/>
      <c r="AZ34" s="18"/>
      <c r="BG34" s="18"/>
      <c r="BN34" s="18"/>
      <c r="BU34" s="18"/>
      <c r="CB34" s="18"/>
      <c r="CI34" s="18"/>
    </row>
    <row r="35" spans="2:87" ht="15" customHeight="1" x14ac:dyDescent="0.2">
      <c r="B35" s="11"/>
      <c r="C35" s="42">
        <f>IF(F34,C34,C24*(C29/C40))</f>
        <v>720</v>
      </c>
      <c r="D35" s="11" t="s">
        <v>2</v>
      </c>
      <c r="H35" s="11" t="s">
        <v>35</v>
      </c>
      <c r="I35" s="41">
        <f>C36</f>
        <v>75.398223686155035</v>
      </c>
      <c r="J35" s="11" t="s">
        <v>40</v>
      </c>
      <c r="L35" s="17" t="s">
        <v>71</v>
      </c>
      <c r="M35" s="17"/>
      <c r="N35" s="17"/>
      <c r="Q35" s="1"/>
      <c r="X35" s="18"/>
      <c r="AL35" s="18"/>
      <c r="AS35" s="18"/>
      <c r="AZ35" s="18"/>
      <c r="BG35" s="18"/>
      <c r="BN35" s="18"/>
      <c r="BU35" s="18"/>
      <c r="CB35" s="18"/>
      <c r="CI35" s="18"/>
    </row>
    <row r="36" spans="2:87" ht="15" customHeight="1" x14ac:dyDescent="0.2">
      <c r="B36" s="11" t="s">
        <v>35</v>
      </c>
      <c r="C36" s="41">
        <f>C35*PI()/30</f>
        <v>75.398223686155035</v>
      </c>
      <c r="D36" s="11" t="s">
        <v>40</v>
      </c>
      <c r="H36" s="11" t="s">
        <v>36</v>
      </c>
      <c r="I36" s="11">
        <f>C38</f>
        <v>45</v>
      </c>
      <c r="J36" s="16" t="s">
        <v>6</v>
      </c>
      <c r="L36" s="10" t="s">
        <v>72</v>
      </c>
      <c r="M36" s="10">
        <v>4</v>
      </c>
      <c r="N36" s="15" t="s">
        <v>21</v>
      </c>
      <c r="Q36" s="1"/>
      <c r="X36" s="18"/>
      <c r="AE36" s="18"/>
      <c r="AL36" s="18"/>
      <c r="AS36" s="18"/>
      <c r="AZ36" s="18"/>
      <c r="BG36" s="18"/>
      <c r="BN36" s="18"/>
      <c r="BU36" s="18"/>
      <c r="CB36" s="18"/>
      <c r="CI36" s="18"/>
    </row>
    <row r="37" spans="2:87" ht="15" customHeight="1" x14ac:dyDescent="0.2">
      <c r="B37" s="10" t="s">
        <v>36</v>
      </c>
      <c r="C37" s="10">
        <v>45</v>
      </c>
      <c r="D37" s="15" t="s">
        <v>6</v>
      </c>
      <c r="E37" s="10" t="s">
        <v>8</v>
      </c>
      <c r="F37" s="12" t="b">
        <f>NOT(C37=0)</f>
        <v>1</v>
      </c>
      <c r="H37" s="11" t="s">
        <v>37</v>
      </c>
      <c r="I37" s="11">
        <f>C40</f>
        <v>9</v>
      </c>
      <c r="J37" s="11" t="str">
        <f>IF($D$3="English","in", "mm")</f>
        <v>in</v>
      </c>
      <c r="L37" s="10" t="s">
        <v>73</v>
      </c>
      <c r="M37" s="44">
        <v>0.95</v>
      </c>
      <c r="N37" s="15" t="s">
        <v>21</v>
      </c>
      <c r="Q37" s="1"/>
      <c r="X37" s="18"/>
      <c r="AE37" s="18"/>
      <c r="AL37" s="18"/>
      <c r="AS37" s="18"/>
      <c r="AZ37" s="18"/>
      <c r="BG37" s="18"/>
      <c r="BN37" s="18"/>
      <c r="BU37" s="18"/>
      <c r="CB37" s="18"/>
      <c r="CI37" s="18"/>
    </row>
    <row r="38" spans="2:87" ht="15" customHeight="1" x14ac:dyDescent="0.2">
      <c r="B38" s="11"/>
      <c r="C38" s="11">
        <f>IF(F37,C37,IF($D$3="English",C42*C40,(C42^-1)*C40))</f>
        <v>45</v>
      </c>
      <c r="D38" s="16" t="s">
        <v>6</v>
      </c>
      <c r="H38" s="11" t="s">
        <v>46</v>
      </c>
      <c r="I38" s="11">
        <f>I37/2</f>
        <v>4.5</v>
      </c>
      <c r="J38" s="11" t="str">
        <f>IF($D$3="English","in", "mm")</f>
        <v>in</v>
      </c>
      <c r="L38" s="11" t="s">
        <v>74</v>
      </c>
      <c r="M38" s="45">
        <f>(M37)^(1/M36)</f>
        <v>0.98725854490143383</v>
      </c>
      <c r="N38" s="16" t="s">
        <v>21</v>
      </c>
      <c r="Q38" s="1"/>
      <c r="X38" s="18"/>
      <c r="AE38" s="18"/>
      <c r="AL38" s="18"/>
      <c r="AS38" s="18"/>
      <c r="AZ38" s="18"/>
      <c r="BG38" s="18"/>
      <c r="BN38" s="18"/>
      <c r="BU38" s="18"/>
      <c r="CB38" s="18"/>
      <c r="CI38" s="18"/>
    </row>
    <row r="39" spans="2:87" ht="15" customHeight="1" x14ac:dyDescent="0.2">
      <c r="B39" s="10" t="s">
        <v>37</v>
      </c>
      <c r="C39" s="10"/>
      <c r="D39" s="10" t="str">
        <f>IF($D$3="English","in", "mm")</f>
        <v>in</v>
      </c>
      <c r="E39" s="14" t="s">
        <v>5</v>
      </c>
      <c r="F39" s="13" t="b">
        <v>0</v>
      </c>
      <c r="H39" s="11" t="s">
        <v>43</v>
      </c>
      <c r="I39" s="41">
        <f>I37*COS(RADIANS($C$7))</f>
        <v>8.4572335870731763</v>
      </c>
      <c r="J39" s="11" t="str">
        <f>IF($D$3="English","in", "mm")</f>
        <v>in</v>
      </c>
      <c r="L39" s="11" t="s">
        <v>164</v>
      </c>
      <c r="M39" s="11">
        <f>'L18 Comb. Lds Bearings Q25 A&amp;B'!I24</f>
        <v>19.5</v>
      </c>
      <c r="N39" s="11" t="s">
        <v>78</v>
      </c>
      <c r="O39" s="17" t="s">
        <v>166</v>
      </c>
      <c r="Q39" s="1"/>
      <c r="X39" s="18"/>
      <c r="AE39" s="18"/>
      <c r="AL39" s="18"/>
      <c r="AS39" s="18"/>
      <c r="AZ39" s="18"/>
      <c r="BG39" s="18"/>
      <c r="BN39" s="18"/>
      <c r="BU39" s="18"/>
      <c r="CB39" s="18"/>
      <c r="CI39" s="18"/>
    </row>
    <row r="40" spans="2:87" ht="15" customHeight="1" x14ac:dyDescent="0.2">
      <c r="B40" s="11"/>
      <c r="C40" s="11">
        <f>IF(F39,C39,IF(F37,IF($D$3="English",(C42^-1)*C37, C42*C37),C29*(C24/C35)))</f>
        <v>9</v>
      </c>
      <c r="D40" s="11" t="str">
        <f>IF($D$3="English","in", "mm")</f>
        <v>in</v>
      </c>
      <c r="H40" s="11" t="s">
        <v>45</v>
      </c>
      <c r="I40" s="41">
        <f>I39/2</f>
        <v>4.2286167935365881</v>
      </c>
      <c r="J40" s="11" t="str">
        <f>IF($D$3="English","in", "mm")</f>
        <v>in</v>
      </c>
      <c r="L40" s="11" t="s">
        <v>165</v>
      </c>
      <c r="M40" s="11">
        <f>'L18 Comb. Lds Bearings Q25 C&amp;D'!I24</f>
        <v>14</v>
      </c>
      <c r="N40" s="11" t="s">
        <v>78</v>
      </c>
      <c r="O40" s="17" t="s">
        <v>166</v>
      </c>
      <c r="Q40" s="1"/>
      <c r="X40" s="18"/>
      <c r="AE40" s="18"/>
      <c r="AL40" s="18"/>
      <c r="AS40" s="18"/>
      <c r="AZ40" s="18"/>
      <c r="BG40" s="18"/>
      <c r="BN40" s="18"/>
      <c r="BU40" s="18"/>
      <c r="CB40" s="18"/>
      <c r="CI40" s="18"/>
    </row>
    <row r="41" spans="2:87" ht="15" customHeight="1" x14ac:dyDescent="0.2">
      <c r="B41" s="10" t="str">
        <f>IF($D$3="English","Diametrial Pitch, P (N/d)", "Module, m (d/N)")</f>
        <v>Diametrial Pitch, P (N/d)</v>
      </c>
      <c r="C41" s="10"/>
      <c r="D41" s="10" t="str">
        <f>IF($D$3="English","teeth/in", "mm/tooth")</f>
        <v>teeth/in</v>
      </c>
      <c r="E41" s="14" t="str">
        <f>IF($D$3="English","P known", "m known")</f>
        <v>P known</v>
      </c>
      <c r="F41" s="12" t="b">
        <f>NOT(F39)</f>
        <v>1</v>
      </c>
      <c r="Q41" s="1"/>
      <c r="X41" s="18"/>
      <c r="AE41" s="18"/>
      <c r="AL41" s="18"/>
      <c r="AS41" s="18"/>
      <c r="AZ41" s="18"/>
      <c r="BG41" s="18"/>
      <c r="BN41" s="18"/>
      <c r="BU41" s="18"/>
      <c r="CB41" s="18"/>
      <c r="CI41" s="18"/>
    </row>
    <row r="42" spans="2:87" ht="15" customHeight="1" x14ac:dyDescent="0.25">
      <c r="B42" s="11"/>
      <c r="C42" s="11">
        <f>IF(F41,IF(F42,IF(F31,"Pitch Wrong",C31),C41),IF($D$3="English",C37/C40, C40/C37))</f>
        <v>5</v>
      </c>
      <c r="D42" s="11" t="str">
        <f>IF($D$3="English","teeth/in", "mm/tooth")</f>
        <v>teeth/in</v>
      </c>
      <c r="E42" s="14" t="s">
        <v>31</v>
      </c>
      <c r="F42" s="19" t="b">
        <v>1</v>
      </c>
      <c r="X42" s="18"/>
      <c r="AE42" s="18"/>
      <c r="AL42" s="18"/>
      <c r="AS42" s="18"/>
      <c r="AZ42" s="18"/>
      <c r="BG42" s="18"/>
      <c r="BN42" s="18"/>
      <c r="BU42" s="18"/>
      <c r="CB42" s="18"/>
      <c r="CI42" s="18"/>
    </row>
    <row r="43" spans="2:87" ht="15" customHeight="1" x14ac:dyDescent="0.2">
      <c r="X43" s="18"/>
      <c r="AE43" s="18"/>
      <c r="AL43" s="18"/>
      <c r="AS43" s="18"/>
      <c r="AZ43" s="18"/>
      <c r="BG43" s="18"/>
      <c r="BN43" s="18"/>
      <c r="BU43" s="18"/>
      <c r="CB43" s="18"/>
      <c r="CI43" s="18"/>
    </row>
    <row r="44" spans="2:87" ht="15" customHeight="1" x14ac:dyDescent="0.2">
      <c r="X44" s="18"/>
      <c r="AE44" s="18"/>
      <c r="AL44" s="18"/>
      <c r="AS44" s="18"/>
      <c r="AZ44" s="18"/>
      <c r="BG44" s="18"/>
      <c r="BN44" s="18"/>
      <c r="BU44" s="18"/>
      <c r="CB44" s="18"/>
      <c r="CI44" s="18"/>
    </row>
    <row r="45" spans="2:87" ht="15" customHeight="1" x14ac:dyDescent="0.2">
      <c r="X45" s="18"/>
      <c r="AE45" s="18"/>
      <c r="AL45" s="18"/>
      <c r="AS45" s="18"/>
      <c r="AZ45" s="18"/>
      <c r="BG45" s="18"/>
      <c r="BN45" s="18"/>
      <c r="BU45" s="18"/>
      <c r="CB45" s="18"/>
      <c r="CI45" s="18"/>
    </row>
    <row r="46" spans="2:87" ht="15" customHeight="1" x14ac:dyDescent="0.2">
      <c r="X46" s="18"/>
      <c r="AE46" s="18"/>
      <c r="AL46" s="18"/>
      <c r="AS46" s="18"/>
      <c r="AZ46" s="18"/>
      <c r="BG46" s="18"/>
      <c r="BN46" s="18"/>
      <c r="BU46" s="18"/>
      <c r="CB46" s="18"/>
      <c r="CI46" s="18"/>
    </row>
    <row r="47" spans="2:87" ht="15" customHeight="1" x14ac:dyDescent="0.2">
      <c r="X47" s="18"/>
      <c r="AE47" s="18"/>
      <c r="AL47" s="18"/>
      <c r="AS47" s="18"/>
      <c r="AZ47" s="18"/>
      <c r="BG47" s="18"/>
      <c r="BN47" s="18"/>
      <c r="BU47" s="18"/>
      <c r="CB47" s="18"/>
      <c r="CI47" s="18"/>
    </row>
    <row r="48" spans="2:87" ht="15" customHeight="1" x14ac:dyDescent="0.2">
      <c r="X48" s="18"/>
      <c r="AE48" s="18"/>
      <c r="AL48" s="18"/>
      <c r="AS48" s="18"/>
      <c r="AZ48" s="18"/>
      <c r="BG48" s="18"/>
      <c r="BN48" s="18"/>
      <c r="BU48" s="18"/>
      <c r="CB48" s="18"/>
      <c r="CI48" s="18"/>
    </row>
    <row r="49" spans="24:87" ht="15" customHeight="1" x14ac:dyDescent="0.2">
      <c r="X49" s="18"/>
      <c r="AE49" s="18"/>
      <c r="AL49" s="18"/>
      <c r="AS49" s="18"/>
      <c r="AZ49" s="18"/>
      <c r="BG49" s="18"/>
      <c r="BN49" s="18"/>
      <c r="BU49" s="18"/>
      <c r="CB49" s="18"/>
      <c r="CI49" s="18"/>
    </row>
    <row r="50" spans="24:87" ht="15" customHeight="1" x14ac:dyDescent="0.2">
      <c r="X50" s="18"/>
      <c r="AE50" s="18"/>
      <c r="AL50" s="18"/>
      <c r="AS50" s="18"/>
      <c r="AZ50" s="18"/>
      <c r="BG50" s="18"/>
      <c r="BN50" s="18"/>
      <c r="BU50" s="18"/>
      <c r="CB50" s="18"/>
      <c r="CI50" s="18"/>
    </row>
    <row r="51" spans="24:87" ht="15" customHeight="1" x14ac:dyDescent="0.2">
      <c r="X51" s="18"/>
      <c r="AE51" s="18"/>
      <c r="AL51" s="18"/>
      <c r="AS51" s="18"/>
      <c r="AZ51" s="18"/>
      <c r="BG51" s="18"/>
      <c r="BN51" s="18"/>
      <c r="BU51" s="18"/>
      <c r="CB51" s="18"/>
      <c r="CI51" s="18"/>
    </row>
    <row r="52" spans="24:87" ht="15" customHeight="1" x14ac:dyDescent="0.2">
      <c r="X52" s="18"/>
      <c r="AE52" s="18"/>
      <c r="AL52" s="18"/>
      <c r="AS52" s="18"/>
      <c r="AZ52" s="18"/>
      <c r="BG52" s="18"/>
      <c r="BN52" s="18"/>
      <c r="BU52" s="18"/>
      <c r="CB52" s="18"/>
      <c r="CI52" s="18"/>
    </row>
    <row r="53" spans="24:87" ht="15" customHeight="1" x14ac:dyDescent="0.2">
      <c r="X53" s="18"/>
      <c r="AE53" s="18"/>
      <c r="AL53" s="18"/>
      <c r="AS53" s="18"/>
      <c r="AZ53" s="18"/>
      <c r="BG53" s="18"/>
      <c r="BN53" s="18"/>
      <c r="BU53" s="18"/>
      <c r="CB53" s="18"/>
      <c r="CI53" s="18"/>
    </row>
    <row r="54" spans="24:87" ht="15" customHeight="1" x14ac:dyDescent="0.2">
      <c r="X54" s="18"/>
      <c r="AE54" s="18"/>
      <c r="AL54" s="18"/>
      <c r="AS54" s="18"/>
      <c r="AZ54" s="18"/>
      <c r="BG54" s="18"/>
      <c r="BN54" s="18"/>
      <c r="BU54" s="18"/>
      <c r="CB54" s="18"/>
      <c r="CI54" s="18"/>
    </row>
    <row r="55" spans="24:87" ht="15" customHeight="1" x14ac:dyDescent="0.2">
      <c r="X55" s="18"/>
      <c r="AE55" s="18"/>
      <c r="AL55" s="18"/>
      <c r="AS55" s="18"/>
      <c r="AZ55" s="18"/>
      <c r="BG55" s="18"/>
      <c r="BN55" s="18"/>
      <c r="BU55" s="18"/>
      <c r="CB55" s="18"/>
      <c r="CI55" s="18"/>
    </row>
    <row r="56" spans="24:87" ht="15" customHeight="1" x14ac:dyDescent="0.2">
      <c r="X56" s="18"/>
      <c r="AE56" s="18"/>
      <c r="AL56" s="18"/>
      <c r="AS56" s="18"/>
      <c r="AZ56" s="18"/>
      <c r="BG56" s="18"/>
      <c r="BN56" s="18"/>
      <c r="BU56" s="18"/>
      <c r="CB56" s="18"/>
      <c r="CI56" s="18"/>
    </row>
    <row r="57" spans="24:87" ht="15" customHeight="1" x14ac:dyDescent="0.2">
      <c r="X57" s="18"/>
      <c r="AE57" s="18"/>
      <c r="AL57" s="18"/>
      <c r="AS57" s="18"/>
      <c r="AZ57" s="18"/>
      <c r="BG57" s="18"/>
      <c r="BN57" s="18"/>
      <c r="BU57" s="18"/>
      <c r="CB57" s="18"/>
      <c r="CI57" s="18"/>
    </row>
    <row r="58" spans="24:87" ht="15" customHeight="1" x14ac:dyDescent="0.2">
      <c r="X58" s="18"/>
      <c r="AE58" s="18"/>
      <c r="AL58" s="18"/>
      <c r="AS58" s="18"/>
      <c r="AZ58" s="18"/>
      <c r="BG58" s="18"/>
      <c r="BN58" s="18"/>
      <c r="BU58" s="18"/>
      <c r="CB58" s="18"/>
      <c r="CI58" s="18"/>
    </row>
    <row r="59" spans="24:87" ht="15" customHeight="1" x14ac:dyDescent="0.2">
      <c r="X59" s="18"/>
      <c r="AE59" s="18"/>
      <c r="AL59" s="18"/>
      <c r="AS59" s="18"/>
      <c r="AZ59" s="18"/>
      <c r="BG59" s="18"/>
      <c r="BN59" s="18"/>
      <c r="BU59" s="18"/>
      <c r="CB59" s="18"/>
      <c r="CI59" s="18"/>
    </row>
    <row r="60" spans="24:87" ht="15" customHeight="1" x14ac:dyDescent="0.2">
      <c r="X60" s="18"/>
      <c r="AE60" s="18"/>
      <c r="AL60" s="18"/>
      <c r="AS60" s="18"/>
      <c r="AZ60" s="18"/>
      <c r="BG60" s="18"/>
      <c r="BN60" s="18"/>
      <c r="BU60" s="18"/>
      <c r="CB60" s="18"/>
      <c r="CI60" s="18"/>
    </row>
    <row r="61" spans="24:87" ht="15" customHeight="1" x14ac:dyDescent="0.2">
      <c r="X61" s="18"/>
      <c r="AE61" s="18"/>
      <c r="AL61" s="18"/>
      <c r="AS61" s="18"/>
      <c r="AZ61" s="18"/>
      <c r="BG61" s="18"/>
      <c r="BN61" s="18"/>
      <c r="BU61" s="18"/>
      <c r="CB61" s="18"/>
      <c r="CI61" s="18"/>
    </row>
    <row r="62" spans="24:87" ht="15" customHeight="1" x14ac:dyDescent="0.2">
      <c r="X62" s="18"/>
      <c r="AE62" s="18"/>
      <c r="AL62" s="18"/>
      <c r="AS62" s="18"/>
      <c r="AZ62" s="18"/>
      <c r="BG62" s="18"/>
      <c r="BN62" s="18"/>
      <c r="BU62" s="18"/>
      <c r="CB62" s="18"/>
      <c r="CI62" s="18"/>
    </row>
    <row r="63" spans="24:87" ht="15" customHeight="1" x14ac:dyDescent="0.2">
      <c r="X63" s="18"/>
      <c r="AE63" s="18"/>
      <c r="AL63" s="18"/>
      <c r="AS63" s="18"/>
      <c r="AZ63" s="18"/>
      <c r="BG63" s="18"/>
      <c r="BN63" s="18"/>
      <c r="BU63" s="18"/>
      <c r="CB63" s="18"/>
      <c r="CI63" s="18"/>
    </row>
    <row r="64" spans="24:87" ht="15" customHeight="1" x14ac:dyDescent="0.2">
      <c r="X64" s="18"/>
      <c r="AE64" s="18"/>
      <c r="AL64" s="18"/>
      <c r="AS64" s="18"/>
      <c r="AZ64" s="18"/>
      <c r="BG64" s="18"/>
      <c r="BN64" s="18"/>
      <c r="BU64" s="18"/>
      <c r="CB64" s="18"/>
      <c r="CI64" s="18"/>
    </row>
    <row r="73" spans="10:14" ht="15" customHeight="1" x14ac:dyDescent="0.2">
      <c r="J73"/>
      <c r="N73"/>
    </row>
    <row r="202" spans="2:2" ht="15" customHeight="1" x14ac:dyDescent="0.2">
      <c r="B202"/>
    </row>
  </sheetData>
  <conditionalFormatting sqref="B28:D28">
    <cfRule type="expression" dxfId="31" priority="18">
      <formula>$F$30</formula>
    </cfRule>
  </conditionalFormatting>
  <conditionalFormatting sqref="B30:D30">
    <cfRule type="expression" dxfId="30" priority="11">
      <formula>$F$31</formula>
    </cfRule>
    <cfRule type="expression" dxfId="29" priority="12">
      <formula>$F$28</formula>
    </cfRule>
  </conditionalFormatting>
  <conditionalFormatting sqref="B39:D39">
    <cfRule type="expression" dxfId="28" priority="16">
      <formula>$F$41</formula>
    </cfRule>
  </conditionalFormatting>
  <conditionalFormatting sqref="B41:D41">
    <cfRule type="expression" dxfId="27" priority="14">
      <formula>$F$39</formula>
    </cfRule>
    <cfRule type="expression" dxfId="26" priority="15">
      <formula>$F$42</formula>
    </cfRule>
  </conditionalFormatting>
  <conditionalFormatting sqref="F31">
    <cfRule type="expression" dxfId="25" priority="51" stopIfTrue="1">
      <formula>$F$42</formula>
    </cfRule>
    <cfRule type="expression" dxfId="24" priority="52" stopIfTrue="1">
      <formula>$F$28</formula>
    </cfRule>
  </conditionalFormatting>
  <conditionalFormatting sqref="F42">
    <cfRule type="expression" dxfId="23" priority="45" stopIfTrue="1">
      <formula>$F$31</formula>
    </cfRule>
    <cfRule type="expression" dxfId="22" priority="46">
      <formula>$F$39</formula>
    </cfRule>
  </conditionalFormatting>
  <dataValidations disablePrompts="1" count="2">
    <dataValidation type="list" allowBlank="1" showInputMessage="1" showErrorMessage="1" sqref="D3" xr:uid="{DB202E47-7A9E-4728-94EC-66A6236B6524}">
      <formula1>"English, Metric"</formula1>
    </dataValidation>
    <dataValidation type="list" allowBlank="1" showInputMessage="1" showErrorMessage="1" sqref="C6" xr:uid="{608D629F-5D8C-4526-862A-276FF7C0CE36}">
      <formula1>"Full depth, Stub"</formula1>
    </dataValidation>
  </dataValidation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742C9-FCDD-4F42-A337-ACED64FD1657}">
  <sheetPr>
    <tabColor rgb="FF00B050"/>
  </sheetPr>
  <dimension ref="B2:AQ82"/>
  <sheetViews>
    <sheetView zoomScaleNormal="100" workbookViewId="0">
      <selection activeCell="F10" sqref="F10"/>
    </sheetView>
  </sheetViews>
  <sheetFormatPr baseColWidth="10" defaultColWidth="8.83203125" defaultRowHeight="15" customHeight="1" x14ac:dyDescent="0.2"/>
  <cols>
    <col min="2" max="2" width="33.83203125" style="1" bestFit="1" customWidth="1"/>
    <col min="3" max="3" width="13" style="1" customWidth="1"/>
    <col min="4" max="4" width="10.1640625" style="1" customWidth="1"/>
    <col min="5" max="5" width="26.6640625" style="1" bestFit="1" customWidth="1"/>
    <col min="6" max="6" width="10.1640625" style="1" customWidth="1"/>
    <col min="7" max="7" width="9.1640625" style="1"/>
    <col min="8" max="8" width="10.5" bestFit="1" customWidth="1"/>
    <col min="9" max="9" width="9.1640625" customWidth="1"/>
    <col min="11" max="11" width="12" bestFit="1" customWidth="1"/>
    <col min="15" max="15" width="22.33203125" bestFit="1" customWidth="1"/>
    <col min="16" max="16" width="15.5" bestFit="1" customWidth="1"/>
    <col min="17" max="17" width="14.83203125" bestFit="1" customWidth="1"/>
    <col min="20" max="20" width="13.1640625" bestFit="1" customWidth="1"/>
    <col min="21" max="21" width="16.5" bestFit="1" customWidth="1"/>
    <col min="22" max="23" width="9.1640625" customWidth="1"/>
    <col min="25" max="25" width="9.1640625" customWidth="1"/>
    <col min="29" max="29" width="15" bestFit="1" customWidth="1"/>
    <col min="30" max="30" width="14" bestFit="1" customWidth="1"/>
    <col min="33" max="33" width="15" bestFit="1" customWidth="1"/>
    <col min="34" max="34" width="14" bestFit="1" customWidth="1"/>
    <col min="36" max="36" width="14.6640625" customWidth="1"/>
    <col min="43" max="43" width="14.6640625" customWidth="1"/>
  </cols>
  <sheetData>
    <row r="2" spans="2:43" ht="15" customHeight="1" x14ac:dyDescent="0.2">
      <c r="B2" s="2" t="s">
        <v>0</v>
      </c>
      <c r="C2" s="3" t="s">
        <v>1</v>
      </c>
      <c r="D2" s="4" t="s">
        <v>3</v>
      </c>
      <c r="E2" s="10"/>
      <c r="F2" s="10"/>
      <c r="H2" s="5" t="s">
        <v>4</v>
      </c>
      <c r="I2" s="11"/>
      <c r="J2" s="11"/>
      <c r="K2" s="11"/>
      <c r="L2" s="11"/>
      <c r="M2" s="11"/>
      <c r="N2" s="11"/>
      <c r="O2" s="11"/>
      <c r="P2" s="11"/>
      <c r="Q2" s="11"/>
      <c r="S2" s="46" t="s">
        <v>75</v>
      </c>
      <c r="T2" s="46"/>
      <c r="U2" s="46"/>
      <c r="V2" s="46"/>
      <c r="W2" s="46"/>
      <c r="X2" s="46"/>
      <c r="Y2" s="46"/>
      <c r="Z2" s="46"/>
      <c r="AA2" s="46"/>
      <c r="AB2" s="46"/>
      <c r="AC2" s="46"/>
      <c r="AD2" s="46"/>
      <c r="AE2" s="46"/>
      <c r="AF2" s="46"/>
      <c r="AG2" s="46"/>
      <c r="AH2" s="46"/>
      <c r="AI2" s="46"/>
      <c r="AJ2" s="46"/>
      <c r="AK2" s="46"/>
      <c r="AL2" s="46"/>
      <c r="AM2" s="46"/>
      <c r="AN2" s="46"/>
      <c r="AO2" s="46"/>
      <c r="AP2" s="46"/>
      <c r="AQ2" s="46"/>
    </row>
    <row r="3" spans="2:43" ht="15" customHeight="1" thickBot="1" x14ac:dyDescent="0.25"/>
    <row r="4" spans="2:43" ht="15" customHeight="1" x14ac:dyDescent="0.2">
      <c r="B4" s="6" t="s">
        <v>76</v>
      </c>
      <c r="C4" s="7"/>
      <c r="D4" s="7"/>
      <c r="H4" s="11" t="s">
        <v>77</v>
      </c>
      <c r="I4" s="47"/>
      <c r="J4" s="47"/>
      <c r="K4" s="48">
        <f>($C$19*$C$9*C16)*($C$32/($C$29+($C$30-$C$29)*(LN($C$6^-1))^(1/$C$31)))^(1/$C$11)</f>
        <v>17.557112756110314</v>
      </c>
      <c r="L4" s="11" t="s">
        <v>78</v>
      </c>
      <c r="T4" s="49" t="s">
        <v>79</v>
      </c>
      <c r="U4" s="50"/>
      <c r="V4" s="50"/>
      <c r="W4" s="50"/>
      <c r="X4" s="51"/>
      <c r="Z4" s="49" t="s">
        <v>80</v>
      </c>
      <c r="AA4" s="50"/>
      <c r="AB4" s="50"/>
      <c r="AC4" s="50"/>
      <c r="AD4" s="50"/>
      <c r="AE4" s="50"/>
      <c r="AF4" s="50"/>
      <c r="AG4" s="50"/>
      <c r="AH4" s="50"/>
      <c r="AI4" s="51"/>
      <c r="AK4" s="49" t="s">
        <v>81</v>
      </c>
      <c r="AL4" s="50"/>
      <c r="AM4" s="50"/>
      <c r="AN4" s="50"/>
      <c r="AO4" s="50"/>
      <c r="AP4" s="51"/>
    </row>
    <row r="5" spans="2:43" ht="15" customHeight="1" x14ac:dyDescent="0.2">
      <c r="B5" s="10" t="s">
        <v>82</v>
      </c>
      <c r="C5" s="10" t="s">
        <v>83</v>
      </c>
      <c r="D5" s="10"/>
      <c r="H5" s="11" t="s">
        <v>84</v>
      </c>
      <c r="I5" s="47"/>
      <c r="J5" s="47"/>
      <c r="K5" s="11">
        <f>IF($C$7="Deep Groove", SMALL($AF$8:$AF$27,COUNTIF($AF$8:$AF$27,"&lt;"&amp;K4)+1), IF($C$7="Angular", SMALL($AH$8:$AH$27,COUNTIF($AH$8:$AH$27,"&lt;"&amp;K4)+1), IF($C$7="02-Series", SMALL($AC$62:$AC$82,COUNTIF($AC$62:$AC$82,"&lt;"&amp;K4)+1), IF($C$7="03-Series", SMALL($AG$62:$AG$82,COUNTIF($AG$62:$AG$82,"&lt;"&amp;K4)+1), NA()))))</f>
        <v>19.5</v>
      </c>
      <c r="L5" s="11" t="s">
        <v>78</v>
      </c>
      <c r="T5" s="22" t="s">
        <v>85</v>
      </c>
      <c r="U5" s="23" t="s">
        <v>86</v>
      </c>
      <c r="V5" s="23" t="s">
        <v>87</v>
      </c>
      <c r="W5" s="23" t="s">
        <v>88</v>
      </c>
      <c r="X5" s="24" t="s">
        <v>89</v>
      </c>
      <c r="Z5" s="117" t="s">
        <v>90</v>
      </c>
      <c r="AA5" s="119" t="s">
        <v>91</v>
      </c>
      <c r="AB5" s="119" t="s">
        <v>92</v>
      </c>
      <c r="AC5" s="119" t="s">
        <v>93</v>
      </c>
      <c r="AD5" s="121" t="s">
        <v>94</v>
      </c>
      <c r="AE5" s="121"/>
      <c r="AF5" s="126" t="s">
        <v>95</v>
      </c>
      <c r="AG5" s="126"/>
      <c r="AH5" s="126"/>
      <c r="AI5" s="127"/>
      <c r="AK5" s="117" t="s">
        <v>96</v>
      </c>
      <c r="AL5" s="119" t="s">
        <v>97</v>
      </c>
      <c r="AM5" s="120" t="s">
        <v>98</v>
      </c>
      <c r="AN5" s="120"/>
      <c r="AO5" s="120" t="s">
        <v>99</v>
      </c>
      <c r="AP5" s="122"/>
    </row>
    <row r="6" spans="2:43" ht="15" customHeight="1" x14ac:dyDescent="0.2">
      <c r="B6" s="113" t="s">
        <v>100</v>
      </c>
      <c r="C6" s="116">
        <f>'L25 Gears Cont. Q25'!M38</f>
        <v>0.98725854490143383</v>
      </c>
      <c r="D6" s="113"/>
      <c r="E6" s="52" t="s">
        <v>101</v>
      </c>
      <c r="H6" s="11" t="s">
        <v>102</v>
      </c>
      <c r="I6" s="47"/>
      <c r="J6" s="47"/>
      <c r="K6" s="11">
        <f>IF($C$7="Deep Groove",VLOOKUP(K5,$AF$8:$AG$27,2,FALSE), IF($C$7="Angular", VLOOKUP(K5,$AH$8:$AI$27,2,FALSE), IF($C$7="02-Series", VLOOKUP(K5,$AC$62:$AD$82,2,FALSE), IF($C$7="03-Series", VLOOKUP(K5,$AG$62:$AH$82,2,FALSE), NA()))))</f>
        <v>10</v>
      </c>
      <c r="L6" s="11" t="s">
        <v>78</v>
      </c>
      <c r="T6" s="53" t="s">
        <v>103</v>
      </c>
      <c r="U6" s="54">
        <f>90*10^6</f>
        <v>90000000</v>
      </c>
      <c r="V6" s="55">
        <v>0</v>
      </c>
      <c r="W6" s="55">
        <v>4.4800000000000004</v>
      </c>
      <c r="X6" s="56">
        <v>1.5</v>
      </c>
      <c r="Z6" s="117"/>
      <c r="AA6" s="119"/>
      <c r="AB6" s="119"/>
      <c r="AC6" s="119"/>
      <c r="AD6" s="123" t="s">
        <v>104</v>
      </c>
      <c r="AE6" s="123"/>
      <c r="AF6" s="124" t="s">
        <v>105</v>
      </c>
      <c r="AG6" s="124"/>
      <c r="AH6" s="125" t="s">
        <v>106</v>
      </c>
      <c r="AI6" s="125"/>
      <c r="AK6" s="118"/>
      <c r="AL6" s="120"/>
      <c r="AM6" s="57" t="s">
        <v>107</v>
      </c>
      <c r="AN6" s="57" t="s">
        <v>108</v>
      </c>
      <c r="AO6" s="57" t="s">
        <v>109</v>
      </c>
      <c r="AP6" s="58" t="s">
        <v>110</v>
      </c>
    </row>
    <row r="7" spans="2:43" ht="15" customHeight="1" thickBot="1" x14ac:dyDescent="0.25">
      <c r="B7" s="10" t="s">
        <v>111</v>
      </c>
      <c r="C7" s="10" t="s">
        <v>105</v>
      </c>
      <c r="D7" s="10"/>
      <c r="H7" s="11" t="s">
        <v>112</v>
      </c>
      <c r="I7" s="47"/>
      <c r="J7" s="47"/>
      <c r="K7" s="47">
        <f>$C$18/K6</f>
        <v>0</v>
      </c>
      <c r="L7" s="47"/>
      <c r="T7" s="59" t="s">
        <v>83</v>
      </c>
      <c r="U7" s="60">
        <f>1*10^6</f>
        <v>1000000</v>
      </c>
      <c r="V7" s="61">
        <v>0.02</v>
      </c>
      <c r="W7" s="61">
        <v>4.4589999999999996</v>
      </c>
      <c r="X7" s="62">
        <v>1.4830000000000001</v>
      </c>
      <c r="Z7" s="118"/>
      <c r="AA7" s="120"/>
      <c r="AB7" s="120"/>
      <c r="AC7" s="120"/>
      <c r="AD7" s="63" t="s">
        <v>113</v>
      </c>
      <c r="AE7" s="63" t="s">
        <v>114</v>
      </c>
      <c r="AF7" s="64" t="s">
        <v>115</v>
      </c>
      <c r="AG7" s="64" t="s">
        <v>116</v>
      </c>
      <c r="AH7" s="65" t="s">
        <v>115</v>
      </c>
      <c r="AI7" s="66" t="s">
        <v>116</v>
      </c>
      <c r="AK7" s="67">
        <v>1.4E-2</v>
      </c>
      <c r="AL7" s="68">
        <v>0.19</v>
      </c>
      <c r="AM7" s="69">
        <v>1</v>
      </c>
      <c r="AN7" s="70">
        <v>0</v>
      </c>
      <c r="AO7" s="71">
        <v>0.56000000000000005</v>
      </c>
      <c r="AP7" s="72">
        <v>2.2999999999999998</v>
      </c>
    </row>
    <row r="8" spans="2:43" ht="15" customHeight="1" x14ac:dyDescent="0.2">
      <c r="B8" s="10" t="s">
        <v>117</v>
      </c>
      <c r="C8" s="10" t="s">
        <v>163</v>
      </c>
      <c r="D8" s="10"/>
      <c r="Z8" s="73">
        <v>10</v>
      </c>
      <c r="AA8" s="70">
        <v>30</v>
      </c>
      <c r="AB8" s="71">
        <v>9</v>
      </c>
      <c r="AC8" s="70">
        <v>0.6</v>
      </c>
      <c r="AD8" s="74">
        <v>12.5</v>
      </c>
      <c r="AE8" s="75">
        <v>27</v>
      </c>
      <c r="AF8" s="76">
        <v>5.07</v>
      </c>
      <c r="AG8" s="77">
        <v>2.2400000000000002</v>
      </c>
      <c r="AH8" s="78">
        <v>4.9400000000000004</v>
      </c>
      <c r="AI8" s="79">
        <v>2.12</v>
      </c>
      <c r="AK8" s="67">
        <v>2.1000000000000001E-2</v>
      </c>
      <c r="AL8" s="68">
        <v>0.21</v>
      </c>
      <c r="AM8" s="69">
        <v>1</v>
      </c>
      <c r="AN8" s="70">
        <v>0</v>
      </c>
      <c r="AO8" s="71">
        <v>0.56000000000000005</v>
      </c>
      <c r="AP8" s="72">
        <v>2.15</v>
      </c>
    </row>
    <row r="9" spans="2:43" ht="15" customHeight="1" x14ac:dyDescent="0.2">
      <c r="B9" s="11" t="s">
        <v>118</v>
      </c>
      <c r="C9" s="11">
        <f>IF(C8="Inner Ring", 1, 1.2)</f>
        <v>1</v>
      </c>
      <c r="D9" s="11"/>
      <c r="H9" s="80" t="s">
        <v>119</v>
      </c>
      <c r="I9" s="80"/>
      <c r="J9" s="80"/>
      <c r="K9" s="80"/>
      <c r="L9" s="80"/>
      <c r="M9" s="80"/>
      <c r="N9" s="80"/>
      <c r="O9" s="80"/>
      <c r="P9" s="80"/>
      <c r="Q9" s="80"/>
      <c r="Z9" s="73">
        <v>12</v>
      </c>
      <c r="AA9" s="70">
        <v>32</v>
      </c>
      <c r="AB9" s="71">
        <v>10</v>
      </c>
      <c r="AC9" s="70">
        <v>0.6</v>
      </c>
      <c r="AD9" s="74">
        <v>14.5</v>
      </c>
      <c r="AE9" s="75">
        <v>28</v>
      </c>
      <c r="AF9" s="76">
        <v>6.89</v>
      </c>
      <c r="AG9" s="77">
        <v>3.1</v>
      </c>
      <c r="AH9" s="78">
        <v>7.02</v>
      </c>
      <c r="AI9" s="79">
        <v>3.05</v>
      </c>
      <c r="AK9" s="67">
        <v>2.8000000000000001E-2</v>
      </c>
      <c r="AL9" s="68">
        <v>0.22</v>
      </c>
      <c r="AM9" s="69">
        <v>1</v>
      </c>
      <c r="AN9" s="70">
        <v>0</v>
      </c>
      <c r="AO9" s="71">
        <v>0.56000000000000005</v>
      </c>
      <c r="AP9" s="72">
        <v>1.99</v>
      </c>
    </row>
    <row r="10" spans="2:43" ht="15" customHeight="1" x14ac:dyDescent="0.25">
      <c r="B10" s="10" t="s">
        <v>120</v>
      </c>
      <c r="C10" s="10" t="s">
        <v>121</v>
      </c>
      <c r="D10" s="10"/>
      <c r="H10" s="81" t="s">
        <v>122</v>
      </c>
      <c r="I10" s="82" t="s">
        <v>112</v>
      </c>
      <c r="J10" s="82" t="s">
        <v>123</v>
      </c>
      <c r="K10" s="82" t="s">
        <v>97</v>
      </c>
      <c r="L10" s="82" t="s">
        <v>124</v>
      </c>
      <c r="M10" s="82" t="s">
        <v>125</v>
      </c>
      <c r="N10" s="82" t="s">
        <v>126</v>
      </c>
      <c r="O10" s="83" t="s">
        <v>127</v>
      </c>
      <c r="P10" s="83" t="s">
        <v>128</v>
      </c>
      <c r="Q10" s="83" t="s">
        <v>129</v>
      </c>
      <c r="Z10" s="73">
        <v>15</v>
      </c>
      <c r="AA10" s="70">
        <v>35</v>
      </c>
      <c r="AB10" s="71">
        <v>11</v>
      </c>
      <c r="AC10" s="70">
        <v>0.6</v>
      </c>
      <c r="AD10" s="74">
        <v>17.5</v>
      </c>
      <c r="AE10" s="75">
        <v>31</v>
      </c>
      <c r="AF10" s="76">
        <v>7.8</v>
      </c>
      <c r="AG10" s="77">
        <v>3.55</v>
      </c>
      <c r="AH10" s="78">
        <v>8.06</v>
      </c>
      <c r="AI10" s="79">
        <v>3.65</v>
      </c>
      <c r="AK10" s="67">
        <v>4.2000000000000003E-2</v>
      </c>
      <c r="AL10" s="68">
        <v>0.24</v>
      </c>
      <c r="AM10" s="69">
        <v>1</v>
      </c>
      <c r="AN10" s="70">
        <v>0</v>
      </c>
      <c r="AO10" s="71">
        <v>0.56000000000000005</v>
      </c>
      <c r="AP10" s="72">
        <v>1.85</v>
      </c>
    </row>
    <row r="11" spans="2:43" ht="15" customHeight="1" x14ac:dyDescent="0.2">
      <c r="B11" s="11" t="s">
        <v>130</v>
      </c>
      <c r="C11" s="84">
        <f>IF(F12,C12,IF(C10="Ball", 3, 10/3))</f>
        <v>3</v>
      </c>
      <c r="D11" s="85"/>
      <c r="H11" s="86">
        <v>0</v>
      </c>
      <c r="I11" s="47">
        <f>IF($C$18/K6 &lt; 0.014, 0.014, $C$18/K6)</f>
        <v>1.4E-2</v>
      </c>
      <c r="J11" s="47">
        <f>$C$18/($C$9*$C$16)</f>
        <v>0</v>
      </c>
      <c r="K11" s="47">
        <f>0.506467531924409*(I11)^0.23203728471849</f>
        <v>0.18809800634957716</v>
      </c>
      <c r="L11" s="47">
        <f>IF(J11&lt;=K11,1,0.56)</f>
        <v>1</v>
      </c>
      <c r="M11" s="47">
        <f>IF(J11&lt;=K11,0,0.863191147423464*(I11)^(-0.234866270653838))</f>
        <v>0</v>
      </c>
      <c r="N11" s="47">
        <f>L11*$C$9*$C$16 + M11*$C$18</f>
        <v>1.4732255838368402</v>
      </c>
      <c r="O11" s="47">
        <f>($C$19*N11)*($C$32/($C$29+($C$30-$C$29)*(LN($C$6^-1))^(1/$C$31)))^(1/$C$11)</f>
        <v>17.557112756110314</v>
      </c>
      <c r="P11" s="11">
        <f t="shared" ref="P11:P21" si="0">IF($C$7="Deep Groove", SMALL($AF$8:$AF$27,COUNTIF($AF$8:$AF$27,"&lt;"&amp;O11)+1), IF($C$7="Angular", SMALL($AH$8:$AH$27,COUNTIF($AH$8:$AH$27,"&lt;"&amp;O11)+1), IF($C$7="02-Series", SMALL($AC$62:$AC$82,COUNTIF($AC$62:$AC$82,"&lt;"&amp;O11)+1), IF($C$7="03-Series", SMALL($AG$62:$AG$82,COUNTIF($AG$62:$AG$82,"&lt;"&amp;O11)+1), NA()))))</f>
        <v>19.5</v>
      </c>
      <c r="Q11" s="11">
        <f t="shared" ref="Q11:Q21" si="1">IF($C$7="Deep Groove",VLOOKUP(P11,$AF$8:$AG$27,2,FALSE), IF($C$7="Angular", VLOOKUP(P11,$AH$8:$AI$27,2,FALSE), IF($C$7="02-Series", VLOOKUP(P11,$AC$62:$AD$82,2,FALSE), IF($C$7="03-Series", VLOOKUP(P11,$AG$62:$AH$82,2,FALSE), NA()))))</f>
        <v>10</v>
      </c>
      <c r="Z11" s="73">
        <v>17</v>
      </c>
      <c r="AA11" s="70">
        <v>40</v>
      </c>
      <c r="AB11" s="71">
        <v>12</v>
      </c>
      <c r="AC11" s="70">
        <v>0.6</v>
      </c>
      <c r="AD11" s="74">
        <v>19.5</v>
      </c>
      <c r="AE11" s="75">
        <v>34</v>
      </c>
      <c r="AF11" s="76">
        <v>9.56</v>
      </c>
      <c r="AG11" s="77">
        <v>4.5</v>
      </c>
      <c r="AH11" s="78">
        <v>9.9499999999999993</v>
      </c>
      <c r="AI11" s="79">
        <v>4.75</v>
      </c>
      <c r="AK11" s="67">
        <v>5.6000000000000001E-2</v>
      </c>
      <c r="AL11" s="68">
        <v>0.26</v>
      </c>
      <c r="AM11" s="69">
        <v>1</v>
      </c>
      <c r="AN11" s="70">
        <v>0</v>
      </c>
      <c r="AO11" s="71">
        <v>0.56000000000000005</v>
      </c>
      <c r="AP11" s="72">
        <v>1.71</v>
      </c>
    </row>
    <row r="12" spans="2:43" ht="15" customHeight="1" x14ac:dyDescent="0.2">
      <c r="B12" s="10"/>
      <c r="C12" s="10"/>
      <c r="D12" s="87"/>
      <c r="E12" s="10" t="s">
        <v>131</v>
      </c>
      <c r="F12" s="19" t="b">
        <v>0</v>
      </c>
      <c r="H12" s="86">
        <v>1</v>
      </c>
      <c r="I12" s="47">
        <f>IF($C$18/Q11 &lt; 0.014, 0.014, $C$18/Q11)</f>
        <v>1.4E-2</v>
      </c>
      <c r="J12" s="47">
        <f t="shared" ref="J12:J21" si="2">$C$18/($C$9*$C$16)</f>
        <v>0</v>
      </c>
      <c r="K12" s="47">
        <f t="shared" ref="K12:K18" si="3">0.506467531924409*(I12)^0.23203728471849</f>
        <v>0.18809800634957716</v>
      </c>
      <c r="L12" s="47">
        <f t="shared" ref="L12:L18" si="4">IF(J12&lt;=K12,1,0.56)</f>
        <v>1</v>
      </c>
      <c r="M12" s="47">
        <f>IF(J12&lt;=K12,0,0.863191147423464*(I12)^(-0.234866270653838))</f>
        <v>0</v>
      </c>
      <c r="N12" s="47">
        <f t="shared" ref="N12:N18" si="5">L12*$C$9*$C$16 + M12*$C$18</f>
        <v>1.4732255838368402</v>
      </c>
      <c r="O12" s="47">
        <f t="shared" ref="O12:O21" si="6">($C$19*N12)*($C$32/($C$29+($C$30-$C$29)*(LN($C$6^-1))^(1/$C$31)))^(1/$C$11)</f>
        <v>17.557112756110314</v>
      </c>
      <c r="P12" s="11">
        <f t="shared" si="0"/>
        <v>19.5</v>
      </c>
      <c r="Q12" s="11">
        <f t="shared" si="1"/>
        <v>10</v>
      </c>
      <c r="Z12" s="73">
        <v>20</v>
      </c>
      <c r="AA12" s="70">
        <v>47</v>
      </c>
      <c r="AB12" s="71">
        <v>14</v>
      </c>
      <c r="AC12" s="70">
        <v>1</v>
      </c>
      <c r="AD12" s="74">
        <v>25</v>
      </c>
      <c r="AE12" s="75">
        <v>41</v>
      </c>
      <c r="AF12" s="76">
        <v>12.7</v>
      </c>
      <c r="AG12" s="77">
        <v>6.2</v>
      </c>
      <c r="AH12" s="78">
        <v>13.3</v>
      </c>
      <c r="AI12" s="79">
        <v>6.55</v>
      </c>
      <c r="AK12" s="67">
        <v>7.0000000000000007E-2</v>
      </c>
      <c r="AL12" s="68">
        <v>0.27</v>
      </c>
      <c r="AM12" s="69">
        <v>1</v>
      </c>
      <c r="AN12" s="70">
        <v>0</v>
      </c>
      <c r="AO12" s="71">
        <v>0.56000000000000005</v>
      </c>
      <c r="AP12" s="72">
        <v>1.63</v>
      </c>
    </row>
    <row r="13" spans="2:43" ht="15" customHeight="1" x14ac:dyDescent="0.2">
      <c r="H13" s="86">
        <v>2</v>
      </c>
      <c r="I13" s="47">
        <f t="shared" ref="I13:I18" si="7">IF($C$18/Q12 &lt; 0.014, 0.014, $C$18/Q12)</f>
        <v>1.4E-2</v>
      </c>
      <c r="J13" s="47">
        <f t="shared" si="2"/>
        <v>0</v>
      </c>
      <c r="K13" s="47">
        <f t="shared" si="3"/>
        <v>0.18809800634957716</v>
      </c>
      <c r="L13" s="47">
        <f t="shared" si="4"/>
        <v>1</v>
      </c>
      <c r="M13" s="47">
        <f t="shared" ref="M13:M18" si="8">IF(J13&lt;=K13,0,0.863191147423464*(I13)^(-0.234866270653838))</f>
        <v>0</v>
      </c>
      <c r="N13" s="47">
        <f t="shared" si="5"/>
        <v>1.4732255838368402</v>
      </c>
      <c r="O13" s="47">
        <f t="shared" si="6"/>
        <v>17.557112756110314</v>
      </c>
      <c r="P13" s="11">
        <f t="shared" si="0"/>
        <v>19.5</v>
      </c>
      <c r="Q13" s="11">
        <f t="shared" si="1"/>
        <v>10</v>
      </c>
      <c r="Z13" s="73">
        <v>25</v>
      </c>
      <c r="AA13" s="70">
        <v>52</v>
      </c>
      <c r="AB13" s="71">
        <v>15</v>
      </c>
      <c r="AC13" s="70">
        <v>1</v>
      </c>
      <c r="AD13" s="74">
        <v>30</v>
      </c>
      <c r="AE13" s="75">
        <v>47</v>
      </c>
      <c r="AF13" s="76">
        <v>14</v>
      </c>
      <c r="AG13" s="77">
        <v>6.95</v>
      </c>
      <c r="AH13" s="78">
        <v>14.8</v>
      </c>
      <c r="AI13" s="79">
        <v>7.65</v>
      </c>
      <c r="AK13" s="67">
        <v>8.4000000000000005E-2</v>
      </c>
      <c r="AL13" s="68">
        <v>0.28000000000000003</v>
      </c>
      <c r="AM13" s="69">
        <v>1</v>
      </c>
      <c r="AN13" s="70">
        <v>0</v>
      </c>
      <c r="AO13" s="71">
        <v>0.56000000000000005</v>
      </c>
      <c r="AP13" s="72">
        <v>1.55</v>
      </c>
    </row>
    <row r="14" spans="2:43" ht="15" customHeight="1" x14ac:dyDescent="0.2">
      <c r="B14" s="6" t="s">
        <v>132</v>
      </c>
      <c r="C14" s="6"/>
      <c r="D14" s="6"/>
      <c r="H14" s="86">
        <v>3</v>
      </c>
      <c r="I14" s="47">
        <f t="shared" si="7"/>
        <v>1.4E-2</v>
      </c>
      <c r="J14" s="47">
        <f t="shared" si="2"/>
        <v>0</v>
      </c>
      <c r="K14" s="47">
        <f t="shared" si="3"/>
        <v>0.18809800634957716</v>
      </c>
      <c r="L14" s="47">
        <f t="shared" si="4"/>
        <v>1</v>
      </c>
      <c r="M14" s="47">
        <f>IF(J14&lt;=K14,0,0.863191147423464*(I14)^(-0.234866270653838))</f>
        <v>0</v>
      </c>
      <c r="N14" s="47">
        <f t="shared" si="5"/>
        <v>1.4732255838368402</v>
      </c>
      <c r="O14" s="47">
        <f t="shared" si="6"/>
        <v>17.557112756110314</v>
      </c>
      <c r="P14" s="11">
        <f t="shared" si="0"/>
        <v>19.5</v>
      </c>
      <c r="Q14" s="11">
        <f t="shared" si="1"/>
        <v>10</v>
      </c>
      <c r="Z14" s="73">
        <v>30</v>
      </c>
      <c r="AA14" s="70">
        <v>62</v>
      </c>
      <c r="AB14" s="71">
        <v>16</v>
      </c>
      <c r="AC14" s="70">
        <v>1</v>
      </c>
      <c r="AD14" s="74">
        <v>35</v>
      </c>
      <c r="AE14" s="75">
        <v>55</v>
      </c>
      <c r="AF14" s="76">
        <v>19.5</v>
      </c>
      <c r="AG14" s="77">
        <v>10</v>
      </c>
      <c r="AH14" s="78">
        <v>20.3</v>
      </c>
      <c r="AI14" s="79">
        <v>11</v>
      </c>
      <c r="AK14" s="67">
        <v>0.11</v>
      </c>
      <c r="AL14" s="68">
        <v>0.3</v>
      </c>
      <c r="AM14" s="69">
        <v>1</v>
      </c>
      <c r="AN14" s="70">
        <v>0</v>
      </c>
      <c r="AO14" s="71">
        <v>0.56000000000000005</v>
      </c>
      <c r="AP14" s="72">
        <v>1.45</v>
      </c>
    </row>
    <row r="15" spans="2:43" ht="15" customHeight="1" x14ac:dyDescent="0.2">
      <c r="B15" s="113" t="s">
        <v>133</v>
      </c>
      <c r="C15" s="115">
        <f>'L25 Gears Cont. Q25'!M25/10^3</f>
        <v>0.33121078773310253</v>
      </c>
      <c r="D15" s="113" t="str">
        <f>IF($D$2="English","klbf", "kN")</f>
        <v>klbf</v>
      </c>
      <c r="H15" s="86">
        <v>4</v>
      </c>
      <c r="I15" s="47">
        <f t="shared" si="7"/>
        <v>1.4E-2</v>
      </c>
      <c r="J15" s="47">
        <f t="shared" si="2"/>
        <v>0</v>
      </c>
      <c r="K15" s="47">
        <f t="shared" si="3"/>
        <v>0.18809800634957716</v>
      </c>
      <c r="L15" s="47">
        <f t="shared" si="4"/>
        <v>1</v>
      </c>
      <c r="M15" s="47">
        <f t="shared" si="8"/>
        <v>0</v>
      </c>
      <c r="N15" s="47">
        <f t="shared" si="5"/>
        <v>1.4732255838368402</v>
      </c>
      <c r="O15" s="47">
        <f t="shared" si="6"/>
        <v>17.557112756110314</v>
      </c>
      <c r="P15" s="11">
        <f t="shared" si="0"/>
        <v>19.5</v>
      </c>
      <c r="Q15" s="11">
        <f t="shared" si="1"/>
        <v>10</v>
      </c>
      <c r="Z15" s="73">
        <v>35</v>
      </c>
      <c r="AA15" s="70">
        <v>72</v>
      </c>
      <c r="AB15" s="71">
        <v>17</v>
      </c>
      <c r="AC15" s="70">
        <v>1</v>
      </c>
      <c r="AD15" s="74">
        <v>41</v>
      </c>
      <c r="AE15" s="75">
        <v>65</v>
      </c>
      <c r="AF15" s="76">
        <v>25.5</v>
      </c>
      <c r="AG15" s="77">
        <v>13.7</v>
      </c>
      <c r="AH15" s="78">
        <v>27</v>
      </c>
      <c r="AI15" s="79">
        <v>15</v>
      </c>
      <c r="AK15" s="89">
        <v>0.17</v>
      </c>
      <c r="AL15" s="68">
        <v>0.34</v>
      </c>
      <c r="AM15" s="69">
        <v>1</v>
      </c>
      <c r="AN15" s="70">
        <v>0</v>
      </c>
      <c r="AO15" s="71">
        <v>0.56000000000000005</v>
      </c>
      <c r="AP15" s="72">
        <v>1.31</v>
      </c>
    </row>
    <row r="16" spans="2:43" ht="15" customHeight="1" x14ac:dyDescent="0.2">
      <c r="B16" s="11"/>
      <c r="C16" s="48">
        <f>IF($D$2="English",C15*4.448, C15)</f>
        <v>1.4732255838368402</v>
      </c>
      <c r="D16" s="11" t="s">
        <v>78</v>
      </c>
      <c r="H16" s="86">
        <v>5</v>
      </c>
      <c r="I16" s="47">
        <f t="shared" si="7"/>
        <v>1.4E-2</v>
      </c>
      <c r="J16" s="47">
        <f t="shared" si="2"/>
        <v>0</v>
      </c>
      <c r="K16" s="47">
        <f t="shared" si="3"/>
        <v>0.18809800634957716</v>
      </c>
      <c r="L16" s="47">
        <f t="shared" si="4"/>
        <v>1</v>
      </c>
      <c r="M16" s="47">
        <f t="shared" si="8"/>
        <v>0</v>
      </c>
      <c r="N16" s="47">
        <f t="shared" si="5"/>
        <v>1.4732255838368402</v>
      </c>
      <c r="O16" s="47">
        <f t="shared" si="6"/>
        <v>17.557112756110314</v>
      </c>
      <c r="P16" s="11">
        <f t="shared" si="0"/>
        <v>19.5</v>
      </c>
      <c r="Q16" s="11">
        <f t="shared" si="1"/>
        <v>10</v>
      </c>
      <c r="Z16" s="73">
        <v>40</v>
      </c>
      <c r="AA16" s="70">
        <v>80</v>
      </c>
      <c r="AB16" s="71">
        <v>18</v>
      </c>
      <c r="AC16" s="70">
        <v>1</v>
      </c>
      <c r="AD16" s="74">
        <v>46</v>
      </c>
      <c r="AE16" s="75">
        <v>72</v>
      </c>
      <c r="AF16" s="76">
        <v>30.7</v>
      </c>
      <c r="AG16" s="77">
        <v>16.600000000000001</v>
      </c>
      <c r="AH16" s="78">
        <v>31.9</v>
      </c>
      <c r="AI16" s="79">
        <v>18.600000000000001</v>
      </c>
      <c r="AK16" s="89">
        <v>0.28000000000000003</v>
      </c>
      <c r="AL16" s="68">
        <v>0.38</v>
      </c>
      <c r="AM16" s="69">
        <v>1</v>
      </c>
      <c r="AN16" s="70">
        <v>0</v>
      </c>
      <c r="AO16" s="71">
        <v>0.56000000000000005</v>
      </c>
      <c r="AP16" s="72">
        <v>1.1499999999999999</v>
      </c>
    </row>
    <row r="17" spans="2:42" ht="15" customHeight="1" x14ac:dyDescent="0.2">
      <c r="B17" s="10" t="s">
        <v>134</v>
      </c>
      <c r="C17" s="88"/>
      <c r="D17" s="10" t="str">
        <f>IF($D$2="English","klbf", "kN")</f>
        <v>klbf</v>
      </c>
      <c r="H17" s="86">
        <v>6</v>
      </c>
      <c r="I17" s="47">
        <f t="shared" si="7"/>
        <v>1.4E-2</v>
      </c>
      <c r="J17" s="47">
        <f t="shared" si="2"/>
        <v>0</v>
      </c>
      <c r="K17" s="47">
        <f t="shared" si="3"/>
        <v>0.18809800634957716</v>
      </c>
      <c r="L17" s="47">
        <f t="shared" si="4"/>
        <v>1</v>
      </c>
      <c r="M17" s="47">
        <f t="shared" si="8"/>
        <v>0</v>
      </c>
      <c r="N17" s="47">
        <f t="shared" si="5"/>
        <v>1.4732255838368402</v>
      </c>
      <c r="O17" s="47">
        <f t="shared" si="6"/>
        <v>17.557112756110314</v>
      </c>
      <c r="P17" s="11">
        <f t="shared" si="0"/>
        <v>19.5</v>
      </c>
      <c r="Q17" s="11">
        <f t="shared" si="1"/>
        <v>10</v>
      </c>
      <c r="Z17" s="73">
        <v>45</v>
      </c>
      <c r="AA17" s="70">
        <v>85</v>
      </c>
      <c r="AB17" s="71">
        <v>19</v>
      </c>
      <c r="AC17" s="70">
        <v>1</v>
      </c>
      <c r="AD17" s="74">
        <v>52</v>
      </c>
      <c r="AE17" s="75">
        <v>77</v>
      </c>
      <c r="AF17" s="76">
        <v>33.200000000000003</v>
      </c>
      <c r="AG17" s="77">
        <v>18.600000000000001</v>
      </c>
      <c r="AH17" s="78">
        <v>35.799999999999997</v>
      </c>
      <c r="AI17" s="79">
        <v>21.2</v>
      </c>
      <c r="AK17" s="89">
        <v>0.42</v>
      </c>
      <c r="AL17" s="68">
        <v>0.42</v>
      </c>
      <c r="AM17" s="69">
        <v>1</v>
      </c>
      <c r="AN17" s="70">
        <v>0</v>
      </c>
      <c r="AO17" s="71">
        <v>0.56000000000000005</v>
      </c>
      <c r="AP17" s="72">
        <v>1.04</v>
      </c>
    </row>
    <row r="18" spans="2:42" ht="15" customHeight="1" thickBot="1" x14ac:dyDescent="0.25">
      <c r="B18" s="11"/>
      <c r="C18" s="48">
        <f>IF($D$2="English",C17*4.448, C17)</f>
        <v>0</v>
      </c>
      <c r="D18" s="11" t="s">
        <v>78</v>
      </c>
      <c r="H18" s="86">
        <v>7</v>
      </c>
      <c r="I18" s="47">
        <f t="shared" si="7"/>
        <v>1.4E-2</v>
      </c>
      <c r="J18" s="47">
        <f t="shared" si="2"/>
        <v>0</v>
      </c>
      <c r="K18" s="47">
        <f t="shared" si="3"/>
        <v>0.18809800634957716</v>
      </c>
      <c r="L18" s="47">
        <f t="shared" si="4"/>
        <v>1</v>
      </c>
      <c r="M18" s="47">
        <f t="shared" si="8"/>
        <v>0</v>
      </c>
      <c r="N18" s="47">
        <f t="shared" si="5"/>
        <v>1.4732255838368402</v>
      </c>
      <c r="O18" s="47">
        <f t="shared" si="6"/>
        <v>17.557112756110314</v>
      </c>
      <c r="P18" s="11">
        <f t="shared" si="0"/>
        <v>19.5</v>
      </c>
      <c r="Q18" s="11">
        <f t="shared" si="1"/>
        <v>10</v>
      </c>
      <c r="Z18" s="73">
        <v>50</v>
      </c>
      <c r="AA18" s="70">
        <v>90</v>
      </c>
      <c r="AB18" s="71">
        <v>20</v>
      </c>
      <c r="AC18" s="70">
        <v>1</v>
      </c>
      <c r="AD18" s="74">
        <v>56</v>
      </c>
      <c r="AE18" s="75">
        <v>82</v>
      </c>
      <c r="AF18" s="76">
        <v>35.1</v>
      </c>
      <c r="AG18" s="77">
        <v>19.600000000000001</v>
      </c>
      <c r="AH18" s="78">
        <v>37.700000000000003</v>
      </c>
      <c r="AI18" s="79">
        <v>22.8</v>
      </c>
      <c r="AK18" s="90">
        <v>0.56000000000000005</v>
      </c>
      <c r="AL18" s="91">
        <v>0.44</v>
      </c>
      <c r="AM18" s="92">
        <v>1</v>
      </c>
      <c r="AN18" s="93">
        <v>0</v>
      </c>
      <c r="AO18" s="61">
        <v>0.56000000000000005</v>
      </c>
      <c r="AP18" s="94">
        <v>1</v>
      </c>
    </row>
    <row r="19" spans="2:42" ht="15" customHeight="1" x14ac:dyDescent="0.2">
      <c r="B19" s="10" t="s">
        <v>135</v>
      </c>
      <c r="C19" s="95">
        <v>1</v>
      </c>
      <c r="D19" s="87"/>
      <c r="H19" s="86">
        <v>8</v>
      </c>
      <c r="I19" s="47">
        <f>IF($C$18/Q18 &lt; 0.014, 0.014, $C$18/Q18)</f>
        <v>1.4E-2</v>
      </c>
      <c r="J19" s="47">
        <f t="shared" si="2"/>
        <v>0</v>
      </c>
      <c r="K19" s="47">
        <f>0.506467531924409*(I19)^0.23203728471849</f>
        <v>0.18809800634957716</v>
      </c>
      <c r="L19" s="47">
        <f>IF(J19&lt;=K19,1,0.56)</f>
        <v>1</v>
      </c>
      <c r="M19" s="47">
        <f>IF(J19&lt;=K19,0,0.863191147423464*(I19)^(-0.234866270653838))</f>
        <v>0</v>
      </c>
      <c r="N19" s="47">
        <f>L19*$C$9*$C$16 + M19*$C$18</f>
        <v>1.4732255838368402</v>
      </c>
      <c r="O19" s="47">
        <f t="shared" si="6"/>
        <v>17.557112756110314</v>
      </c>
      <c r="P19" s="11">
        <f t="shared" si="0"/>
        <v>19.5</v>
      </c>
      <c r="Q19" s="11">
        <f t="shared" si="1"/>
        <v>10</v>
      </c>
      <c r="Z19" s="73">
        <v>55</v>
      </c>
      <c r="AA19" s="70">
        <v>100</v>
      </c>
      <c r="AB19" s="71">
        <v>21</v>
      </c>
      <c r="AC19" s="70">
        <v>1.5</v>
      </c>
      <c r="AD19" s="74">
        <v>63</v>
      </c>
      <c r="AE19" s="75">
        <v>90</v>
      </c>
      <c r="AF19" s="76">
        <v>43.6</v>
      </c>
      <c r="AG19" s="77">
        <v>25</v>
      </c>
      <c r="AH19" s="78">
        <v>46.2</v>
      </c>
      <c r="AI19" s="79">
        <v>28.5</v>
      </c>
    </row>
    <row r="20" spans="2:42" ht="15" customHeight="1" x14ac:dyDescent="0.2">
      <c r="H20" s="86">
        <v>9</v>
      </c>
      <c r="I20" s="47">
        <f>IF($C$18/Q19 &lt; 0.014, 0.014, $C$18/Q19)</f>
        <v>1.4E-2</v>
      </c>
      <c r="J20" s="47">
        <f t="shared" si="2"/>
        <v>0</v>
      </c>
      <c r="K20" s="47">
        <f>0.506467531924409*(I20)^0.23203728471849</f>
        <v>0.18809800634957716</v>
      </c>
      <c r="L20" s="47">
        <f>IF(J20&lt;=K20,1,0.56)</f>
        <v>1</v>
      </c>
      <c r="M20" s="47">
        <f>IF(J20&lt;=K20,0,0.863191147423464*(I20)^(-0.234866270653838))</f>
        <v>0</v>
      </c>
      <c r="N20" s="47">
        <f>L20*$C$9*$C$16 + M20*$C$18</f>
        <v>1.4732255838368402</v>
      </c>
      <c r="O20" s="47">
        <f t="shared" si="6"/>
        <v>17.557112756110314</v>
      </c>
      <c r="P20" s="11">
        <f t="shared" si="0"/>
        <v>19.5</v>
      </c>
      <c r="Q20" s="11">
        <f t="shared" si="1"/>
        <v>10</v>
      </c>
      <c r="Z20" s="73">
        <v>60</v>
      </c>
      <c r="AA20" s="70">
        <v>110</v>
      </c>
      <c r="AB20" s="71">
        <v>22</v>
      </c>
      <c r="AC20" s="70">
        <v>1.5</v>
      </c>
      <c r="AD20" s="74">
        <v>70</v>
      </c>
      <c r="AE20" s="75">
        <v>99</v>
      </c>
      <c r="AF20" s="76">
        <v>47.5</v>
      </c>
      <c r="AG20" s="77">
        <v>28</v>
      </c>
      <c r="AH20" s="78">
        <v>55.9</v>
      </c>
      <c r="AI20" s="79">
        <v>35.5</v>
      </c>
    </row>
    <row r="21" spans="2:42" ht="15" customHeight="1" x14ac:dyDescent="0.2">
      <c r="B21" s="6" t="s">
        <v>136</v>
      </c>
      <c r="C21" s="6"/>
      <c r="D21" s="6"/>
      <c r="H21" s="86">
        <v>10</v>
      </c>
      <c r="I21" s="47">
        <f>IF($C$18/Q20 &lt; 0.014, 0.014, $C$18/Q20)</f>
        <v>1.4E-2</v>
      </c>
      <c r="J21" s="47">
        <f t="shared" si="2"/>
        <v>0</v>
      </c>
      <c r="K21" s="47">
        <f>0.506467531924409*(I21)^0.23203728471849</f>
        <v>0.18809800634957716</v>
      </c>
      <c r="L21" s="47">
        <f>IF(J21&lt;=K21,1,0.56)</f>
        <v>1</v>
      </c>
      <c r="M21" s="47">
        <f>IF(J21&lt;=K21,0,0.863191147423464*(I21)^(-0.234866270653838))</f>
        <v>0</v>
      </c>
      <c r="N21" s="47">
        <f>L21*$C$9*$C$16 + M21*$C$18</f>
        <v>1.4732255838368402</v>
      </c>
      <c r="O21" s="47">
        <f t="shared" si="6"/>
        <v>17.557112756110314</v>
      </c>
      <c r="P21" s="11">
        <f t="shared" si="0"/>
        <v>19.5</v>
      </c>
      <c r="Q21" s="11">
        <f t="shared" si="1"/>
        <v>10</v>
      </c>
      <c r="Z21" s="73">
        <v>65</v>
      </c>
      <c r="AA21" s="70">
        <v>120</v>
      </c>
      <c r="AB21" s="71">
        <v>23</v>
      </c>
      <c r="AC21" s="70">
        <v>1.5</v>
      </c>
      <c r="AD21" s="74">
        <v>74</v>
      </c>
      <c r="AE21" s="75">
        <v>109</v>
      </c>
      <c r="AF21" s="76">
        <v>55.9</v>
      </c>
      <c r="AG21" s="77">
        <v>34</v>
      </c>
      <c r="AH21" s="78">
        <v>63.7</v>
      </c>
      <c r="AI21" s="79">
        <v>41.5</v>
      </c>
    </row>
    <row r="22" spans="2:42" ht="15" customHeight="1" x14ac:dyDescent="0.2">
      <c r="B22" s="10" t="s">
        <v>137</v>
      </c>
      <c r="C22" s="96">
        <v>4000</v>
      </c>
      <c r="D22" s="10" t="s">
        <v>138</v>
      </c>
      <c r="Z22" s="73">
        <v>70</v>
      </c>
      <c r="AA22" s="70">
        <v>125</v>
      </c>
      <c r="AB22" s="71">
        <v>24</v>
      </c>
      <c r="AC22" s="70">
        <v>1.5</v>
      </c>
      <c r="AD22" s="74">
        <v>79</v>
      </c>
      <c r="AE22" s="75">
        <v>114</v>
      </c>
      <c r="AF22" s="76">
        <v>61.8</v>
      </c>
      <c r="AG22" s="77">
        <v>37.5</v>
      </c>
      <c r="AH22" s="78">
        <v>68.900000000000006</v>
      </c>
      <c r="AI22" s="79">
        <v>45.5</v>
      </c>
    </row>
    <row r="23" spans="2:42" ht="15" customHeight="1" x14ac:dyDescent="0.2">
      <c r="B23" s="113" t="s">
        <v>139</v>
      </c>
      <c r="C23" s="114">
        <f>'L25 Gears Cont. Q25'!I23</f>
        <v>1800</v>
      </c>
      <c r="D23" s="113" t="s">
        <v>140</v>
      </c>
      <c r="H23" s="80" t="s">
        <v>141</v>
      </c>
      <c r="I23" s="80"/>
      <c r="J23" s="80"/>
      <c r="Z23" s="73">
        <v>75</v>
      </c>
      <c r="AA23" s="70">
        <v>130</v>
      </c>
      <c r="AB23" s="71">
        <v>25</v>
      </c>
      <c r="AC23" s="70">
        <v>1.5</v>
      </c>
      <c r="AD23" s="74">
        <v>86</v>
      </c>
      <c r="AE23" s="75">
        <v>119</v>
      </c>
      <c r="AF23" s="76">
        <v>66.3</v>
      </c>
      <c r="AG23" s="77">
        <v>40.5</v>
      </c>
      <c r="AH23" s="78">
        <v>71.5</v>
      </c>
      <c r="AI23" s="79">
        <v>49</v>
      </c>
    </row>
    <row r="24" spans="2:42" ht="15" customHeight="1" x14ac:dyDescent="0.2">
      <c r="B24" s="11" t="s">
        <v>142</v>
      </c>
      <c r="C24" s="97">
        <f>IF(F25,C25,C22*C23*60)</f>
        <v>432000000</v>
      </c>
      <c r="D24" s="11" t="s">
        <v>143</v>
      </c>
      <c r="H24" s="11" t="s">
        <v>144</v>
      </c>
      <c r="I24" s="11">
        <f>P21</f>
        <v>19.5</v>
      </c>
      <c r="J24" s="11" t="s">
        <v>78</v>
      </c>
      <c r="Z24" s="73">
        <v>80</v>
      </c>
      <c r="AA24" s="70">
        <v>140</v>
      </c>
      <c r="AB24" s="71">
        <v>26</v>
      </c>
      <c r="AC24" s="70">
        <v>2</v>
      </c>
      <c r="AD24" s="74">
        <v>93</v>
      </c>
      <c r="AE24" s="75">
        <v>127</v>
      </c>
      <c r="AF24" s="76">
        <v>70.2</v>
      </c>
      <c r="AG24" s="77">
        <v>45</v>
      </c>
      <c r="AH24" s="78">
        <v>80.599999999999994</v>
      </c>
      <c r="AI24" s="79">
        <v>55</v>
      </c>
    </row>
    <row r="25" spans="2:42" ht="15" customHeight="1" x14ac:dyDescent="0.2">
      <c r="B25" s="10"/>
      <c r="C25" s="96"/>
      <c r="D25" s="10" t="s">
        <v>143</v>
      </c>
      <c r="E25" s="10" t="s">
        <v>145</v>
      </c>
      <c r="F25" s="19" t="b">
        <v>0</v>
      </c>
      <c r="H25" s="47"/>
      <c r="I25" s="47">
        <f>I24/4.448</f>
        <v>4.383992805755395</v>
      </c>
      <c r="J25" s="47" t="s">
        <v>146</v>
      </c>
      <c r="Z25" s="73">
        <v>85</v>
      </c>
      <c r="AA25" s="70">
        <v>150</v>
      </c>
      <c r="AB25" s="71">
        <v>28</v>
      </c>
      <c r="AC25" s="70">
        <v>2</v>
      </c>
      <c r="AD25" s="74">
        <v>99</v>
      </c>
      <c r="AE25" s="75">
        <v>136</v>
      </c>
      <c r="AF25" s="76">
        <v>83.2</v>
      </c>
      <c r="AG25" s="77">
        <v>53</v>
      </c>
      <c r="AH25" s="78">
        <v>90.4</v>
      </c>
      <c r="AI25" s="79">
        <v>63</v>
      </c>
    </row>
    <row r="26" spans="2:42" ht="15" customHeight="1" x14ac:dyDescent="0.2">
      <c r="H26" s="11" t="s">
        <v>147</v>
      </c>
      <c r="I26" s="11">
        <f>Q21</f>
        <v>10</v>
      </c>
      <c r="J26" s="11" t="s">
        <v>78</v>
      </c>
      <c r="Z26" s="73">
        <v>90</v>
      </c>
      <c r="AA26" s="70">
        <v>160</v>
      </c>
      <c r="AB26" s="71">
        <v>30</v>
      </c>
      <c r="AC26" s="70">
        <v>2</v>
      </c>
      <c r="AD26" s="74">
        <v>104</v>
      </c>
      <c r="AE26" s="75">
        <v>146</v>
      </c>
      <c r="AF26" s="76">
        <v>95.6</v>
      </c>
      <c r="AG26" s="77">
        <v>62</v>
      </c>
      <c r="AH26" s="78">
        <v>106</v>
      </c>
      <c r="AI26" s="79">
        <v>73.5</v>
      </c>
    </row>
    <row r="27" spans="2:42" ht="15" customHeight="1" thickBot="1" x14ac:dyDescent="0.25">
      <c r="B27" s="98" t="s">
        <v>148</v>
      </c>
      <c r="C27" s="98"/>
      <c r="D27" s="98"/>
      <c r="E27" s="99" t="s">
        <v>149</v>
      </c>
      <c r="F27" s="98">
        <f>EXP(-1*((1 - C29) / (C30 - C29))^C31)</f>
        <v>0.89903790414205775</v>
      </c>
      <c r="H27" s="47"/>
      <c r="I27" s="47">
        <f>I26/4.448</f>
        <v>2.2482014388489207</v>
      </c>
      <c r="J27" s="47" t="s">
        <v>146</v>
      </c>
      <c r="Z27" s="59">
        <v>95</v>
      </c>
      <c r="AA27" s="93">
        <v>170</v>
      </c>
      <c r="AB27" s="61">
        <v>32</v>
      </c>
      <c r="AC27" s="93">
        <v>2</v>
      </c>
      <c r="AD27" s="100">
        <v>110</v>
      </c>
      <c r="AE27" s="101">
        <v>156</v>
      </c>
      <c r="AF27" s="102">
        <v>108</v>
      </c>
      <c r="AG27" s="103">
        <v>69.5</v>
      </c>
      <c r="AH27" s="104">
        <v>121</v>
      </c>
      <c r="AI27" s="105">
        <v>85</v>
      </c>
    </row>
    <row r="28" spans="2:42" ht="15" customHeight="1" x14ac:dyDescent="0.2">
      <c r="B28" s="11" t="s">
        <v>150</v>
      </c>
      <c r="C28" s="97">
        <f>IF(F36,C37,VLOOKUP($C$5,$T$6:$X$7,2,FALSE))</f>
        <v>1000000</v>
      </c>
      <c r="D28" s="11" t="s">
        <v>143</v>
      </c>
    </row>
    <row r="29" spans="2:42" ht="15" customHeight="1" x14ac:dyDescent="0.2">
      <c r="B29" s="11" t="s">
        <v>87</v>
      </c>
      <c r="C29" s="106">
        <f>IF(F36,C38,VLOOKUP($C$5,$T$6:$X$7,3,FALSE))</f>
        <v>0.02</v>
      </c>
      <c r="D29" s="11"/>
    </row>
    <row r="30" spans="2:42" ht="15" customHeight="1" x14ac:dyDescent="0.2">
      <c r="B30" s="11" t="s">
        <v>88</v>
      </c>
      <c r="C30" s="106">
        <f>IF(F36,C40,VLOOKUP($C$5,$T$6:$X$7,4,FALSE))</f>
        <v>4.4589999999999996</v>
      </c>
      <c r="D30" s="11"/>
    </row>
    <row r="31" spans="2:42" ht="15" customHeight="1" x14ac:dyDescent="0.2">
      <c r="B31" s="11" t="s">
        <v>89</v>
      </c>
      <c r="C31" s="106">
        <f>IF(F36,C42,VLOOKUP($C$5,$T$6:$X$7,5,FALSE))</f>
        <v>1.4830000000000001</v>
      </c>
      <c r="D31" s="11"/>
    </row>
    <row r="32" spans="2:42" ht="15" customHeight="1" x14ac:dyDescent="0.2">
      <c r="B32" s="11" t="s">
        <v>151</v>
      </c>
      <c r="C32" s="107">
        <f>IF(F33,C33,C24/C28)</f>
        <v>432</v>
      </c>
      <c r="D32" s="11" t="s">
        <v>143</v>
      </c>
    </row>
    <row r="33" spans="2:6" ht="15" customHeight="1" x14ac:dyDescent="0.2">
      <c r="B33" s="10"/>
      <c r="C33" s="10"/>
      <c r="D33" s="10" t="s">
        <v>143</v>
      </c>
      <c r="E33" s="10" t="s">
        <v>152</v>
      </c>
      <c r="F33" s="19" t="b">
        <v>0</v>
      </c>
    </row>
    <row r="34" spans="2:6" ht="15" customHeight="1" x14ac:dyDescent="0.2">
      <c r="B34" s="11" t="s">
        <v>153</v>
      </c>
      <c r="C34" s="48">
        <f>C29+(C30-C29)*(LN(C6^-1))^(1/C31)</f>
        <v>0.25523028673997555</v>
      </c>
      <c r="D34" s="85"/>
      <c r="E34" s="108" t="s">
        <v>154</v>
      </c>
      <c r="F34" s="109">
        <f>C6</f>
        <v>0.98725854490143383</v>
      </c>
    </row>
    <row r="36" spans="2:6" ht="15" customHeight="1" x14ac:dyDescent="0.2">
      <c r="B36" s="6" t="s">
        <v>155</v>
      </c>
      <c r="C36" s="6"/>
      <c r="D36" s="6"/>
      <c r="E36" s="10" t="s">
        <v>156</v>
      </c>
      <c r="F36" s="19" t="b">
        <v>0</v>
      </c>
    </row>
    <row r="37" spans="2:6" ht="15" customHeight="1" x14ac:dyDescent="0.2">
      <c r="B37" s="10" t="s">
        <v>150</v>
      </c>
      <c r="C37" s="110">
        <f>10^6</f>
        <v>1000000</v>
      </c>
      <c r="D37" s="10" t="s">
        <v>143</v>
      </c>
    </row>
    <row r="38" spans="2:6" ht="15" customHeight="1" x14ac:dyDescent="0.2">
      <c r="B38" s="10" t="s">
        <v>87</v>
      </c>
      <c r="C38" s="111">
        <v>0.02</v>
      </c>
      <c r="D38" s="87"/>
    </row>
    <row r="39" spans="2:6" ht="15" customHeight="1" x14ac:dyDescent="0.2">
      <c r="B39" s="10" t="s">
        <v>157</v>
      </c>
      <c r="C39" s="88">
        <v>4.4390000000000001</v>
      </c>
      <c r="D39" s="87"/>
    </row>
    <row r="40" spans="2:6" ht="15" customHeight="1" x14ac:dyDescent="0.2">
      <c r="B40" s="11" t="s">
        <v>88</v>
      </c>
      <c r="C40" s="48">
        <f>IF(F41,C41,C39+C38)</f>
        <v>4.4589999999999996</v>
      </c>
      <c r="D40" s="85"/>
    </row>
    <row r="41" spans="2:6" ht="15" customHeight="1" x14ac:dyDescent="0.2">
      <c r="B41" s="10"/>
      <c r="C41" s="10"/>
      <c r="D41" s="10" t="s">
        <v>143</v>
      </c>
      <c r="E41" s="10" t="s">
        <v>158</v>
      </c>
      <c r="F41" s="19" t="b">
        <v>0</v>
      </c>
    </row>
    <row r="42" spans="2:6" ht="15" customHeight="1" x14ac:dyDescent="0.2">
      <c r="B42" s="10" t="s">
        <v>89</v>
      </c>
      <c r="C42" s="88">
        <v>1.4830000000000001</v>
      </c>
      <c r="D42" s="87"/>
    </row>
    <row r="57" spans="26:34" ht="15" customHeight="1" thickBot="1" x14ac:dyDescent="0.25"/>
    <row r="58" spans="26:34" ht="15" customHeight="1" x14ac:dyDescent="0.2">
      <c r="Z58" s="49" t="s">
        <v>159</v>
      </c>
      <c r="AA58" s="50"/>
      <c r="AB58" s="50"/>
      <c r="AC58" s="50"/>
      <c r="AD58" s="50"/>
      <c r="AE58" s="50"/>
      <c r="AF58" s="50"/>
      <c r="AG58" s="50"/>
      <c r="AH58" s="51"/>
    </row>
    <row r="59" spans="26:34" ht="15" customHeight="1" x14ac:dyDescent="0.2">
      <c r="Z59" s="112"/>
      <c r="AA59" s="128" t="s">
        <v>160</v>
      </c>
      <c r="AB59" s="121"/>
      <c r="AC59" s="121"/>
      <c r="AD59" s="129"/>
      <c r="AE59" s="121" t="s">
        <v>161</v>
      </c>
      <c r="AF59" s="121"/>
      <c r="AG59" s="121"/>
      <c r="AH59" s="130"/>
    </row>
    <row r="60" spans="26:34" ht="15" customHeight="1" x14ac:dyDescent="0.2">
      <c r="Z60" s="117" t="s">
        <v>90</v>
      </c>
      <c r="AA60" s="119" t="s">
        <v>91</v>
      </c>
      <c r="AB60" s="119" t="s">
        <v>92</v>
      </c>
      <c r="AC60" s="131" t="s">
        <v>162</v>
      </c>
      <c r="AD60" s="131"/>
      <c r="AE60" s="119" t="s">
        <v>91</v>
      </c>
      <c r="AF60" s="119" t="s">
        <v>92</v>
      </c>
      <c r="AG60" s="132" t="s">
        <v>162</v>
      </c>
      <c r="AH60" s="133"/>
    </row>
    <row r="61" spans="26:34" ht="15" customHeight="1" x14ac:dyDescent="0.2">
      <c r="Z61" s="118"/>
      <c r="AA61" s="120"/>
      <c r="AB61" s="120"/>
      <c r="AC61" s="64" t="s">
        <v>115</v>
      </c>
      <c r="AD61" s="64" t="s">
        <v>116</v>
      </c>
      <c r="AE61" s="120"/>
      <c r="AF61" s="120"/>
      <c r="AG61" s="65" t="s">
        <v>115</v>
      </c>
      <c r="AH61" s="66" t="s">
        <v>116</v>
      </c>
    </row>
    <row r="62" spans="26:34" ht="15" customHeight="1" x14ac:dyDescent="0.2">
      <c r="Z62" s="73">
        <v>25</v>
      </c>
      <c r="AA62" s="70">
        <v>52</v>
      </c>
      <c r="AB62" s="71">
        <v>15</v>
      </c>
      <c r="AC62" s="76">
        <v>16.8</v>
      </c>
      <c r="AD62" s="77">
        <v>8.8000000000000007</v>
      </c>
      <c r="AE62" s="71">
        <v>62</v>
      </c>
      <c r="AF62" s="70">
        <v>17</v>
      </c>
      <c r="AG62" s="78">
        <v>28.6</v>
      </c>
      <c r="AH62" s="79">
        <v>15</v>
      </c>
    </row>
    <row r="63" spans="26:34" ht="15" customHeight="1" x14ac:dyDescent="0.2">
      <c r="Z63" s="73">
        <v>30</v>
      </c>
      <c r="AA63" s="70">
        <v>62</v>
      </c>
      <c r="AB63" s="71">
        <v>16</v>
      </c>
      <c r="AC63" s="76">
        <v>22.4</v>
      </c>
      <c r="AD63" s="77">
        <v>12</v>
      </c>
      <c r="AE63" s="71">
        <v>72</v>
      </c>
      <c r="AF63" s="70">
        <v>19</v>
      </c>
      <c r="AG63" s="78">
        <v>36.9</v>
      </c>
      <c r="AH63" s="79">
        <v>20</v>
      </c>
    </row>
    <row r="64" spans="26:34" ht="15" customHeight="1" x14ac:dyDescent="0.2">
      <c r="Z64" s="73">
        <v>35</v>
      </c>
      <c r="AA64" s="70">
        <v>72</v>
      </c>
      <c r="AB64" s="71">
        <v>17</v>
      </c>
      <c r="AC64" s="76">
        <v>31.9</v>
      </c>
      <c r="AD64" s="77">
        <v>17.600000000000001</v>
      </c>
      <c r="AE64" s="71">
        <v>80</v>
      </c>
      <c r="AF64" s="70">
        <v>21</v>
      </c>
      <c r="AG64" s="78">
        <v>44.6</v>
      </c>
      <c r="AH64" s="79">
        <v>27.1</v>
      </c>
    </row>
    <row r="65" spans="26:34" ht="15" customHeight="1" x14ac:dyDescent="0.2">
      <c r="Z65" s="73">
        <v>40</v>
      </c>
      <c r="AA65" s="70">
        <v>80</v>
      </c>
      <c r="AB65" s="71">
        <v>18</v>
      </c>
      <c r="AC65" s="76">
        <v>41.8</v>
      </c>
      <c r="AD65" s="77">
        <v>24</v>
      </c>
      <c r="AE65" s="71">
        <v>90</v>
      </c>
      <c r="AF65" s="70">
        <v>23</v>
      </c>
      <c r="AG65" s="78">
        <v>56.1</v>
      </c>
      <c r="AH65" s="79">
        <v>32.5</v>
      </c>
    </row>
    <row r="66" spans="26:34" ht="15" customHeight="1" x14ac:dyDescent="0.2">
      <c r="Z66" s="73">
        <v>45</v>
      </c>
      <c r="AA66" s="70">
        <v>85</v>
      </c>
      <c r="AB66" s="71">
        <v>19</v>
      </c>
      <c r="AC66" s="76">
        <v>44</v>
      </c>
      <c r="AD66" s="77">
        <v>25.5</v>
      </c>
      <c r="AE66" s="71">
        <v>100</v>
      </c>
      <c r="AF66" s="70">
        <v>25</v>
      </c>
      <c r="AG66" s="78">
        <v>72.099999999999994</v>
      </c>
      <c r="AH66" s="79">
        <v>45.4</v>
      </c>
    </row>
    <row r="67" spans="26:34" ht="15" customHeight="1" x14ac:dyDescent="0.2">
      <c r="Z67" s="73">
        <v>50</v>
      </c>
      <c r="AA67" s="70">
        <v>90</v>
      </c>
      <c r="AB67" s="71">
        <v>20</v>
      </c>
      <c r="AC67" s="76">
        <v>45.7</v>
      </c>
      <c r="AD67" s="77">
        <v>27.5</v>
      </c>
      <c r="AE67" s="71">
        <v>110</v>
      </c>
      <c r="AF67" s="70">
        <v>27</v>
      </c>
      <c r="AG67" s="78">
        <v>88</v>
      </c>
      <c r="AH67" s="79">
        <v>52</v>
      </c>
    </row>
    <row r="68" spans="26:34" ht="15" customHeight="1" x14ac:dyDescent="0.2">
      <c r="Z68" s="73">
        <v>55</v>
      </c>
      <c r="AA68" s="70">
        <v>100</v>
      </c>
      <c r="AB68" s="71">
        <v>21</v>
      </c>
      <c r="AC68" s="76">
        <v>56.1</v>
      </c>
      <c r="AD68" s="77">
        <v>34</v>
      </c>
      <c r="AE68" s="71">
        <v>120</v>
      </c>
      <c r="AF68" s="70">
        <v>29</v>
      </c>
      <c r="AG68" s="78">
        <v>102</v>
      </c>
      <c r="AH68" s="79">
        <v>67.2</v>
      </c>
    </row>
    <row r="69" spans="26:34" ht="15" customHeight="1" x14ac:dyDescent="0.2">
      <c r="Z69" s="73">
        <v>60</v>
      </c>
      <c r="AA69" s="70">
        <v>110</v>
      </c>
      <c r="AB69" s="71">
        <v>22</v>
      </c>
      <c r="AC69" s="76">
        <v>64.400000000000006</v>
      </c>
      <c r="AD69" s="77">
        <v>43.1</v>
      </c>
      <c r="AE69" s="71">
        <v>130</v>
      </c>
      <c r="AF69" s="70">
        <v>31</v>
      </c>
      <c r="AG69" s="78">
        <v>123</v>
      </c>
      <c r="AH69" s="79">
        <v>76.5</v>
      </c>
    </row>
    <row r="70" spans="26:34" ht="15" customHeight="1" x14ac:dyDescent="0.2">
      <c r="Z70" s="73">
        <v>65</v>
      </c>
      <c r="AA70" s="70">
        <v>120</v>
      </c>
      <c r="AB70" s="71">
        <v>23</v>
      </c>
      <c r="AC70" s="76">
        <v>76.5</v>
      </c>
      <c r="AD70" s="77">
        <v>51.2</v>
      </c>
      <c r="AE70" s="71">
        <v>140</v>
      </c>
      <c r="AF70" s="70">
        <v>33</v>
      </c>
      <c r="AG70" s="78">
        <v>138</v>
      </c>
      <c r="AH70" s="79">
        <v>85</v>
      </c>
    </row>
    <row r="71" spans="26:34" ht="15" customHeight="1" x14ac:dyDescent="0.2">
      <c r="Z71" s="73">
        <v>70</v>
      </c>
      <c r="AA71" s="70">
        <v>125</v>
      </c>
      <c r="AB71" s="71">
        <v>24</v>
      </c>
      <c r="AC71" s="76">
        <v>79.2</v>
      </c>
      <c r="AD71" s="77">
        <v>51.2</v>
      </c>
      <c r="AE71" s="71">
        <v>150</v>
      </c>
      <c r="AF71" s="70">
        <v>35</v>
      </c>
      <c r="AG71" s="78">
        <v>151</v>
      </c>
      <c r="AH71" s="79">
        <v>102</v>
      </c>
    </row>
    <row r="72" spans="26:34" ht="15" customHeight="1" x14ac:dyDescent="0.2">
      <c r="Z72" s="73">
        <v>75</v>
      </c>
      <c r="AA72" s="70">
        <v>130</v>
      </c>
      <c r="AB72" s="71">
        <v>25</v>
      </c>
      <c r="AC72" s="76">
        <v>93.1</v>
      </c>
      <c r="AD72" s="77">
        <v>69.400000000000006</v>
      </c>
      <c r="AE72" s="71">
        <v>160</v>
      </c>
      <c r="AF72" s="70">
        <v>37</v>
      </c>
      <c r="AG72" s="78">
        <v>183</v>
      </c>
      <c r="AH72" s="79">
        <v>125</v>
      </c>
    </row>
    <row r="73" spans="26:34" ht="15" customHeight="1" x14ac:dyDescent="0.2">
      <c r="Z73" s="73">
        <v>80</v>
      </c>
      <c r="AA73" s="70">
        <v>140</v>
      </c>
      <c r="AB73" s="71">
        <v>26</v>
      </c>
      <c r="AC73" s="76">
        <v>106</v>
      </c>
      <c r="AD73" s="77">
        <v>78.3</v>
      </c>
      <c r="AE73" s="71">
        <v>170</v>
      </c>
      <c r="AF73" s="70">
        <v>39</v>
      </c>
      <c r="AG73" s="78">
        <v>190</v>
      </c>
      <c r="AH73" s="79">
        <v>125</v>
      </c>
    </row>
    <row r="74" spans="26:34" ht="15" customHeight="1" x14ac:dyDescent="0.2">
      <c r="Z74" s="73">
        <v>85</v>
      </c>
      <c r="AA74" s="70">
        <v>150</v>
      </c>
      <c r="AB74" s="71">
        <v>28</v>
      </c>
      <c r="AC74" s="76">
        <v>119</v>
      </c>
      <c r="AD74" s="77">
        <v>78.3</v>
      </c>
      <c r="AE74" s="71">
        <v>180</v>
      </c>
      <c r="AF74" s="70">
        <v>41</v>
      </c>
      <c r="AG74" s="78">
        <v>212</v>
      </c>
      <c r="AH74" s="79">
        <v>149</v>
      </c>
    </row>
    <row r="75" spans="26:34" ht="15" customHeight="1" x14ac:dyDescent="0.2">
      <c r="Z75" s="73">
        <v>90</v>
      </c>
      <c r="AA75" s="70">
        <v>160</v>
      </c>
      <c r="AB75" s="71">
        <v>30</v>
      </c>
      <c r="AC75" s="76">
        <v>142</v>
      </c>
      <c r="AD75" s="77">
        <v>100</v>
      </c>
      <c r="AE75" s="71">
        <v>190</v>
      </c>
      <c r="AF75" s="70">
        <v>43</v>
      </c>
      <c r="AG75" s="78">
        <v>242</v>
      </c>
      <c r="AH75" s="79">
        <v>160</v>
      </c>
    </row>
    <row r="76" spans="26:34" ht="15" customHeight="1" x14ac:dyDescent="0.2">
      <c r="Z76" s="73">
        <v>95</v>
      </c>
      <c r="AA76" s="70">
        <v>170</v>
      </c>
      <c r="AB76" s="71">
        <v>32</v>
      </c>
      <c r="AC76" s="76">
        <v>165</v>
      </c>
      <c r="AD76" s="77">
        <v>112</v>
      </c>
      <c r="AE76" s="71">
        <v>200</v>
      </c>
      <c r="AF76" s="70">
        <v>45</v>
      </c>
      <c r="AG76" s="78">
        <v>264</v>
      </c>
      <c r="AH76" s="79">
        <v>189</v>
      </c>
    </row>
    <row r="77" spans="26:34" ht="15" customHeight="1" x14ac:dyDescent="0.2">
      <c r="Z77" s="73">
        <v>100</v>
      </c>
      <c r="AA77" s="70">
        <v>180</v>
      </c>
      <c r="AB77" s="71">
        <v>34</v>
      </c>
      <c r="AC77" s="76">
        <v>183</v>
      </c>
      <c r="AD77" s="77">
        <v>125</v>
      </c>
      <c r="AE77" s="71">
        <v>215</v>
      </c>
      <c r="AF77" s="70">
        <v>47</v>
      </c>
      <c r="AG77" s="78">
        <v>303</v>
      </c>
      <c r="AH77" s="79">
        <v>220</v>
      </c>
    </row>
    <row r="78" spans="26:34" ht="15" customHeight="1" x14ac:dyDescent="0.2">
      <c r="Z78" s="73">
        <v>110</v>
      </c>
      <c r="AA78" s="70">
        <v>200</v>
      </c>
      <c r="AB78" s="71">
        <v>38</v>
      </c>
      <c r="AC78" s="76">
        <v>229</v>
      </c>
      <c r="AD78" s="77">
        <v>167</v>
      </c>
      <c r="AE78" s="71">
        <v>240</v>
      </c>
      <c r="AF78" s="70">
        <v>50</v>
      </c>
      <c r="AG78" s="78">
        <v>391</v>
      </c>
      <c r="AH78" s="79">
        <v>304</v>
      </c>
    </row>
    <row r="79" spans="26:34" ht="15" customHeight="1" x14ac:dyDescent="0.2">
      <c r="Z79" s="73">
        <v>120</v>
      </c>
      <c r="AA79" s="70">
        <v>215</v>
      </c>
      <c r="AB79" s="71">
        <v>40</v>
      </c>
      <c r="AC79" s="76">
        <v>260</v>
      </c>
      <c r="AD79" s="77">
        <v>233</v>
      </c>
      <c r="AE79" s="71">
        <v>260</v>
      </c>
      <c r="AF79" s="70">
        <v>55</v>
      </c>
      <c r="AG79" s="78">
        <v>457</v>
      </c>
      <c r="AH79" s="79">
        <v>340</v>
      </c>
    </row>
    <row r="80" spans="26:34" ht="15" customHeight="1" x14ac:dyDescent="0.2">
      <c r="Z80" s="73">
        <v>130</v>
      </c>
      <c r="AA80" s="70">
        <v>230</v>
      </c>
      <c r="AB80" s="71">
        <v>40</v>
      </c>
      <c r="AC80" s="76">
        <v>270</v>
      </c>
      <c r="AD80" s="77">
        <v>193</v>
      </c>
      <c r="AE80" s="71">
        <v>280</v>
      </c>
      <c r="AF80" s="70">
        <v>58</v>
      </c>
      <c r="AG80" s="78">
        <v>539</v>
      </c>
      <c r="AH80" s="79">
        <v>408</v>
      </c>
    </row>
    <row r="81" spans="26:34" ht="15" customHeight="1" x14ac:dyDescent="0.2">
      <c r="Z81" s="73">
        <v>140</v>
      </c>
      <c r="AA81" s="70">
        <v>250</v>
      </c>
      <c r="AB81" s="71">
        <v>42</v>
      </c>
      <c r="AC81" s="76">
        <v>319</v>
      </c>
      <c r="AD81" s="77">
        <v>260</v>
      </c>
      <c r="AE81" s="71">
        <v>300</v>
      </c>
      <c r="AF81" s="70">
        <v>62</v>
      </c>
      <c r="AG81" s="78">
        <v>682</v>
      </c>
      <c r="AH81" s="79">
        <v>454</v>
      </c>
    </row>
    <row r="82" spans="26:34" ht="15" customHeight="1" thickBot="1" x14ac:dyDescent="0.25">
      <c r="Z82" s="59">
        <v>150</v>
      </c>
      <c r="AA82" s="93">
        <v>270</v>
      </c>
      <c r="AB82" s="61">
        <v>45</v>
      </c>
      <c r="AC82" s="102">
        <v>446</v>
      </c>
      <c r="AD82" s="103">
        <v>320</v>
      </c>
      <c r="AE82" s="61">
        <v>320</v>
      </c>
      <c r="AF82" s="93">
        <v>65</v>
      </c>
      <c r="AG82" s="104">
        <v>781</v>
      </c>
      <c r="AH82" s="105">
        <v>502</v>
      </c>
    </row>
  </sheetData>
  <mergeCells count="22">
    <mergeCell ref="AA59:AD59"/>
    <mergeCell ref="AE59:AH59"/>
    <mergeCell ref="Z60:Z61"/>
    <mergeCell ref="AA60:AA61"/>
    <mergeCell ref="AB60:AB61"/>
    <mergeCell ref="AC60:AD60"/>
    <mergeCell ref="AE60:AE61"/>
    <mergeCell ref="AF60:AF61"/>
    <mergeCell ref="AG60:AH60"/>
    <mergeCell ref="AK5:AK6"/>
    <mergeCell ref="AL5:AL6"/>
    <mergeCell ref="AM5:AN5"/>
    <mergeCell ref="AO5:AP5"/>
    <mergeCell ref="AD6:AE6"/>
    <mergeCell ref="AF6:AG6"/>
    <mergeCell ref="AH6:AI6"/>
    <mergeCell ref="AF5:AI5"/>
    <mergeCell ref="Z5:Z7"/>
    <mergeCell ref="AA5:AA7"/>
    <mergeCell ref="AB5:AB7"/>
    <mergeCell ref="AC5:AC7"/>
    <mergeCell ref="AD5:AE5"/>
  </mergeCells>
  <conditionalFormatting sqref="B12 D12 F12">
    <cfRule type="expression" dxfId="21" priority="3">
      <formula>NOT($F$12)</formula>
    </cfRule>
  </conditionalFormatting>
  <conditionalFormatting sqref="B22:B23 D22:D23">
    <cfRule type="expression" dxfId="20" priority="6">
      <formula>$F$25</formula>
    </cfRule>
  </conditionalFormatting>
  <conditionalFormatting sqref="B25 D25 F25">
    <cfRule type="expression" dxfId="19" priority="9">
      <formula>NOT($F$25)</formula>
    </cfRule>
  </conditionalFormatting>
  <conditionalFormatting sqref="B33 D33">
    <cfRule type="expression" dxfId="18" priority="8">
      <formula>NOT($F$33)</formula>
    </cfRule>
  </conditionalFormatting>
  <conditionalFormatting sqref="B39 D39">
    <cfRule type="expression" dxfId="17" priority="5">
      <formula>$F$41</formula>
    </cfRule>
  </conditionalFormatting>
  <conditionalFormatting sqref="B41 D41 F41">
    <cfRule type="expression" dxfId="16" priority="7">
      <formula>NOT($F$41)</formula>
    </cfRule>
  </conditionalFormatting>
  <conditionalFormatting sqref="B5:D5">
    <cfRule type="expression" dxfId="15" priority="11">
      <formula>$F$36</formula>
    </cfRule>
  </conditionalFormatting>
  <conditionalFormatting sqref="B10:D10">
    <cfRule type="expression" dxfId="14" priority="10">
      <formula>$F$12</formula>
    </cfRule>
  </conditionalFormatting>
  <conditionalFormatting sqref="B36:D42 E41:F41">
    <cfRule type="expression" dxfId="13" priority="2">
      <formula>NOT($F$36)</formula>
    </cfRule>
  </conditionalFormatting>
  <conditionalFormatting sqref="F33">
    <cfRule type="expression" dxfId="12" priority="4">
      <formula>NOT($F$33)</formula>
    </cfRule>
  </conditionalFormatting>
  <conditionalFormatting sqref="F36">
    <cfRule type="expression" dxfId="11" priority="1">
      <formula>NOT($F$36)</formula>
    </cfRule>
  </conditionalFormatting>
  <dataValidations count="5">
    <dataValidation type="list" allowBlank="1" showInputMessage="1" showErrorMessage="1" sqref="C5" xr:uid="{DBA3C88A-5FC7-42B7-8A91-B5F2B044F66B}">
      <formula1>$T$6:$T$7</formula1>
    </dataValidation>
    <dataValidation type="list" allowBlank="1" showInputMessage="1" showErrorMessage="1" sqref="C8" xr:uid="{F63CC53D-4FA6-4C37-916F-F344DAF4DE12}">
      <formula1>"Inner Ring, Outer Ring"</formula1>
    </dataValidation>
    <dataValidation type="list" allowBlank="1" showInputMessage="1" showErrorMessage="1" sqref="C7" xr:uid="{BFB64695-6037-42D3-99A3-173F5359F6AA}">
      <formula1>"Deep Groove, Angular, 02-Series, 03-Series"</formula1>
    </dataValidation>
    <dataValidation type="list" allowBlank="1" showInputMessage="1" showErrorMessage="1" sqref="C10" xr:uid="{87A961FA-5AA6-4F8D-BA42-D5BFE411D9E1}">
      <formula1>"Ball, Roller"</formula1>
    </dataValidation>
    <dataValidation type="list" allowBlank="1" showInputMessage="1" showErrorMessage="1" sqref="D2" xr:uid="{95264E98-DA2C-43A4-A103-B1AED9EF0570}">
      <formula1>"English, Metric"</formula1>
    </dataValidation>
  </dataValidation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03A31-2443-496C-8D82-7BFA84B9E054}">
  <sheetPr>
    <tabColor rgb="FF00B050"/>
  </sheetPr>
  <dimension ref="B2:AQ82"/>
  <sheetViews>
    <sheetView zoomScaleNormal="100" workbookViewId="0">
      <selection activeCell="B6" sqref="B6:D6"/>
    </sheetView>
  </sheetViews>
  <sheetFormatPr baseColWidth="10" defaultColWidth="8.83203125" defaultRowHeight="15" customHeight="1" x14ac:dyDescent="0.2"/>
  <cols>
    <col min="2" max="2" width="33.83203125" style="1" bestFit="1" customWidth="1"/>
    <col min="3" max="3" width="13" style="1" customWidth="1"/>
    <col min="4" max="4" width="10.1640625" style="1" customWidth="1"/>
    <col min="5" max="5" width="26.6640625" style="1" bestFit="1" customWidth="1"/>
    <col min="6" max="6" width="10.1640625" style="1" customWidth="1"/>
    <col min="7" max="7" width="9.1640625" style="1"/>
    <col min="8" max="8" width="10.5" bestFit="1" customWidth="1"/>
    <col min="9" max="9" width="9.1640625" customWidth="1"/>
    <col min="11" max="11" width="12" bestFit="1" customWidth="1"/>
    <col min="15" max="15" width="22.33203125" bestFit="1" customWidth="1"/>
    <col min="16" max="16" width="15.5" bestFit="1" customWidth="1"/>
    <col min="17" max="17" width="14.83203125" bestFit="1" customWidth="1"/>
    <col min="20" max="20" width="13.1640625" bestFit="1" customWidth="1"/>
    <col min="21" max="21" width="16.5" bestFit="1" customWidth="1"/>
    <col min="22" max="23" width="9.1640625" customWidth="1"/>
    <col min="25" max="25" width="9.1640625" customWidth="1"/>
    <col min="29" max="29" width="15" bestFit="1" customWidth="1"/>
    <col min="30" max="30" width="14" bestFit="1" customWidth="1"/>
    <col min="33" max="33" width="15" bestFit="1" customWidth="1"/>
    <col min="34" max="34" width="14" bestFit="1" customWidth="1"/>
    <col min="36" max="36" width="14.6640625" customWidth="1"/>
    <col min="43" max="43" width="14.6640625" customWidth="1"/>
  </cols>
  <sheetData>
    <row r="2" spans="2:43" ht="15" customHeight="1" x14ac:dyDescent="0.2">
      <c r="B2" s="2" t="s">
        <v>0</v>
      </c>
      <c r="C2" s="3" t="s">
        <v>1</v>
      </c>
      <c r="D2" s="4" t="s">
        <v>3</v>
      </c>
      <c r="E2" s="10"/>
      <c r="F2" s="10"/>
      <c r="H2" s="5" t="s">
        <v>4</v>
      </c>
      <c r="I2" s="11"/>
      <c r="J2" s="11"/>
      <c r="K2" s="11"/>
      <c r="L2" s="11"/>
      <c r="M2" s="11"/>
      <c r="N2" s="11"/>
      <c r="O2" s="11"/>
      <c r="P2" s="11"/>
      <c r="Q2" s="11"/>
      <c r="S2" s="46" t="s">
        <v>75</v>
      </c>
      <c r="T2" s="46"/>
      <c r="U2" s="46"/>
      <c r="V2" s="46"/>
      <c r="W2" s="46"/>
      <c r="X2" s="46"/>
      <c r="Y2" s="46"/>
      <c r="Z2" s="46"/>
      <c r="AA2" s="46"/>
      <c r="AB2" s="46"/>
      <c r="AC2" s="46"/>
      <c r="AD2" s="46"/>
      <c r="AE2" s="46"/>
      <c r="AF2" s="46"/>
      <c r="AG2" s="46"/>
      <c r="AH2" s="46"/>
      <c r="AI2" s="46"/>
      <c r="AJ2" s="46"/>
      <c r="AK2" s="46"/>
      <c r="AL2" s="46"/>
      <c r="AM2" s="46"/>
      <c r="AN2" s="46"/>
      <c r="AO2" s="46"/>
      <c r="AP2" s="46"/>
      <c r="AQ2" s="46"/>
    </row>
    <row r="3" spans="2:43" ht="15" customHeight="1" thickBot="1" x14ac:dyDescent="0.25"/>
    <row r="4" spans="2:43" ht="15" customHeight="1" x14ac:dyDescent="0.2">
      <c r="B4" s="6" t="s">
        <v>76</v>
      </c>
      <c r="C4" s="7"/>
      <c r="D4" s="7"/>
      <c r="H4" s="11" t="s">
        <v>77</v>
      </c>
      <c r="I4" s="47"/>
      <c r="J4" s="47"/>
      <c r="K4" s="48">
        <f>($C$19*$C$9*C16)*($C$32/($C$29+($C$30-$C$29)*(LN($C$6^-1))^(1/$C$31)))^(1/$C$11)</f>
        <v>12.936191283738271</v>
      </c>
      <c r="L4" s="11" t="s">
        <v>78</v>
      </c>
      <c r="T4" s="49" t="s">
        <v>79</v>
      </c>
      <c r="U4" s="50"/>
      <c r="V4" s="50"/>
      <c r="W4" s="50"/>
      <c r="X4" s="51"/>
      <c r="Z4" s="49" t="s">
        <v>80</v>
      </c>
      <c r="AA4" s="50"/>
      <c r="AB4" s="50"/>
      <c r="AC4" s="50"/>
      <c r="AD4" s="50"/>
      <c r="AE4" s="50"/>
      <c r="AF4" s="50"/>
      <c r="AG4" s="50"/>
      <c r="AH4" s="50"/>
      <c r="AI4" s="51"/>
      <c r="AK4" s="49" t="s">
        <v>81</v>
      </c>
      <c r="AL4" s="50"/>
      <c r="AM4" s="50"/>
      <c r="AN4" s="50"/>
      <c r="AO4" s="50"/>
      <c r="AP4" s="51"/>
    </row>
    <row r="5" spans="2:43" ht="15" customHeight="1" x14ac:dyDescent="0.2">
      <c r="B5" s="10" t="s">
        <v>82</v>
      </c>
      <c r="C5" s="10" t="s">
        <v>83</v>
      </c>
      <c r="D5" s="10"/>
      <c r="H5" s="11" t="s">
        <v>84</v>
      </c>
      <c r="I5" s="47"/>
      <c r="J5" s="47"/>
      <c r="K5" s="11">
        <f>IF($C$7="Deep Groove", SMALL($AF$8:$AF$27,COUNTIF($AF$8:$AF$27,"&lt;"&amp;K4)+1), IF($C$7="Angular", SMALL($AH$8:$AH$27,COUNTIF($AH$8:$AH$27,"&lt;"&amp;K4)+1), IF($C$7="02-Series", SMALL($AC$62:$AC$82,COUNTIF($AC$62:$AC$82,"&lt;"&amp;K4)+1), IF($C$7="03-Series", SMALL($AG$62:$AG$82,COUNTIF($AG$62:$AG$82,"&lt;"&amp;K4)+1), NA()))))</f>
        <v>14</v>
      </c>
      <c r="L5" s="11" t="s">
        <v>78</v>
      </c>
      <c r="T5" s="22" t="s">
        <v>85</v>
      </c>
      <c r="U5" s="23" t="s">
        <v>86</v>
      </c>
      <c r="V5" s="23" t="s">
        <v>87</v>
      </c>
      <c r="W5" s="23" t="s">
        <v>88</v>
      </c>
      <c r="X5" s="24" t="s">
        <v>89</v>
      </c>
      <c r="Z5" s="117" t="s">
        <v>90</v>
      </c>
      <c r="AA5" s="119" t="s">
        <v>91</v>
      </c>
      <c r="AB5" s="119" t="s">
        <v>92</v>
      </c>
      <c r="AC5" s="119" t="s">
        <v>93</v>
      </c>
      <c r="AD5" s="121" t="s">
        <v>94</v>
      </c>
      <c r="AE5" s="121"/>
      <c r="AF5" s="126" t="s">
        <v>95</v>
      </c>
      <c r="AG5" s="126"/>
      <c r="AH5" s="126"/>
      <c r="AI5" s="127"/>
      <c r="AK5" s="117" t="s">
        <v>96</v>
      </c>
      <c r="AL5" s="119" t="s">
        <v>97</v>
      </c>
      <c r="AM5" s="120" t="s">
        <v>98</v>
      </c>
      <c r="AN5" s="120"/>
      <c r="AO5" s="120" t="s">
        <v>99</v>
      </c>
      <c r="AP5" s="122"/>
    </row>
    <row r="6" spans="2:43" ht="15" customHeight="1" x14ac:dyDescent="0.2">
      <c r="B6" s="113" t="s">
        <v>100</v>
      </c>
      <c r="C6" s="116">
        <f>'L25 Gears Cont. Q25'!M38</f>
        <v>0.98725854490143383</v>
      </c>
      <c r="D6" s="113"/>
      <c r="E6" s="52" t="s">
        <v>101</v>
      </c>
      <c r="H6" s="11" t="s">
        <v>102</v>
      </c>
      <c r="I6" s="47"/>
      <c r="J6" s="47"/>
      <c r="K6" s="11">
        <f>IF($C$7="Deep Groove",VLOOKUP(K5,$AF$8:$AG$27,2,FALSE), IF($C$7="Angular", VLOOKUP(K5,$AH$8:$AI$27,2,FALSE), IF($C$7="02-Series", VLOOKUP(K5,$AC$62:$AD$82,2,FALSE), IF($C$7="03-Series", VLOOKUP(K5,$AG$62:$AH$82,2,FALSE), NA()))))</f>
        <v>6.95</v>
      </c>
      <c r="L6" s="11" t="s">
        <v>78</v>
      </c>
      <c r="T6" s="53" t="s">
        <v>103</v>
      </c>
      <c r="U6" s="54">
        <f>90*10^6</f>
        <v>90000000</v>
      </c>
      <c r="V6" s="55">
        <v>0</v>
      </c>
      <c r="W6" s="55">
        <v>4.4800000000000004</v>
      </c>
      <c r="X6" s="56">
        <v>1.5</v>
      </c>
      <c r="Z6" s="117"/>
      <c r="AA6" s="119"/>
      <c r="AB6" s="119"/>
      <c r="AC6" s="119"/>
      <c r="AD6" s="123" t="s">
        <v>104</v>
      </c>
      <c r="AE6" s="123"/>
      <c r="AF6" s="124" t="s">
        <v>105</v>
      </c>
      <c r="AG6" s="124"/>
      <c r="AH6" s="125" t="s">
        <v>106</v>
      </c>
      <c r="AI6" s="125"/>
      <c r="AK6" s="118"/>
      <c r="AL6" s="120"/>
      <c r="AM6" s="57" t="s">
        <v>107</v>
      </c>
      <c r="AN6" s="57" t="s">
        <v>108</v>
      </c>
      <c r="AO6" s="57" t="s">
        <v>109</v>
      </c>
      <c r="AP6" s="58" t="s">
        <v>110</v>
      </c>
    </row>
    <row r="7" spans="2:43" ht="15" customHeight="1" thickBot="1" x14ac:dyDescent="0.25">
      <c r="B7" s="10" t="s">
        <v>111</v>
      </c>
      <c r="C7" s="10" t="s">
        <v>105</v>
      </c>
      <c r="D7" s="10"/>
      <c r="H7" s="11" t="s">
        <v>112</v>
      </c>
      <c r="I7" s="47"/>
      <c r="J7" s="47"/>
      <c r="K7" s="47">
        <f>$C$18/K6</f>
        <v>0</v>
      </c>
      <c r="L7" s="47"/>
      <c r="T7" s="59" t="s">
        <v>83</v>
      </c>
      <c r="U7" s="60">
        <f>1*10^6</f>
        <v>1000000</v>
      </c>
      <c r="V7" s="61">
        <v>0.02</v>
      </c>
      <c r="W7" s="61">
        <v>4.4589999999999996</v>
      </c>
      <c r="X7" s="62">
        <v>1.4830000000000001</v>
      </c>
      <c r="Z7" s="118"/>
      <c r="AA7" s="120"/>
      <c r="AB7" s="120"/>
      <c r="AC7" s="120"/>
      <c r="AD7" s="63" t="s">
        <v>113</v>
      </c>
      <c r="AE7" s="63" t="s">
        <v>114</v>
      </c>
      <c r="AF7" s="64" t="s">
        <v>115</v>
      </c>
      <c r="AG7" s="64" t="s">
        <v>116</v>
      </c>
      <c r="AH7" s="65" t="s">
        <v>115</v>
      </c>
      <c r="AI7" s="66" t="s">
        <v>116</v>
      </c>
      <c r="AK7" s="67">
        <v>1.4E-2</v>
      </c>
      <c r="AL7" s="68">
        <v>0.19</v>
      </c>
      <c r="AM7" s="69">
        <v>1</v>
      </c>
      <c r="AN7" s="70">
        <v>0</v>
      </c>
      <c r="AO7" s="71">
        <v>0.56000000000000005</v>
      </c>
      <c r="AP7" s="72">
        <v>2.2999999999999998</v>
      </c>
    </row>
    <row r="8" spans="2:43" ht="15" customHeight="1" x14ac:dyDescent="0.2">
      <c r="B8" s="10" t="s">
        <v>117</v>
      </c>
      <c r="C8" s="10" t="s">
        <v>163</v>
      </c>
      <c r="D8" s="10"/>
      <c r="Z8" s="73">
        <v>10</v>
      </c>
      <c r="AA8" s="70">
        <v>30</v>
      </c>
      <c r="AB8" s="71">
        <v>9</v>
      </c>
      <c r="AC8" s="70">
        <v>0.6</v>
      </c>
      <c r="AD8" s="74">
        <v>12.5</v>
      </c>
      <c r="AE8" s="75">
        <v>27</v>
      </c>
      <c r="AF8" s="76">
        <v>5.07</v>
      </c>
      <c r="AG8" s="77">
        <v>2.2400000000000002</v>
      </c>
      <c r="AH8" s="78">
        <v>4.9400000000000004</v>
      </c>
      <c r="AI8" s="79">
        <v>2.12</v>
      </c>
      <c r="AK8" s="67">
        <v>2.1000000000000001E-2</v>
      </c>
      <c r="AL8" s="68">
        <v>0.21</v>
      </c>
      <c r="AM8" s="69">
        <v>1</v>
      </c>
      <c r="AN8" s="70">
        <v>0</v>
      </c>
      <c r="AO8" s="71">
        <v>0.56000000000000005</v>
      </c>
      <c r="AP8" s="72">
        <v>2.15</v>
      </c>
    </row>
    <row r="9" spans="2:43" ht="15" customHeight="1" x14ac:dyDescent="0.2">
      <c r="B9" s="11" t="s">
        <v>118</v>
      </c>
      <c r="C9" s="11">
        <f>IF(C8="Inner Ring", 1, 1.2)</f>
        <v>1</v>
      </c>
      <c r="D9" s="11"/>
      <c r="H9" s="80" t="s">
        <v>119</v>
      </c>
      <c r="I9" s="80"/>
      <c r="J9" s="80"/>
      <c r="K9" s="80"/>
      <c r="L9" s="80"/>
      <c r="M9" s="80"/>
      <c r="N9" s="80"/>
      <c r="O9" s="80"/>
      <c r="P9" s="80"/>
      <c r="Q9" s="80"/>
      <c r="Z9" s="73">
        <v>12</v>
      </c>
      <c r="AA9" s="70">
        <v>32</v>
      </c>
      <c r="AB9" s="71">
        <v>10</v>
      </c>
      <c r="AC9" s="70">
        <v>0.6</v>
      </c>
      <c r="AD9" s="74">
        <v>14.5</v>
      </c>
      <c r="AE9" s="75">
        <v>28</v>
      </c>
      <c r="AF9" s="76">
        <v>6.89</v>
      </c>
      <c r="AG9" s="77">
        <v>3.1</v>
      </c>
      <c r="AH9" s="78">
        <v>7.02</v>
      </c>
      <c r="AI9" s="79">
        <v>3.05</v>
      </c>
      <c r="AK9" s="67">
        <v>2.8000000000000001E-2</v>
      </c>
      <c r="AL9" s="68">
        <v>0.22</v>
      </c>
      <c r="AM9" s="69">
        <v>1</v>
      </c>
      <c r="AN9" s="70">
        <v>0</v>
      </c>
      <c r="AO9" s="71">
        <v>0.56000000000000005</v>
      </c>
      <c r="AP9" s="72">
        <v>1.99</v>
      </c>
    </row>
    <row r="10" spans="2:43" ht="15" customHeight="1" x14ac:dyDescent="0.25">
      <c r="B10" s="10" t="s">
        <v>120</v>
      </c>
      <c r="C10" s="10" t="s">
        <v>121</v>
      </c>
      <c r="D10" s="10"/>
      <c r="H10" s="81" t="s">
        <v>122</v>
      </c>
      <c r="I10" s="82" t="s">
        <v>112</v>
      </c>
      <c r="J10" s="82" t="s">
        <v>123</v>
      </c>
      <c r="K10" s="82" t="s">
        <v>97</v>
      </c>
      <c r="L10" s="82" t="s">
        <v>124</v>
      </c>
      <c r="M10" s="82" t="s">
        <v>125</v>
      </c>
      <c r="N10" s="82" t="s">
        <v>126</v>
      </c>
      <c r="O10" s="83" t="s">
        <v>127</v>
      </c>
      <c r="P10" s="83" t="s">
        <v>128</v>
      </c>
      <c r="Q10" s="83" t="s">
        <v>129</v>
      </c>
      <c r="Z10" s="73">
        <v>15</v>
      </c>
      <c r="AA10" s="70">
        <v>35</v>
      </c>
      <c r="AB10" s="71">
        <v>11</v>
      </c>
      <c r="AC10" s="70">
        <v>0.6</v>
      </c>
      <c r="AD10" s="74">
        <v>17.5</v>
      </c>
      <c r="AE10" s="75">
        <v>31</v>
      </c>
      <c r="AF10" s="76">
        <v>7.8</v>
      </c>
      <c r="AG10" s="77">
        <v>3.55</v>
      </c>
      <c r="AH10" s="78">
        <v>8.06</v>
      </c>
      <c r="AI10" s="79">
        <v>3.65</v>
      </c>
      <c r="AK10" s="67">
        <v>4.2000000000000003E-2</v>
      </c>
      <c r="AL10" s="68">
        <v>0.24</v>
      </c>
      <c r="AM10" s="69">
        <v>1</v>
      </c>
      <c r="AN10" s="70">
        <v>0</v>
      </c>
      <c r="AO10" s="71">
        <v>0.56000000000000005</v>
      </c>
      <c r="AP10" s="72">
        <v>1.85</v>
      </c>
    </row>
    <row r="11" spans="2:43" ht="15" customHeight="1" x14ac:dyDescent="0.2">
      <c r="B11" s="11" t="s">
        <v>130</v>
      </c>
      <c r="C11" s="84">
        <f>IF(F12,C12,IF(C10="Ball", 3, 10/3))</f>
        <v>3</v>
      </c>
      <c r="D11" s="85"/>
      <c r="H11" s="86">
        <v>0</v>
      </c>
      <c r="I11" s="47">
        <f>IF($C$18/K6 &lt; 0.014, 0.014, $C$18/K6)</f>
        <v>1.4E-2</v>
      </c>
      <c r="J11" s="47">
        <f>$C$18/($C$9*$C$16)</f>
        <v>0</v>
      </c>
      <c r="K11" s="47">
        <f>0.506467531924409*(I11)^0.23203728471849</f>
        <v>0.18809800634957716</v>
      </c>
      <c r="L11" s="47">
        <f>IF(J11&lt;=K11,1,0.56)</f>
        <v>1</v>
      </c>
      <c r="M11" s="47">
        <f>IF(J11&lt;=K11,0,0.863191147423464*(I11)^(-0.234866270653838))</f>
        <v>0</v>
      </c>
      <c r="N11" s="47">
        <f>L11*$C$9*$C$16 + M11*$C$18</f>
        <v>1.4732255838368402</v>
      </c>
      <c r="O11" s="47">
        <f>($C$19*N11)*($C$32/($C$29+($C$30-$C$29)*(LN($C$6^-1))^(1/$C$31)))^(1/$C$11)</f>
        <v>12.936191283738271</v>
      </c>
      <c r="P11" s="11">
        <f t="shared" ref="P11:P21" si="0">IF($C$7="Deep Groove", SMALL($AF$8:$AF$27,COUNTIF($AF$8:$AF$27,"&lt;"&amp;O11)+1), IF($C$7="Angular", SMALL($AH$8:$AH$27,COUNTIF($AH$8:$AH$27,"&lt;"&amp;O11)+1), IF($C$7="02-Series", SMALL($AC$62:$AC$82,COUNTIF($AC$62:$AC$82,"&lt;"&amp;O11)+1), IF($C$7="03-Series", SMALL($AG$62:$AG$82,COUNTIF($AG$62:$AG$82,"&lt;"&amp;O11)+1), NA()))))</f>
        <v>14</v>
      </c>
      <c r="Q11" s="11">
        <f t="shared" ref="Q11:Q21" si="1">IF($C$7="Deep Groove",VLOOKUP(P11,$AF$8:$AG$27,2,FALSE), IF($C$7="Angular", VLOOKUP(P11,$AH$8:$AI$27,2,FALSE), IF($C$7="02-Series", VLOOKUP(P11,$AC$62:$AD$82,2,FALSE), IF($C$7="03-Series", VLOOKUP(P11,$AG$62:$AH$82,2,FALSE), NA()))))</f>
        <v>6.95</v>
      </c>
      <c r="Z11" s="73">
        <v>17</v>
      </c>
      <c r="AA11" s="70">
        <v>40</v>
      </c>
      <c r="AB11" s="71">
        <v>12</v>
      </c>
      <c r="AC11" s="70">
        <v>0.6</v>
      </c>
      <c r="AD11" s="74">
        <v>19.5</v>
      </c>
      <c r="AE11" s="75">
        <v>34</v>
      </c>
      <c r="AF11" s="76">
        <v>9.56</v>
      </c>
      <c r="AG11" s="77">
        <v>4.5</v>
      </c>
      <c r="AH11" s="78">
        <v>9.9499999999999993</v>
      </c>
      <c r="AI11" s="79">
        <v>4.75</v>
      </c>
      <c r="AK11" s="67">
        <v>5.6000000000000001E-2</v>
      </c>
      <c r="AL11" s="68">
        <v>0.26</v>
      </c>
      <c r="AM11" s="69">
        <v>1</v>
      </c>
      <c r="AN11" s="70">
        <v>0</v>
      </c>
      <c r="AO11" s="71">
        <v>0.56000000000000005</v>
      </c>
      <c r="AP11" s="72">
        <v>1.71</v>
      </c>
    </row>
    <row r="12" spans="2:43" ht="15" customHeight="1" x14ac:dyDescent="0.2">
      <c r="B12" s="10"/>
      <c r="C12" s="10"/>
      <c r="D12" s="87"/>
      <c r="E12" s="10" t="s">
        <v>131</v>
      </c>
      <c r="F12" s="19" t="b">
        <v>0</v>
      </c>
      <c r="H12" s="86">
        <v>1</v>
      </c>
      <c r="I12" s="47">
        <f>IF($C$18/Q11 &lt; 0.014, 0.014, $C$18/Q11)</f>
        <v>1.4E-2</v>
      </c>
      <c r="J12" s="47">
        <f t="shared" ref="J12:J21" si="2">$C$18/($C$9*$C$16)</f>
        <v>0</v>
      </c>
      <c r="K12" s="47">
        <f t="shared" ref="K12:K18" si="3">0.506467531924409*(I12)^0.23203728471849</f>
        <v>0.18809800634957716</v>
      </c>
      <c r="L12" s="47">
        <f t="shared" ref="L12:L18" si="4">IF(J12&lt;=K12,1,0.56)</f>
        <v>1</v>
      </c>
      <c r="M12" s="47">
        <f>IF(J12&lt;=K12,0,0.863191147423464*(I12)^(-0.234866270653838))</f>
        <v>0</v>
      </c>
      <c r="N12" s="47">
        <f t="shared" ref="N12:N18" si="5">L12*$C$9*$C$16 + M12*$C$18</f>
        <v>1.4732255838368402</v>
      </c>
      <c r="O12" s="47">
        <f t="shared" ref="O12:O21" si="6">($C$19*N12)*($C$32/($C$29+($C$30-$C$29)*(LN($C$6^-1))^(1/$C$31)))^(1/$C$11)</f>
        <v>12.936191283738271</v>
      </c>
      <c r="P12" s="11">
        <f t="shared" si="0"/>
        <v>14</v>
      </c>
      <c r="Q12" s="11">
        <f t="shared" si="1"/>
        <v>6.95</v>
      </c>
      <c r="Z12" s="73">
        <v>20</v>
      </c>
      <c r="AA12" s="70">
        <v>47</v>
      </c>
      <c r="AB12" s="71">
        <v>14</v>
      </c>
      <c r="AC12" s="70">
        <v>1</v>
      </c>
      <c r="AD12" s="74">
        <v>25</v>
      </c>
      <c r="AE12" s="75">
        <v>41</v>
      </c>
      <c r="AF12" s="76">
        <v>12.7</v>
      </c>
      <c r="AG12" s="77">
        <v>6.2</v>
      </c>
      <c r="AH12" s="78">
        <v>13.3</v>
      </c>
      <c r="AI12" s="79">
        <v>6.55</v>
      </c>
      <c r="AK12" s="67">
        <v>7.0000000000000007E-2</v>
      </c>
      <c r="AL12" s="68">
        <v>0.27</v>
      </c>
      <c r="AM12" s="69">
        <v>1</v>
      </c>
      <c r="AN12" s="70">
        <v>0</v>
      </c>
      <c r="AO12" s="71">
        <v>0.56000000000000005</v>
      </c>
      <c r="AP12" s="72">
        <v>1.63</v>
      </c>
    </row>
    <row r="13" spans="2:43" ht="15" customHeight="1" x14ac:dyDescent="0.2">
      <c r="H13" s="86">
        <v>2</v>
      </c>
      <c r="I13" s="47">
        <f t="shared" ref="I13:I18" si="7">IF($C$18/Q12 &lt; 0.014, 0.014, $C$18/Q12)</f>
        <v>1.4E-2</v>
      </c>
      <c r="J13" s="47">
        <f t="shared" si="2"/>
        <v>0</v>
      </c>
      <c r="K13" s="47">
        <f t="shared" si="3"/>
        <v>0.18809800634957716</v>
      </c>
      <c r="L13" s="47">
        <f t="shared" si="4"/>
        <v>1</v>
      </c>
      <c r="M13" s="47">
        <f t="shared" ref="M13:M18" si="8">IF(J13&lt;=K13,0,0.863191147423464*(I13)^(-0.234866270653838))</f>
        <v>0</v>
      </c>
      <c r="N13" s="47">
        <f t="shared" si="5"/>
        <v>1.4732255838368402</v>
      </c>
      <c r="O13" s="47">
        <f t="shared" si="6"/>
        <v>12.936191283738271</v>
      </c>
      <c r="P13" s="11">
        <f t="shared" si="0"/>
        <v>14</v>
      </c>
      <c r="Q13" s="11">
        <f t="shared" si="1"/>
        <v>6.95</v>
      </c>
      <c r="Z13" s="73">
        <v>25</v>
      </c>
      <c r="AA13" s="70">
        <v>52</v>
      </c>
      <c r="AB13" s="71">
        <v>15</v>
      </c>
      <c r="AC13" s="70">
        <v>1</v>
      </c>
      <c r="AD13" s="74">
        <v>30</v>
      </c>
      <c r="AE13" s="75">
        <v>47</v>
      </c>
      <c r="AF13" s="76">
        <v>14</v>
      </c>
      <c r="AG13" s="77">
        <v>6.95</v>
      </c>
      <c r="AH13" s="78">
        <v>14.8</v>
      </c>
      <c r="AI13" s="79">
        <v>7.65</v>
      </c>
      <c r="AK13" s="67">
        <v>8.4000000000000005E-2</v>
      </c>
      <c r="AL13" s="68">
        <v>0.28000000000000003</v>
      </c>
      <c r="AM13" s="69">
        <v>1</v>
      </c>
      <c r="AN13" s="70">
        <v>0</v>
      </c>
      <c r="AO13" s="71">
        <v>0.56000000000000005</v>
      </c>
      <c r="AP13" s="72">
        <v>1.55</v>
      </c>
    </row>
    <row r="14" spans="2:43" ht="15" customHeight="1" x14ac:dyDescent="0.2">
      <c r="B14" s="6" t="s">
        <v>132</v>
      </c>
      <c r="C14" s="6"/>
      <c r="D14" s="6"/>
      <c r="H14" s="86">
        <v>3</v>
      </c>
      <c r="I14" s="47">
        <f t="shared" si="7"/>
        <v>1.4E-2</v>
      </c>
      <c r="J14" s="47">
        <f t="shared" si="2"/>
        <v>0</v>
      </c>
      <c r="K14" s="47">
        <f t="shared" si="3"/>
        <v>0.18809800634957716</v>
      </c>
      <c r="L14" s="47">
        <f t="shared" si="4"/>
        <v>1</v>
      </c>
      <c r="M14" s="47">
        <f>IF(J14&lt;=K14,0,0.863191147423464*(I14)^(-0.234866270653838))</f>
        <v>0</v>
      </c>
      <c r="N14" s="47">
        <f t="shared" si="5"/>
        <v>1.4732255838368402</v>
      </c>
      <c r="O14" s="47">
        <f t="shared" si="6"/>
        <v>12.936191283738271</v>
      </c>
      <c r="P14" s="11">
        <f t="shared" si="0"/>
        <v>14</v>
      </c>
      <c r="Q14" s="11">
        <f t="shared" si="1"/>
        <v>6.95</v>
      </c>
      <c r="Z14" s="73">
        <v>30</v>
      </c>
      <c r="AA14" s="70">
        <v>62</v>
      </c>
      <c r="AB14" s="71">
        <v>16</v>
      </c>
      <c r="AC14" s="70">
        <v>1</v>
      </c>
      <c r="AD14" s="74">
        <v>35</v>
      </c>
      <c r="AE14" s="75">
        <v>55</v>
      </c>
      <c r="AF14" s="76">
        <v>19.5</v>
      </c>
      <c r="AG14" s="77">
        <v>10</v>
      </c>
      <c r="AH14" s="78">
        <v>20.3</v>
      </c>
      <c r="AI14" s="79">
        <v>11</v>
      </c>
      <c r="AK14" s="67">
        <v>0.11</v>
      </c>
      <c r="AL14" s="68">
        <v>0.3</v>
      </c>
      <c r="AM14" s="69">
        <v>1</v>
      </c>
      <c r="AN14" s="70">
        <v>0</v>
      </c>
      <c r="AO14" s="71">
        <v>0.56000000000000005</v>
      </c>
      <c r="AP14" s="72">
        <v>1.45</v>
      </c>
    </row>
    <row r="15" spans="2:43" ht="15" customHeight="1" x14ac:dyDescent="0.2">
      <c r="B15" s="113" t="s">
        <v>133</v>
      </c>
      <c r="C15" s="115">
        <f>'L25 Gears Cont. Q25'!M31/10^3</f>
        <v>0.33121078773310253</v>
      </c>
      <c r="D15" s="113" t="str">
        <f>IF($D$2="English","klbf", "kN")</f>
        <v>klbf</v>
      </c>
      <c r="H15" s="86">
        <v>4</v>
      </c>
      <c r="I15" s="47">
        <f t="shared" si="7"/>
        <v>1.4E-2</v>
      </c>
      <c r="J15" s="47">
        <f t="shared" si="2"/>
        <v>0</v>
      </c>
      <c r="K15" s="47">
        <f t="shared" si="3"/>
        <v>0.18809800634957716</v>
      </c>
      <c r="L15" s="47">
        <f t="shared" si="4"/>
        <v>1</v>
      </c>
      <c r="M15" s="47">
        <f t="shared" si="8"/>
        <v>0</v>
      </c>
      <c r="N15" s="47">
        <f t="shared" si="5"/>
        <v>1.4732255838368402</v>
      </c>
      <c r="O15" s="47">
        <f t="shared" si="6"/>
        <v>12.936191283738271</v>
      </c>
      <c r="P15" s="11">
        <f t="shared" si="0"/>
        <v>14</v>
      </c>
      <c r="Q15" s="11">
        <f t="shared" si="1"/>
        <v>6.95</v>
      </c>
      <c r="Z15" s="73">
        <v>35</v>
      </c>
      <c r="AA15" s="70">
        <v>72</v>
      </c>
      <c r="AB15" s="71">
        <v>17</v>
      </c>
      <c r="AC15" s="70">
        <v>1</v>
      </c>
      <c r="AD15" s="74">
        <v>41</v>
      </c>
      <c r="AE15" s="75">
        <v>65</v>
      </c>
      <c r="AF15" s="76">
        <v>25.5</v>
      </c>
      <c r="AG15" s="77">
        <v>13.7</v>
      </c>
      <c r="AH15" s="78">
        <v>27</v>
      </c>
      <c r="AI15" s="79">
        <v>15</v>
      </c>
      <c r="AK15" s="89">
        <v>0.17</v>
      </c>
      <c r="AL15" s="68">
        <v>0.34</v>
      </c>
      <c r="AM15" s="69">
        <v>1</v>
      </c>
      <c r="AN15" s="70">
        <v>0</v>
      </c>
      <c r="AO15" s="71">
        <v>0.56000000000000005</v>
      </c>
      <c r="AP15" s="72">
        <v>1.31</v>
      </c>
    </row>
    <row r="16" spans="2:43" ht="15" customHeight="1" x14ac:dyDescent="0.2">
      <c r="B16" s="11"/>
      <c r="C16" s="48">
        <f>IF($D$2="English",C15*4.448, C15)</f>
        <v>1.4732255838368402</v>
      </c>
      <c r="D16" s="11" t="s">
        <v>78</v>
      </c>
      <c r="H16" s="86">
        <v>5</v>
      </c>
      <c r="I16" s="47">
        <f t="shared" si="7"/>
        <v>1.4E-2</v>
      </c>
      <c r="J16" s="47">
        <f t="shared" si="2"/>
        <v>0</v>
      </c>
      <c r="K16" s="47">
        <f t="shared" si="3"/>
        <v>0.18809800634957716</v>
      </c>
      <c r="L16" s="47">
        <f t="shared" si="4"/>
        <v>1</v>
      </c>
      <c r="M16" s="47">
        <f t="shared" si="8"/>
        <v>0</v>
      </c>
      <c r="N16" s="47">
        <f t="shared" si="5"/>
        <v>1.4732255838368402</v>
      </c>
      <c r="O16" s="47">
        <f t="shared" si="6"/>
        <v>12.936191283738271</v>
      </c>
      <c r="P16" s="11">
        <f t="shared" si="0"/>
        <v>14</v>
      </c>
      <c r="Q16" s="11">
        <f t="shared" si="1"/>
        <v>6.95</v>
      </c>
      <c r="Z16" s="73">
        <v>40</v>
      </c>
      <c r="AA16" s="70">
        <v>80</v>
      </c>
      <c r="AB16" s="71">
        <v>18</v>
      </c>
      <c r="AC16" s="70">
        <v>1</v>
      </c>
      <c r="AD16" s="74">
        <v>46</v>
      </c>
      <c r="AE16" s="75">
        <v>72</v>
      </c>
      <c r="AF16" s="76">
        <v>30.7</v>
      </c>
      <c r="AG16" s="77">
        <v>16.600000000000001</v>
      </c>
      <c r="AH16" s="78">
        <v>31.9</v>
      </c>
      <c r="AI16" s="79">
        <v>18.600000000000001</v>
      </c>
      <c r="AK16" s="89">
        <v>0.28000000000000003</v>
      </c>
      <c r="AL16" s="68">
        <v>0.38</v>
      </c>
      <c r="AM16" s="69">
        <v>1</v>
      </c>
      <c r="AN16" s="70">
        <v>0</v>
      </c>
      <c r="AO16" s="71">
        <v>0.56000000000000005</v>
      </c>
      <c r="AP16" s="72">
        <v>1.1499999999999999</v>
      </c>
    </row>
    <row r="17" spans="2:42" ht="15" customHeight="1" x14ac:dyDescent="0.2">
      <c r="B17" s="10" t="s">
        <v>134</v>
      </c>
      <c r="C17" s="88"/>
      <c r="D17" s="10" t="str">
        <f>IF($D$2="English","klbf", "kN")</f>
        <v>klbf</v>
      </c>
      <c r="H17" s="86">
        <v>6</v>
      </c>
      <c r="I17" s="47">
        <f t="shared" si="7"/>
        <v>1.4E-2</v>
      </c>
      <c r="J17" s="47">
        <f t="shared" si="2"/>
        <v>0</v>
      </c>
      <c r="K17" s="47">
        <f t="shared" si="3"/>
        <v>0.18809800634957716</v>
      </c>
      <c r="L17" s="47">
        <f t="shared" si="4"/>
        <v>1</v>
      </c>
      <c r="M17" s="47">
        <f t="shared" si="8"/>
        <v>0</v>
      </c>
      <c r="N17" s="47">
        <f t="shared" si="5"/>
        <v>1.4732255838368402</v>
      </c>
      <c r="O17" s="47">
        <f t="shared" si="6"/>
        <v>12.936191283738271</v>
      </c>
      <c r="P17" s="11">
        <f t="shared" si="0"/>
        <v>14</v>
      </c>
      <c r="Q17" s="11">
        <f t="shared" si="1"/>
        <v>6.95</v>
      </c>
      <c r="Z17" s="73">
        <v>45</v>
      </c>
      <c r="AA17" s="70">
        <v>85</v>
      </c>
      <c r="AB17" s="71">
        <v>19</v>
      </c>
      <c r="AC17" s="70">
        <v>1</v>
      </c>
      <c r="AD17" s="74">
        <v>52</v>
      </c>
      <c r="AE17" s="75">
        <v>77</v>
      </c>
      <c r="AF17" s="76">
        <v>33.200000000000003</v>
      </c>
      <c r="AG17" s="77">
        <v>18.600000000000001</v>
      </c>
      <c r="AH17" s="78">
        <v>35.799999999999997</v>
      </c>
      <c r="AI17" s="79">
        <v>21.2</v>
      </c>
      <c r="AK17" s="89">
        <v>0.42</v>
      </c>
      <c r="AL17" s="68">
        <v>0.42</v>
      </c>
      <c r="AM17" s="69">
        <v>1</v>
      </c>
      <c r="AN17" s="70">
        <v>0</v>
      </c>
      <c r="AO17" s="71">
        <v>0.56000000000000005</v>
      </c>
      <c r="AP17" s="72">
        <v>1.04</v>
      </c>
    </row>
    <row r="18" spans="2:42" ht="15" customHeight="1" thickBot="1" x14ac:dyDescent="0.25">
      <c r="B18" s="11"/>
      <c r="C18" s="48">
        <f>IF($D$2="English",C17*4.448, C17)</f>
        <v>0</v>
      </c>
      <c r="D18" s="11" t="s">
        <v>78</v>
      </c>
      <c r="H18" s="86">
        <v>7</v>
      </c>
      <c r="I18" s="47">
        <f t="shared" si="7"/>
        <v>1.4E-2</v>
      </c>
      <c r="J18" s="47">
        <f t="shared" si="2"/>
        <v>0</v>
      </c>
      <c r="K18" s="47">
        <f t="shared" si="3"/>
        <v>0.18809800634957716</v>
      </c>
      <c r="L18" s="47">
        <f t="shared" si="4"/>
        <v>1</v>
      </c>
      <c r="M18" s="47">
        <f t="shared" si="8"/>
        <v>0</v>
      </c>
      <c r="N18" s="47">
        <f t="shared" si="5"/>
        <v>1.4732255838368402</v>
      </c>
      <c r="O18" s="47">
        <f t="shared" si="6"/>
        <v>12.936191283738271</v>
      </c>
      <c r="P18" s="11">
        <f t="shared" si="0"/>
        <v>14</v>
      </c>
      <c r="Q18" s="11">
        <f t="shared" si="1"/>
        <v>6.95</v>
      </c>
      <c r="Z18" s="73">
        <v>50</v>
      </c>
      <c r="AA18" s="70">
        <v>90</v>
      </c>
      <c r="AB18" s="71">
        <v>20</v>
      </c>
      <c r="AC18" s="70">
        <v>1</v>
      </c>
      <c r="AD18" s="74">
        <v>56</v>
      </c>
      <c r="AE18" s="75">
        <v>82</v>
      </c>
      <c r="AF18" s="76">
        <v>35.1</v>
      </c>
      <c r="AG18" s="77">
        <v>19.600000000000001</v>
      </c>
      <c r="AH18" s="78">
        <v>37.700000000000003</v>
      </c>
      <c r="AI18" s="79">
        <v>22.8</v>
      </c>
      <c r="AK18" s="90">
        <v>0.56000000000000005</v>
      </c>
      <c r="AL18" s="91">
        <v>0.44</v>
      </c>
      <c r="AM18" s="92">
        <v>1</v>
      </c>
      <c r="AN18" s="93">
        <v>0</v>
      </c>
      <c r="AO18" s="61">
        <v>0.56000000000000005</v>
      </c>
      <c r="AP18" s="94">
        <v>1</v>
      </c>
    </row>
    <row r="19" spans="2:42" ht="15" customHeight="1" x14ac:dyDescent="0.2">
      <c r="B19" s="10" t="s">
        <v>135</v>
      </c>
      <c r="C19" s="95">
        <v>1</v>
      </c>
      <c r="D19" s="87"/>
      <c r="H19" s="86">
        <v>8</v>
      </c>
      <c r="I19" s="47">
        <f>IF($C$18/Q18 &lt; 0.014, 0.014, $C$18/Q18)</f>
        <v>1.4E-2</v>
      </c>
      <c r="J19" s="47">
        <f t="shared" si="2"/>
        <v>0</v>
      </c>
      <c r="K19" s="47">
        <f>0.506467531924409*(I19)^0.23203728471849</f>
        <v>0.18809800634957716</v>
      </c>
      <c r="L19" s="47">
        <f>IF(J19&lt;=K19,1,0.56)</f>
        <v>1</v>
      </c>
      <c r="M19" s="47">
        <f>IF(J19&lt;=K19,0,0.863191147423464*(I19)^(-0.234866270653838))</f>
        <v>0</v>
      </c>
      <c r="N19" s="47">
        <f>L19*$C$9*$C$16 + M19*$C$18</f>
        <v>1.4732255838368402</v>
      </c>
      <c r="O19" s="47">
        <f t="shared" si="6"/>
        <v>12.936191283738271</v>
      </c>
      <c r="P19" s="11">
        <f t="shared" si="0"/>
        <v>14</v>
      </c>
      <c r="Q19" s="11">
        <f t="shared" si="1"/>
        <v>6.95</v>
      </c>
      <c r="Z19" s="73">
        <v>55</v>
      </c>
      <c r="AA19" s="70">
        <v>100</v>
      </c>
      <c r="AB19" s="71">
        <v>21</v>
      </c>
      <c r="AC19" s="70">
        <v>1.5</v>
      </c>
      <c r="AD19" s="74">
        <v>63</v>
      </c>
      <c r="AE19" s="75">
        <v>90</v>
      </c>
      <c r="AF19" s="76">
        <v>43.6</v>
      </c>
      <c r="AG19" s="77">
        <v>25</v>
      </c>
      <c r="AH19" s="78">
        <v>46.2</v>
      </c>
      <c r="AI19" s="79">
        <v>28.5</v>
      </c>
    </row>
    <row r="20" spans="2:42" ht="15" customHeight="1" x14ac:dyDescent="0.2">
      <c r="H20" s="86">
        <v>9</v>
      </c>
      <c r="I20" s="47">
        <f>IF($C$18/Q19 &lt; 0.014, 0.014, $C$18/Q19)</f>
        <v>1.4E-2</v>
      </c>
      <c r="J20" s="47">
        <f t="shared" si="2"/>
        <v>0</v>
      </c>
      <c r="K20" s="47">
        <f>0.506467531924409*(I20)^0.23203728471849</f>
        <v>0.18809800634957716</v>
      </c>
      <c r="L20" s="47">
        <f>IF(J20&lt;=K20,1,0.56)</f>
        <v>1</v>
      </c>
      <c r="M20" s="47">
        <f>IF(J20&lt;=K20,0,0.863191147423464*(I20)^(-0.234866270653838))</f>
        <v>0</v>
      </c>
      <c r="N20" s="47">
        <f>L20*$C$9*$C$16 + M20*$C$18</f>
        <v>1.4732255838368402</v>
      </c>
      <c r="O20" s="47">
        <f t="shared" si="6"/>
        <v>12.936191283738271</v>
      </c>
      <c r="P20" s="11">
        <f t="shared" si="0"/>
        <v>14</v>
      </c>
      <c r="Q20" s="11">
        <f t="shared" si="1"/>
        <v>6.95</v>
      </c>
      <c r="Z20" s="73">
        <v>60</v>
      </c>
      <c r="AA20" s="70">
        <v>110</v>
      </c>
      <c r="AB20" s="71">
        <v>22</v>
      </c>
      <c r="AC20" s="70">
        <v>1.5</v>
      </c>
      <c r="AD20" s="74">
        <v>70</v>
      </c>
      <c r="AE20" s="75">
        <v>99</v>
      </c>
      <c r="AF20" s="76">
        <v>47.5</v>
      </c>
      <c r="AG20" s="77">
        <v>28</v>
      </c>
      <c r="AH20" s="78">
        <v>55.9</v>
      </c>
      <c r="AI20" s="79">
        <v>35.5</v>
      </c>
    </row>
    <row r="21" spans="2:42" ht="15" customHeight="1" x14ac:dyDescent="0.2">
      <c r="B21" s="6" t="s">
        <v>136</v>
      </c>
      <c r="C21" s="6"/>
      <c r="D21" s="6"/>
      <c r="H21" s="86">
        <v>10</v>
      </c>
      <c r="I21" s="47">
        <f>IF($C$18/Q20 &lt; 0.014, 0.014, $C$18/Q20)</f>
        <v>1.4E-2</v>
      </c>
      <c r="J21" s="47">
        <f t="shared" si="2"/>
        <v>0</v>
      </c>
      <c r="K21" s="47">
        <f>0.506467531924409*(I21)^0.23203728471849</f>
        <v>0.18809800634957716</v>
      </c>
      <c r="L21" s="47">
        <f>IF(J21&lt;=K21,1,0.56)</f>
        <v>1</v>
      </c>
      <c r="M21" s="47">
        <f>IF(J21&lt;=K21,0,0.863191147423464*(I21)^(-0.234866270653838))</f>
        <v>0</v>
      </c>
      <c r="N21" s="47">
        <f>L21*$C$9*$C$16 + M21*$C$18</f>
        <v>1.4732255838368402</v>
      </c>
      <c r="O21" s="47">
        <f t="shared" si="6"/>
        <v>12.936191283738271</v>
      </c>
      <c r="P21" s="11">
        <f t="shared" si="0"/>
        <v>14</v>
      </c>
      <c r="Q21" s="11">
        <f t="shared" si="1"/>
        <v>6.95</v>
      </c>
      <c r="Z21" s="73">
        <v>65</v>
      </c>
      <c r="AA21" s="70">
        <v>120</v>
      </c>
      <c r="AB21" s="71">
        <v>23</v>
      </c>
      <c r="AC21" s="70">
        <v>1.5</v>
      </c>
      <c r="AD21" s="74">
        <v>74</v>
      </c>
      <c r="AE21" s="75">
        <v>109</v>
      </c>
      <c r="AF21" s="76">
        <v>55.9</v>
      </c>
      <c r="AG21" s="77">
        <v>34</v>
      </c>
      <c r="AH21" s="78">
        <v>63.7</v>
      </c>
      <c r="AI21" s="79">
        <v>41.5</v>
      </c>
    </row>
    <row r="22" spans="2:42" ht="15" customHeight="1" x14ac:dyDescent="0.2">
      <c r="B22" s="10" t="s">
        <v>137</v>
      </c>
      <c r="C22" s="96">
        <v>4000</v>
      </c>
      <c r="D22" s="10" t="s">
        <v>138</v>
      </c>
      <c r="Z22" s="73">
        <v>70</v>
      </c>
      <c r="AA22" s="70">
        <v>125</v>
      </c>
      <c r="AB22" s="71">
        <v>24</v>
      </c>
      <c r="AC22" s="70">
        <v>1.5</v>
      </c>
      <c r="AD22" s="74">
        <v>79</v>
      </c>
      <c r="AE22" s="75">
        <v>114</v>
      </c>
      <c r="AF22" s="76">
        <v>61.8</v>
      </c>
      <c r="AG22" s="77">
        <v>37.5</v>
      </c>
      <c r="AH22" s="78">
        <v>68.900000000000006</v>
      </c>
      <c r="AI22" s="79">
        <v>45.5</v>
      </c>
    </row>
    <row r="23" spans="2:42" ht="15" customHeight="1" x14ac:dyDescent="0.2">
      <c r="B23" s="113" t="s">
        <v>139</v>
      </c>
      <c r="C23" s="114">
        <f>'L25 Gears Cont. Q25'!I34</f>
        <v>720</v>
      </c>
      <c r="D23" s="113" t="s">
        <v>140</v>
      </c>
      <c r="H23" s="80" t="s">
        <v>141</v>
      </c>
      <c r="I23" s="80"/>
      <c r="J23" s="80"/>
      <c r="Z23" s="73">
        <v>75</v>
      </c>
      <c r="AA23" s="70">
        <v>130</v>
      </c>
      <c r="AB23" s="71">
        <v>25</v>
      </c>
      <c r="AC23" s="70">
        <v>1.5</v>
      </c>
      <c r="AD23" s="74">
        <v>86</v>
      </c>
      <c r="AE23" s="75">
        <v>119</v>
      </c>
      <c r="AF23" s="76">
        <v>66.3</v>
      </c>
      <c r="AG23" s="77">
        <v>40.5</v>
      </c>
      <c r="AH23" s="78">
        <v>71.5</v>
      </c>
      <c r="AI23" s="79">
        <v>49</v>
      </c>
    </row>
    <row r="24" spans="2:42" ht="15" customHeight="1" x14ac:dyDescent="0.2">
      <c r="B24" s="11" t="s">
        <v>142</v>
      </c>
      <c r="C24" s="97">
        <f>IF(F25,C25,C22*C23*60)</f>
        <v>172800000</v>
      </c>
      <c r="D24" s="11" t="s">
        <v>143</v>
      </c>
      <c r="H24" s="11" t="s">
        <v>144</v>
      </c>
      <c r="I24" s="11">
        <f>P21</f>
        <v>14</v>
      </c>
      <c r="J24" s="11" t="s">
        <v>78</v>
      </c>
      <c r="Z24" s="73">
        <v>80</v>
      </c>
      <c r="AA24" s="70">
        <v>140</v>
      </c>
      <c r="AB24" s="71">
        <v>26</v>
      </c>
      <c r="AC24" s="70">
        <v>2</v>
      </c>
      <c r="AD24" s="74">
        <v>93</v>
      </c>
      <c r="AE24" s="75">
        <v>127</v>
      </c>
      <c r="AF24" s="76">
        <v>70.2</v>
      </c>
      <c r="AG24" s="77">
        <v>45</v>
      </c>
      <c r="AH24" s="78">
        <v>80.599999999999994</v>
      </c>
      <c r="AI24" s="79">
        <v>55</v>
      </c>
    </row>
    <row r="25" spans="2:42" ht="15" customHeight="1" x14ac:dyDescent="0.2">
      <c r="B25" s="10"/>
      <c r="C25" s="96"/>
      <c r="D25" s="10" t="s">
        <v>143</v>
      </c>
      <c r="E25" s="10" t="s">
        <v>145</v>
      </c>
      <c r="F25" s="19" t="b">
        <v>0</v>
      </c>
      <c r="H25" s="47"/>
      <c r="I25" s="47">
        <f>I24/4.448</f>
        <v>3.1474820143884887</v>
      </c>
      <c r="J25" s="47" t="s">
        <v>146</v>
      </c>
      <c r="Z25" s="73">
        <v>85</v>
      </c>
      <c r="AA25" s="70">
        <v>150</v>
      </c>
      <c r="AB25" s="71">
        <v>28</v>
      </c>
      <c r="AC25" s="70">
        <v>2</v>
      </c>
      <c r="AD25" s="74">
        <v>99</v>
      </c>
      <c r="AE25" s="75">
        <v>136</v>
      </c>
      <c r="AF25" s="76">
        <v>83.2</v>
      </c>
      <c r="AG25" s="77">
        <v>53</v>
      </c>
      <c r="AH25" s="78">
        <v>90.4</v>
      </c>
      <c r="AI25" s="79">
        <v>63</v>
      </c>
    </row>
    <row r="26" spans="2:42" ht="15" customHeight="1" x14ac:dyDescent="0.2">
      <c r="H26" s="11" t="s">
        <v>147</v>
      </c>
      <c r="I26" s="11">
        <f>Q21</f>
        <v>6.95</v>
      </c>
      <c r="J26" s="11" t="s">
        <v>78</v>
      </c>
      <c r="Z26" s="73">
        <v>90</v>
      </c>
      <c r="AA26" s="70">
        <v>160</v>
      </c>
      <c r="AB26" s="71">
        <v>30</v>
      </c>
      <c r="AC26" s="70">
        <v>2</v>
      </c>
      <c r="AD26" s="74">
        <v>104</v>
      </c>
      <c r="AE26" s="75">
        <v>146</v>
      </c>
      <c r="AF26" s="76">
        <v>95.6</v>
      </c>
      <c r="AG26" s="77">
        <v>62</v>
      </c>
      <c r="AH26" s="78">
        <v>106</v>
      </c>
      <c r="AI26" s="79">
        <v>73.5</v>
      </c>
    </row>
    <row r="27" spans="2:42" ht="15" customHeight="1" thickBot="1" x14ac:dyDescent="0.25">
      <c r="B27" s="98" t="s">
        <v>148</v>
      </c>
      <c r="C27" s="98"/>
      <c r="D27" s="98"/>
      <c r="E27" s="99" t="s">
        <v>149</v>
      </c>
      <c r="F27" s="98">
        <f>EXP(-1*((1 - C29) / (C30 - C29))^C31)</f>
        <v>0.89903790414205775</v>
      </c>
      <c r="H27" s="47"/>
      <c r="I27" s="47">
        <f>I26/4.448</f>
        <v>1.5625</v>
      </c>
      <c r="J27" s="47" t="s">
        <v>146</v>
      </c>
      <c r="Z27" s="59">
        <v>95</v>
      </c>
      <c r="AA27" s="93">
        <v>170</v>
      </c>
      <c r="AB27" s="61">
        <v>32</v>
      </c>
      <c r="AC27" s="93">
        <v>2</v>
      </c>
      <c r="AD27" s="100">
        <v>110</v>
      </c>
      <c r="AE27" s="101">
        <v>156</v>
      </c>
      <c r="AF27" s="102">
        <v>108</v>
      </c>
      <c r="AG27" s="103">
        <v>69.5</v>
      </c>
      <c r="AH27" s="104">
        <v>121</v>
      </c>
      <c r="AI27" s="105">
        <v>85</v>
      </c>
    </row>
    <row r="28" spans="2:42" ht="15" customHeight="1" x14ac:dyDescent="0.2">
      <c r="B28" s="11" t="s">
        <v>150</v>
      </c>
      <c r="C28" s="97">
        <f>IF(F36,C37,VLOOKUP($C$5,$T$6:$X$7,2,FALSE))</f>
        <v>1000000</v>
      </c>
      <c r="D28" s="11" t="s">
        <v>143</v>
      </c>
    </row>
    <row r="29" spans="2:42" ht="15" customHeight="1" x14ac:dyDescent="0.2">
      <c r="B29" s="11" t="s">
        <v>87</v>
      </c>
      <c r="C29" s="106">
        <f>IF(F36,C38,VLOOKUP($C$5,$T$6:$X$7,3,FALSE))</f>
        <v>0.02</v>
      </c>
      <c r="D29" s="11"/>
    </row>
    <row r="30" spans="2:42" ht="15" customHeight="1" x14ac:dyDescent="0.2">
      <c r="B30" s="11" t="s">
        <v>88</v>
      </c>
      <c r="C30" s="106">
        <f>IF(F36,C40,VLOOKUP($C$5,$T$6:$X$7,4,FALSE))</f>
        <v>4.4589999999999996</v>
      </c>
      <c r="D30" s="11"/>
    </row>
    <row r="31" spans="2:42" ht="15" customHeight="1" x14ac:dyDescent="0.2">
      <c r="B31" s="11" t="s">
        <v>89</v>
      </c>
      <c r="C31" s="106">
        <f>IF(F36,C42,VLOOKUP($C$5,$T$6:$X$7,5,FALSE))</f>
        <v>1.4830000000000001</v>
      </c>
      <c r="D31" s="11"/>
    </row>
    <row r="32" spans="2:42" ht="15" customHeight="1" x14ac:dyDescent="0.2">
      <c r="B32" s="11" t="s">
        <v>151</v>
      </c>
      <c r="C32" s="107">
        <f>IF(F33,C33,C24/C28)</f>
        <v>172.8</v>
      </c>
      <c r="D32" s="11" t="s">
        <v>143</v>
      </c>
    </row>
    <row r="33" spans="2:6" ht="15" customHeight="1" x14ac:dyDescent="0.2">
      <c r="B33" s="10"/>
      <c r="C33" s="10"/>
      <c r="D33" s="10" t="s">
        <v>143</v>
      </c>
      <c r="E33" s="10" t="s">
        <v>152</v>
      </c>
      <c r="F33" s="19" t="b">
        <v>0</v>
      </c>
    </row>
    <row r="34" spans="2:6" ht="15" customHeight="1" x14ac:dyDescent="0.2">
      <c r="B34" s="11" t="s">
        <v>153</v>
      </c>
      <c r="C34" s="48">
        <f>C29+(C30-C29)*(LN(C6^-1))^(1/C31)</f>
        <v>0.25523028673997555</v>
      </c>
      <c r="D34" s="85"/>
      <c r="E34" s="108" t="s">
        <v>154</v>
      </c>
      <c r="F34" s="109">
        <f>C6</f>
        <v>0.98725854490143383</v>
      </c>
    </row>
    <row r="36" spans="2:6" ht="15" customHeight="1" x14ac:dyDescent="0.2">
      <c r="B36" s="6" t="s">
        <v>155</v>
      </c>
      <c r="C36" s="6"/>
      <c r="D36" s="6"/>
      <c r="E36" s="10" t="s">
        <v>156</v>
      </c>
      <c r="F36" s="19" t="b">
        <v>0</v>
      </c>
    </row>
    <row r="37" spans="2:6" ht="15" customHeight="1" x14ac:dyDescent="0.2">
      <c r="B37" s="10" t="s">
        <v>150</v>
      </c>
      <c r="C37" s="110">
        <f>10^6</f>
        <v>1000000</v>
      </c>
      <c r="D37" s="10" t="s">
        <v>143</v>
      </c>
    </row>
    <row r="38" spans="2:6" ht="15" customHeight="1" x14ac:dyDescent="0.2">
      <c r="B38" s="10" t="s">
        <v>87</v>
      </c>
      <c r="C38" s="111">
        <v>0.02</v>
      </c>
      <c r="D38" s="87"/>
    </row>
    <row r="39" spans="2:6" ht="15" customHeight="1" x14ac:dyDescent="0.2">
      <c r="B39" s="10" t="s">
        <v>157</v>
      </c>
      <c r="C39" s="88">
        <v>4.4390000000000001</v>
      </c>
      <c r="D39" s="87"/>
    </row>
    <row r="40" spans="2:6" ht="15" customHeight="1" x14ac:dyDescent="0.2">
      <c r="B40" s="11" t="s">
        <v>88</v>
      </c>
      <c r="C40" s="48">
        <f>IF(F41,C41,C39+C38)</f>
        <v>4.4589999999999996</v>
      </c>
      <c r="D40" s="85"/>
    </row>
    <row r="41" spans="2:6" ht="15" customHeight="1" x14ac:dyDescent="0.2">
      <c r="B41" s="10"/>
      <c r="C41" s="10"/>
      <c r="D41" s="10" t="s">
        <v>143</v>
      </c>
      <c r="E41" s="10" t="s">
        <v>158</v>
      </c>
      <c r="F41" s="19" t="b">
        <v>0</v>
      </c>
    </row>
    <row r="42" spans="2:6" ht="15" customHeight="1" x14ac:dyDescent="0.2">
      <c r="B42" s="10" t="s">
        <v>89</v>
      </c>
      <c r="C42" s="88">
        <v>1.4830000000000001</v>
      </c>
      <c r="D42" s="87"/>
    </row>
    <row r="57" spans="26:34" ht="15" customHeight="1" thickBot="1" x14ac:dyDescent="0.25"/>
    <row r="58" spans="26:34" ht="15" customHeight="1" x14ac:dyDescent="0.2">
      <c r="Z58" s="49" t="s">
        <v>159</v>
      </c>
      <c r="AA58" s="50"/>
      <c r="AB58" s="50"/>
      <c r="AC58" s="50"/>
      <c r="AD58" s="50"/>
      <c r="AE58" s="50"/>
      <c r="AF58" s="50"/>
      <c r="AG58" s="50"/>
      <c r="AH58" s="51"/>
    </row>
    <row r="59" spans="26:34" ht="15" customHeight="1" x14ac:dyDescent="0.2">
      <c r="Z59" s="112"/>
      <c r="AA59" s="128" t="s">
        <v>160</v>
      </c>
      <c r="AB59" s="121"/>
      <c r="AC59" s="121"/>
      <c r="AD59" s="129"/>
      <c r="AE59" s="121" t="s">
        <v>161</v>
      </c>
      <c r="AF59" s="121"/>
      <c r="AG59" s="121"/>
      <c r="AH59" s="130"/>
    </row>
    <row r="60" spans="26:34" ht="15" customHeight="1" x14ac:dyDescent="0.2">
      <c r="Z60" s="117" t="s">
        <v>90</v>
      </c>
      <c r="AA60" s="119" t="s">
        <v>91</v>
      </c>
      <c r="AB60" s="119" t="s">
        <v>92</v>
      </c>
      <c r="AC60" s="131" t="s">
        <v>162</v>
      </c>
      <c r="AD60" s="131"/>
      <c r="AE60" s="119" t="s">
        <v>91</v>
      </c>
      <c r="AF60" s="119" t="s">
        <v>92</v>
      </c>
      <c r="AG60" s="132" t="s">
        <v>162</v>
      </c>
      <c r="AH60" s="133"/>
    </row>
    <row r="61" spans="26:34" ht="15" customHeight="1" x14ac:dyDescent="0.2">
      <c r="Z61" s="118"/>
      <c r="AA61" s="120"/>
      <c r="AB61" s="120"/>
      <c r="AC61" s="64" t="s">
        <v>115</v>
      </c>
      <c r="AD61" s="64" t="s">
        <v>116</v>
      </c>
      <c r="AE61" s="120"/>
      <c r="AF61" s="120"/>
      <c r="AG61" s="65" t="s">
        <v>115</v>
      </c>
      <c r="AH61" s="66" t="s">
        <v>116</v>
      </c>
    </row>
    <row r="62" spans="26:34" ht="15" customHeight="1" x14ac:dyDescent="0.2">
      <c r="Z62" s="73">
        <v>25</v>
      </c>
      <c r="AA62" s="70">
        <v>52</v>
      </c>
      <c r="AB62" s="71">
        <v>15</v>
      </c>
      <c r="AC62" s="76">
        <v>16.8</v>
      </c>
      <c r="AD62" s="77">
        <v>8.8000000000000007</v>
      </c>
      <c r="AE62" s="71">
        <v>62</v>
      </c>
      <c r="AF62" s="70">
        <v>17</v>
      </c>
      <c r="AG62" s="78">
        <v>28.6</v>
      </c>
      <c r="AH62" s="79">
        <v>15</v>
      </c>
    </row>
    <row r="63" spans="26:34" ht="15" customHeight="1" x14ac:dyDescent="0.2">
      <c r="Z63" s="73">
        <v>30</v>
      </c>
      <c r="AA63" s="70">
        <v>62</v>
      </c>
      <c r="AB63" s="71">
        <v>16</v>
      </c>
      <c r="AC63" s="76">
        <v>22.4</v>
      </c>
      <c r="AD63" s="77">
        <v>12</v>
      </c>
      <c r="AE63" s="71">
        <v>72</v>
      </c>
      <c r="AF63" s="70">
        <v>19</v>
      </c>
      <c r="AG63" s="78">
        <v>36.9</v>
      </c>
      <c r="AH63" s="79">
        <v>20</v>
      </c>
    </row>
    <row r="64" spans="26:34" ht="15" customHeight="1" x14ac:dyDescent="0.2">
      <c r="Z64" s="73">
        <v>35</v>
      </c>
      <c r="AA64" s="70">
        <v>72</v>
      </c>
      <c r="AB64" s="71">
        <v>17</v>
      </c>
      <c r="AC64" s="76">
        <v>31.9</v>
      </c>
      <c r="AD64" s="77">
        <v>17.600000000000001</v>
      </c>
      <c r="AE64" s="71">
        <v>80</v>
      </c>
      <c r="AF64" s="70">
        <v>21</v>
      </c>
      <c r="AG64" s="78">
        <v>44.6</v>
      </c>
      <c r="AH64" s="79">
        <v>27.1</v>
      </c>
    </row>
    <row r="65" spans="26:34" ht="15" customHeight="1" x14ac:dyDescent="0.2">
      <c r="Z65" s="73">
        <v>40</v>
      </c>
      <c r="AA65" s="70">
        <v>80</v>
      </c>
      <c r="AB65" s="71">
        <v>18</v>
      </c>
      <c r="AC65" s="76">
        <v>41.8</v>
      </c>
      <c r="AD65" s="77">
        <v>24</v>
      </c>
      <c r="AE65" s="71">
        <v>90</v>
      </c>
      <c r="AF65" s="70">
        <v>23</v>
      </c>
      <c r="AG65" s="78">
        <v>56.1</v>
      </c>
      <c r="AH65" s="79">
        <v>32.5</v>
      </c>
    </row>
    <row r="66" spans="26:34" ht="15" customHeight="1" x14ac:dyDescent="0.2">
      <c r="Z66" s="73">
        <v>45</v>
      </c>
      <c r="AA66" s="70">
        <v>85</v>
      </c>
      <c r="AB66" s="71">
        <v>19</v>
      </c>
      <c r="AC66" s="76">
        <v>44</v>
      </c>
      <c r="AD66" s="77">
        <v>25.5</v>
      </c>
      <c r="AE66" s="71">
        <v>100</v>
      </c>
      <c r="AF66" s="70">
        <v>25</v>
      </c>
      <c r="AG66" s="78">
        <v>72.099999999999994</v>
      </c>
      <c r="AH66" s="79">
        <v>45.4</v>
      </c>
    </row>
    <row r="67" spans="26:34" ht="15" customHeight="1" x14ac:dyDescent="0.2">
      <c r="Z67" s="73">
        <v>50</v>
      </c>
      <c r="AA67" s="70">
        <v>90</v>
      </c>
      <c r="AB67" s="71">
        <v>20</v>
      </c>
      <c r="AC67" s="76">
        <v>45.7</v>
      </c>
      <c r="AD67" s="77">
        <v>27.5</v>
      </c>
      <c r="AE67" s="71">
        <v>110</v>
      </c>
      <c r="AF67" s="70">
        <v>27</v>
      </c>
      <c r="AG67" s="78">
        <v>88</v>
      </c>
      <c r="AH67" s="79">
        <v>52</v>
      </c>
    </row>
    <row r="68" spans="26:34" ht="15" customHeight="1" x14ac:dyDescent="0.2">
      <c r="Z68" s="73">
        <v>55</v>
      </c>
      <c r="AA68" s="70">
        <v>100</v>
      </c>
      <c r="AB68" s="71">
        <v>21</v>
      </c>
      <c r="AC68" s="76">
        <v>56.1</v>
      </c>
      <c r="AD68" s="77">
        <v>34</v>
      </c>
      <c r="AE68" s="71">
        <v>120</v>
      </c>
      <c r="AF68" s="70">
        <v>29</v>
      </c>
      <c r="AG68" s="78">
        <v>102</v>
      </c>
      <c r="AH68" s="79">
        <v>67.2</v>
      </c>
    </row>
    <row r="69" spans="26:34" ht="15" customHeight="1" x14ac:dyDescent="0.2">
      <c r="Z69" s="73">
        <v>60</v>
      </c>
      <c r="AA69" s="70">
        <v>110</v>
      </c>
      <c r="AB69" s="71">
        <v>22</v>
      </c>
      <c r="AC69" s="76">
        <v>64.400000000000006</v>
      </c>
      <c r="AD69" s="77">
        <v>43.1</v>
      </c>
      <c r="AE69" s="71">
        <v>130</v>
      </c>
      <c r="AF69" s="70">
        <v>31</v>
      </c>
      <c r="AG69" s="78">
        <v>123</v>
      </c>
      <c r="AH69" s="79">
        <v>76.5</v>
      </c>
    </row>
    <row r="70" spans="26:34" ht="15" customHeight="1" x14ac:dyDescent="0.2">
      <c r="Z70" s="73">
        <v>65</v>
      </c>
      <c r="AA70" s="70">
        <v>120</v>
      </c>
      <c r="AB70" s="71">
        <v>23</v>
      </c>
      <c r="AC70" s="76">
        <v>76.5</v>
      </c>
      <c r="AD70" s="77">
        <v>51.2</v>
      </c>
      <c r="AE70" s="71">
        <v>140</v>
      </c>
      <c r="AF70" s="70">
        <v>33</v>
      </c>
      <c r="AG70" s="78">
        <v>138</v>
      </c>
      <c r="AH70" s="79">
        <v>85</v>
      </c>
    </row>
    <row r="71" spans="26:34" ht="15" customHeight="1" x14ac:dyDescent="0.2">
      <c r="Z71" s="73">
        <v>70</v>
      </c>
      <c r="AA71" s="70">
        <v>125</v>
      </c>
      <c r="AB71" s="71">
        <v>24</v>
      </c>
      <c r="AC71" s="76">
        <v>79.2</v>
      </c>
      <c r="AD71" s="77">
        <v>51.2</v>
      </c>
      <c r="AE71" s="71">
        <v>150</v>
      </c>
      <c r="AF71" s="70">
        <v>35</v>
      </c>
      <c r="AG71" s="78">
        <v>151</v>
      </c>
      <c r="AH71" s="79">
        <v>102</v>
      </c>
    </row>
    <row r="72" spans="26:34" ht="15" customHeight="1" x14ac:dyDescent="0.2">
      <c r="Z72" s="73">
        <v>75</v>
      </c>
      <c r="AA72" s="70">
        <v>130</v>
      </c>
      <c r="AB72" s="71">
        <v>25</v>
      </c>
      <c r="AC72" s="76">
        <v>93.1</v>
      </c>
      <c r="AD72" s="77">
        <v>69.400000000000006</v>
      </c>
      <c r="AE72" s="71">
        <v>160</v>
      </c>
      <c r="AF72" s="70">
        <v>37</v>
      </c>
      <c r="AG72" s="78">
        <v>183</v>
      </c>
      <c r="AH72" s="79">
        <v>125</v>
      </c>
    </row>
    <row r="73" spans="26:34" ht="15" customHeight="1" x14ac:dyDescent="0.2">
      <c r="Z73" s="73">
        <v>80</v>
      </c>
      <c r="AA73" s="70">
        <v>140</v>
      </c>
      <c r="AB73" s="71">
        <v>26</v>
      </c>
      <c r="AC73" s="76">
        <v>106</v>
      </c>
      <c r="AD73" s="77">
        <v>78.3</v>
      </c>
      <c r="AE73" s="71">
        <v>170</v>
      </c>
      <c r="AF73" s="70">
        <v>39</v>
      </c>
      <c r="AG73" s="78">
        <v>190</v>
      </c>
      <c r="AH73" s="79">
        <v>125</v>
      </c>
    </row>
    <row r="74" spans="26:34" ht="15" customHeight="1" x14ac:dyDescent="0.2">
      <c r="Z74" s="73">
        <v>85</v>
      </c>
      <c r="AA74" s="70">
        <v>150</v>
      </c>
      <c r="AB74" s="71">
        <v>28</v>
      </c>
      <c r="AC74" s="76">
        <v>119</v>
      </c>
      <c r="AD74" s="77">
        <v>78.3</v>
      </c>
      <c r="AE74" s="71">
        <v>180</v>
      </c>
      <c r="AF74" s="70">
        <v>41</v>
      </c>
      <c r="AG74" s="78">
        <v>212</v>
      </c>
      <c r="AH74" s="79">
        <v>149</v>
      </c>
    </row>
    <row r="75" spans="26:34" ht="15" customHeight="1" x14ac:dyDescent="0.2">
      <c r="Z75" s="73">
        <v>90</v>
      </c>
      <c r="AA75" s="70">
        <v>160</v>
      </c>
      <c r="AB75" s="71">
        <v>30</v>
      </c>
      <c r="AC75" s="76">
        <v>142</v>
      </c>
      <c r="AD75" s="77">
        <v>100</v>
      </c>
      <c r="AE75" s="71">
        <v>190</v>
      </c>
      <c r="AF75" s="70">
        <v>43</v>
      </c>
      <c r="AG75" s="78">
        <v>242</v>
      </c>
      <c r="AH75" s="79">
        <v>160</v>
      </c>
    </row>
    <row r="76" spans="26:34" ht="15" customHeight="1" x14ac:dyDescent="0.2">
      <c r="Z76" s="73">
        <v>95</v>
      </c>
      <c r="AA76" s="70">
        <v>170</v>
      </c>
      <c r="AB76" s="71">
        <v>32</v>
      </c>
      <c r="AC76" s="76">
        <v>165</v>
      </c>
      <c r="AD76" s="77">
        <v>112</v>
      </c>
      <c r="AE76" s="71">
        <v>200</v>
      </c>
      <c r="AF76" s="70">
        <v>45</v>
      </c>
      <c r="AG76" s="78">
        <v>264</v>
      </c>
      <c r="AH76" s="79">
        <v>189</v>
      </c>
    </row>
    <row r="77" spans="26:34" ht="15" customHeight="1" x14ac:dyDescent="0.2">
      <c r="Z77" s="73">
        <v>100</v>
      </c>
      <c r="AA77" s="70">
        <v>180</v>
      </c>
      <c r="AB77" s="71">
        <v>34</v>
      </c>
      <c r="AC77" s="76">
        <v>183</v>
      </c>
      <c r="AD77" s="77">
        <v>125</v>
      </c>
      <c r="AE77" s="71">
        <v>215</v>
      </c>
      <c r="AF77" s="70">
        <v>47</v>
      </c>
      <c r="AG77" s="78">
        <v>303</v>
      </c>
      <c r="AH77" s="79">
        <v>220</v>
      </c>
    </row>
    <row r="78" spans="26:34" ht="15" customHeight="1" x14ac:dyDescent="0.2">
      <c r="Z78" s="73">
        <v>110</v>
      </c>
      <c r="AA78" s="70">
        <v>200</v>
      </c>
      <c r="AB78" s="71">
        <v>38</v>
      </c>
      <c r="AC78" s="76">
        <v>229</v>
      </c>
      <c r="AD78" s="77">
        <v>167</v>
      </c>
      <c r="AE78" s="71">
        <v>240</v>
      </c>
      <c r="AF78" s="70">
        <v>50</v>
      </c>
      <c r="AG78" s="78">
        <v>391</v>
      </c>
      <c r="AH78" s="79">
        <v>304</v>
      </c>
    </row>
    <row r="79" spans="26:34" ht="15" customHeight="1" x14ac:dyDescent="0.2">
      <c r="Z79" s="73">
        <v>120</v>
      </c>
      <c r="AA79" s="70">
        <v>215</v>
      </c>
      <c r="AB79" s="71">
        <v>40</v>
      </c>
      <c r="AC79" s="76">
        <v>260</v>
      </c>
      <c r="AD79" s="77">
        <v>233</v>
      </c>
      <c r="AE79" s="71">
        <v>260</v>
      </c>
      <c r="AF79" s="70">
        <v>55</v>
      </c>
      <c r="AG79" s="78">
        <v>457</v>
      </c>
      <c r="AH79" s="79">
        <v>340</v>
      </c>
    </row>
    <row r="80" spans="26:34" ht="15" customHeight="1" x14ac:dyDescent="0.2">
      <c r="Z80" s="73">
        <v>130</v>
      </c>
      <c r="AA80" s="70">
        <v>230</v>
      </c>
      <c r="AB80" s="71">
        <v>40</v>
      </c>
      <c r="AC80" s="76">
        <v>270</v>
      </c>
      <c r="AD80" s="77">
        <v>193</v>
      </c>
      <c r="AE80" s="71">
        <v>280</v>
      </c>
      <c r="AF80" s="70">
        <v>58</v>
      </c>
      <c r="AG80" s="78">
        <v>539</v>
      </c>
      <c r="AH80" s="79">
        <v>408</v>
      </c>
    </row>
    <row r="81" spans="26:34" ht="15" customHeight="1" x14ac:dyDescent="0.2">
      <c r="Z81" s="73">
        <v>140</v>
      </c>
      <c r="AA81" s="70">
        <v>250</v>
      </c>
      <c r="AB81" s="71">
        <v>42</v>
      </c>
      <c r="AC81" s="76">
        <v>319</v>
      </c>
      <c r="AD81" s="77">
        <v>260</v>
      </c>
      <c r="AE81" s="71">
        <v>300</v>
      </c>
      <c r="AF81" s="70">
        <v>62</v>
      </c>
      <c r="AG81" s="78">
        <v>682</v>
      </c>
      <c r="AH81" s="79">
        <v>454</v>
      </c>
    </row>
    <row r="82" spans="26:34" ht="15" customHeight="1" thickBot="1" x14ac:dyDescent="0.25">
      <c r="Z82" s="59">
        <v>150</v>
      </c>
      <c r="AA82" s="93">
        <v>270</v>
      </c>
      <c r="AB82" s="61">
        <v>45</v>
      </c>
      <c r="AC82" s="102">
        <v>446</v>
      </c>
      <c r="AD82" s="103">
        <v>320</v>
      </c>
      <c r="AE82" s="61">
        <v>320</v>
      </c>
      <c r="AF82" s="93">
        <v>65</v>
      </c>
      <c r="AG82" s="104">
        <v>781</v>
      </c>
      <c r="AH82" s="105">
        <v>502</v>
      </c>
    </row>
  </sheetData>
  <mergeCells count="22">
    <mergeCell ref="AA59:AD59"/>
    <mergeCell ref="AE59:AH59"/>
    <mergeCell ref="Z60:Z61"/>
    <mergeCell ref="AA60:AA61"/>
    <mergeCell ref="AB60:AB61"/>
    <mergeCell ref="AC60:AD60"/>
    <mergeCell ref="AE60:AE61"/>
    <mergeCell ref="AF60:AF61"/>
    <mergeCell ref="AG60:AH60"/>
    <mergeCell ref="AK5:AK6"/>
    <mergeCell ref="AL5:AL6"/>
    <mergeCell ref="AM5:AN5"/>
    <mergeCell ref="AO5:AP5"/>
    <mergeCell ref="AD6:AE6"/>
    <mergeCell ref="AF6:AG6"/>
    <mergeCell ref="AH6:AI6"/>
    <mergeCell ref="AF5:AI5"/>
    <mergeCell ref="Z5:Z7"/>
    <mergeCell ref="AA5:AA7"/>
    <mergeCell ref="AB5:AB7"/>
    <mergeCell ref="AC5:AC7"/>
    <mergeCell ref="AD5:AE5"/>
  </mergeCells>
  <conditionalFormatting sqref="B12 D12 F12">
    <cfRule type="expression" dxfId="10" priority="3">
      <formula>NOT($F$12)</formula>
    </cfRule>
  </conditionalFormatting>
  <conditionalFormatting sqref="B22:B23 D22:D23">
    <cfRule type="expression" dxfId="9" priority="6">
      <formula>$F$25</formula>
    </cfRule>
  </conditionalFormatting>
  <conditionalFormatting sqref="B25 D25 F25">
    <cfRule type="expression" dxfId="8" priority="9">
      <formula>NOT($F$25)</formula>
    </cfRule>
  </conditionalFormatting>
  <conditionalFormatting sqref="B33 D33">
    <cfRule type="expression" dxfId="7" priority="8">
      <formula>NOT($F$33)</formula>
    </cfRule>
  </conditionalFormatting>
  <conditionalFormatting sqref="B39 D39">
    <cfRule type="expression" dxfId="6" priority="5">
      <formula>$F$41</formula>
    </cfRule>
  </conditionalFormatting>
  <conditionalFormatting sqref="B41 D41 F41">
    <cfRule type="expression" dxfId="5" priority="7">
      <formula>NOT($F$41)</formula>
    </cfRule>
  </conditionalFormatting>
  <conditionalFormatting sqref="B5:D5">
    <cfRule type="expression" dxfId="4" priority="11">
      <formula>$F$36</formula>
    </cfRule>
  </conditionalFormatting>
  <conditionalFormatting sqref="B10:D10">
    <cfRule type="expression" dxfId="3" priority="10">
      <formula>$F$12</formula>
    </cfRule>
  </conditionalFormatting>
  <conditionalFormatting sqref="B36:D42 E41:F41">
    <cfRule type="expression" dxfId="2" priority="2">
      <formula>NOT($F$36)</formula>
    </cfRule>
  </conditionalFormatting>
  <conditionalFormatting sqref="F33">
    <cfRule type="expression" dxfId="1" priority="4">
      <formula>NOT($F$33)</formula>
    </cfRule>
  </conditionalFormatting>
  <conditionalFormatting sqref="F36">
    <cfRule type="expression" dxfId="0" priority="1">
      <formula>NOT($F$36)</formula>
    </cfRule>
  </conditionalFormatting>
  <dataValidations count="5">
    <dataValidation type="list" allowBlank="1" showInputMessage="1" showErrorMessage="1" sqref="D2" xr:uid="{7954CEE7-72C1-4AF0-B5B7-E3BF90B99EC2}">
      <formula1>"English, Metric"</formula1>
    </dataValidation>
    <dataValidation type="list" allowBlank="1" showInputMessage="1" showErrorMessage="1" sqref="C10" xr:uid="{313C30A5-31EA-44A5-838F-6AC836425FE0}">
      <formula1>"Ball, Roller"</formula1>
    </dataValidation>
    <dataValidation type="list" allowBlank="1" showInputMessage="1" showErrorMessage="1" sqref="C7" xr:uid="{332326F5-EAC1-4297-B2E1-EEACEF7437EC}">
      <formula1>"Deep Groove, Angular, 02-Series, 03-Series"</formula1>
    </dataValidation>
    <dataValidation type="list" allowBlank="1" showInputMessage="1" showErrorMessage="1" sqref="C8" xr:uid="{988AF7BC-C867-4BC9-9B45-4C6B53D2DCDD}">
      <formula1>"Inner Ring, Outer Ring"</formula1>
    </dataValidation>
    <dataValidation type="list" allowBlank="1" showInputMessage="1" showErrorMessage="1" sqref="C5" xr:uid="{8D4B1C95-BDA3-4014-8F10-8199C8D7CC7A}">
      <formula1>$T$6:$T$7</formula1>
    </dataValidation>
  </dataValidation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L25 Gears Cont.</vt:lpstr>
      <vt:lpstr>L25 Gears Cont. Q25</vt:lpstr>
      <vt:lpstr>L18 Comb. Lds Bearings Q25 A&amp;B</vt:lpstr>
      <vt:lpstr>L18 Comb. Lds Bearings Q25 C&amp;D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Caiden Logan Bonney</dc:creator>
  <cp:lastModifiedBy>Caiden Logan Bonney</cp:lastModifiedBy>
  <dcterms:created xsi:type="dcterms:W3CDTF">2025-03-01T01:25:50Z</dcterms:created>
  <dcterms:modified xsi:type="dcterms:W3CDTF">2025-06-25T00:15:02Z</dcterms:modified>
</cp:coreProperties>
</file>