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429"/>
  <workbookPr/>
  <mc:AlternateContent xmlns:mc="http://schemas.openxmlformats.org/markup-compatibility/2006">
    <mc:Choice Requires="x15">
      <x15ac:absPath xmlns:x15ac="http://schemas.microsoft.com/office/spreadsheetml/2010/11/ac" url="https://cpslo-my.sharepoint.com/personal/clbonney_calpoly_edu/Documents/ME 329 Mechanical Systems Design/"/>
    </mc:Choice>
  </mc:AlternateContent>
  <xr:revisionPtr revIDLastSave="3316" documentId="11_0B1D56BE9CDCCE836B02CE7A5FB0D4A9BBFD1C62" xr6:coauthVersionLast="47" xr6:coauthVersionMax="47" xr10:uidLastSave="{BCF9D2B9-9BE5-4CBF-A847-F77503D4C941}"/>
  <bookViews>
    <workbookView xWindow="-120" yWindow="-120" windowWidth="38640" windowHeight="21120" xr2:uid="{00000000-000D-0000-FFFF-FFFF00000000}"/>
  </bookViews>
  <sheets>
    <sheet name="L13&amp;14 Weld Design" sheetId="23" r:id="rId1"/>
    <sheet name="L14 Weld Design Quiz" sheetId="24" r:id="rId2"/>
    <sheet name="L13 Weld Design Quiz P1" sheetId="17" r:id="rId3"/>
    <sheet name="L13 Weld Design Quiz P2" sheetId="18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49" i="24" l="1"/>
  <c r="P146" i="24"/>
  <c r="P143" i="24"/>
  <c r="P140" i="24"/>
  <c r="H138" i="24"/>
  <c r="P137" i="24"/>
  <c r="P136" i="24"/>
  <c r="P135" i="24"/>
  <c r="H135" i="24"/>
  <c r="P134" i="24"/>
  <c r="H134" i="24"/>
  <c r="P133" i="24"/>
  <c r="H133" i="24"/>
  <c r="P132" i="24"/>
  <c r="P131" i="24"/>
  <c r="H130" i="24"/>
  <c r="H129" i="24"/>
  <c r="P128" i="24"/>
  <c r="H128" i="24"/>
  <c r="P127" i="24"/>
  <c r="H127" i="24"/>
  <c r="D127" i="24"/>
  <c r="P126" i="24"/>
  <c r="H126" i="24"/>
  <c r="D126" i="24"/>
  <c r="P125" i="24"/>
  <c r="L125" i="24"/>
  <c r="H125" i="24"/>
  <c r="P124" i="24"/>
  <c r="L124" i="24"/>
  <c r="H124" i="24"/>
  <c r="P123" i="24"/>
  <c r="H123" i="24"/>
  <c r="D123" i="24"/>
  <c r="P122" i="24"/>
  <c r="H122" i="24"/>
  <c r="D122" i="24"/>
  <c r="L121" i="24"/>
  <c r="H121" i="24"/>
  <c r="D121" i="24"/>
  <c r="L120" i="24"/>
  <c r="K120" i="24"/>
  <c r="H120" i="24"/>
  <c r="D120" i="24"/>
  <c r="P119" i="24"/>
  <c r="L119" i="24"/>
  <c r="H119" i="24"/>
  <c r="D119" i="24"/>
  <c r="P118" i="24"/>
  <c r="L118" i="24"/>
  <c r="P117" i="24"/>
  <c r="L117" i="24"/>
  <c r="H116" i="24"/>
  <c r="H115" i="24"/>
  <c r="G115" i="24"/>
  <c r="C115" i="24"/>
  <c r="P114" i="24"/>
  <c r="H114" i="24"/>
  <c r="P113" i="24"/>
  <c r="H113" i="24"/>
  <c r="G113" i="24"/>
  <c r="P112" i="24"/>
  <c r="H112" i="24"/>
  <c r="P111" i="24"/>
  <c r="H111" i="24"/>
  <c r="G111" i="24"/>
  <c r="P110" i="24"/>
  <c r="H110" i="24"/>
  <c r="G110" i="24"/>
  <c r="D110" i="24"/>
  <c r="C110" i="24"/>
  <c r="P109" i="24"/>
  <c r="H109" i="24"/>
  <c r="G109" i="24"/>
  <c r="D109" i="24"/>
  <c r="P108" i="24"/>
  <c r="L108" i="24"/>
  <c r="K108" i="24"/>
  <c r="H108" i="24"/>
  <c r="G108" i="24"/>
  <c r="G119" i="24" s="1"/>
  <c r="D108" i="24"/>
  <c r="P107" i="24"/>
  <c r="O107" i="24"/>
  <c r="L107" i="24"/>
  <c r="H107" i="24"/>
  <c r="D107" i="24"/>
  <c r="C107" i="24"/>
  <c r="G107" i="24" s="1"/>
  <c r="P87" i="24"/>
  <c r="P84" i="24"/>
  <c r="P83" i="24"/>
  <c r="P82" i="24"/>
  <c r="P79" i="24"/>
  <c r="P78" i="24"/>
  <c r="P77" i="24"/>
  <c r="P76" i="24"/>
  <c r="L76" i="24"/>
  <c r="P75" i="24"/>
  <c r="L75" i="24"/>
  <c r="P74" i="24"/>
  <c r="P73" i="24"/>
  <c r="P72" i="24"/>
  <c r="L72" i="24"/>
  <c r="P71" i="24"/>
  <c r="L71" i="24"/>
  <c r="P70" i="24"/>
  <c r="L70" i="24"/>
  <c r="P69" i="24"/>
  <c r="L69" i="24"/>
  <c r="P68" i="24"/>
  <c r="L68" i="24"/>
  <c r="P65" i="24"/>
  <c r="D65" i="24"/>
  <c r="P64" i="24"/>
  <c r="O64" i="24"/>
  <c r="K64" i="24"/>
  <c r="D64" i="24"/>
  <c r="P63" i="24"/>
  <c r="P62" i="24"/>
  <c r="O62" i="24"/>
  <c r="P61" i="24"/>
  <c r="L61" i="24"/>
  <c r="H61" i="24"/>
  <c r="D61" i="24"/>
  <c r="P60" i="24"/>
  <c r="O60" i="24"/>
  <c r="L60" i="24"/>
  <c r="H60" i="24"/>
  <c r="G60" i="24"/>
  <c r="D60" i="24"/>
  <c r="P59" i="24"/>
  <c r="O59" i="24"/>
  <c r="L59" i="24"/>
  <c r="H59" i="24"/>
  <c r="G59" i="24"/>
  <c r="D59" i="24"/>
  <c r="P58" i="24"/>
  <c r="O58" i="24"/>
  <c r="K60" i="24" s="1"/>
  <c r="L58" i="24"/>
  <c r="H58" i="24"/>
  <c r="G58" i="24"/>
  <c r="C60" i="24" s="1"/>
  <c r="D58" i="24"/>
  <c r="P57" i="24"/>
  <c r="O57" i="24"/>
  <c r="O69" i="24" s="1"/>
  <c r="L57" i="24"/>
  <c r="H57" i="24"/>
  <c r="G57" i="24"/>
  <c r="C65" i="24" s="1"/>
  <c r="D57" i="24"/>
  <c r="P56" i="24"/>
  <c r="L56" i="24"/>
  <c r="K56" i="24"/>
  <c r="O56" i="24" s="1"/>
  <c r="H56" i="24"/>
  <c r="D56" i="24"/>
  <c r="C56" i="24"/>
  <c r="G56" i="24" s="1"/>
  <c r="G61" i="24" s="1"/>
  <c r="P37" i="24"/>
  <c r="H37" i="24"/>
  <c r="P34" i="24"/>
  <c r="H34" i="24"/>
  <c r="P33" i="24"/>
  <c r="H33" i="24"/>
  <c r="G33" i="24"/>
  <c r="P32" i="24"/>
  <c r="H32" i="24"/>
  <c r="P29" i="24"/>
  <c r="H29" i="24"/>
  <c r="P28" i="24"/>
  <c r="H28" i="24"/>
  <c r="P27" i="24"/>
  <c r="H27" i="24"/>
  <c r="P26" i="24"/>
  <c r="L26" i="24"/>
  <c r="H26" i="24"/>
  <c r="D26" i="24"/>
  <c r="P25" i="24"/>
  <c r="L25" i="24"/>
  <c r="H25" i="24"/>
  <c r="D25" i="24"/>
  <c r="P24" i="24"/>
  <c r="H24" i="24"/>
  <c r="P23" i="24"/>
  <c r="H23" i="24"/>
  <c r="P22" i="24"/>
  <c r="L22" i="24"/>
  <c r="H22" i="24"/>
  <c r="D22" i="24"/>
  <c r="P21" i="24"/>
  <c r="L21" i="24"/>
  <c r="H21" i="24"/>
  <c r="D21" i="24"/>
  <c r="P20" i="24"/>
  <c r="L20" i="24"/>
  <c r="H20" i="24"/>
  <c r="D20" i="24"/>
  <c r="P19" i="24"/>
  <c r="L19" i="24"/>
  <c r="H19" i="24"/>
  <c r="D19" i="24"/>
  <c r="P18" i="24"/>
  <c r="L18" i="24"/>
  <c r="H18" i="24"/>
  <c r="D18" i="24"/>
  <c r="P15" i="24"/>
  <c r="H15" i="24"/>
  <c r="P14" i="24"/>
  <c r="O14" i="24"/>
  <c r="K14" i="24"/>
  <c r="H14" i="24"/>
  <c r="P13" i="24"/>
  <c r="H13" i="24"/>
  <c r="P12" i="24"/>
  <c r="O12" i="24"/>
  <c r="H12" i="24"/>
  <c r="G12" i="24"/>
  <c r="P11" i="24"/>
  <c r="H11" i="24"/>
  <c r="P10" i="24"/>
  <c r="O10" i="24"/>
  <c r="H10" i="24"/>
  <c r="G10" i="24"/>
  <c r="P9" i="24"/>
  <c r="O9" i="24"/>
  <c r="L9" i="24"/>
  <c r="H9" i="24"/>
  <c r="G9" i="24"/>
  <c r="D9" i="24"/>
  <c r="C9" i="24"/>
  <c r="P8" i="24"/>
  <c r="O8" i="24"/>
  <c r="L8" i="24"/>
  <c r="H8" i="24"/>
  <c r="D8" i="24"/>
  <c r="P7" i="24"/>
  <c r="L7" i="24"/>
  <c r="H7" i="24"/>
  <c r="D7" i="24"/>
  <c r="P6" i="24"/>
  <c r="L6" i="24"/>
  <c r="K6" i="24"/>
  <c r="O6" i="24" s="1"/>
  <c r="H6" i="24"/>
  <c r="G6" i="24"/>
  <c r="G15" i="24" s="1"/>
  <c r="D6" i="24"/>
  <c r="C6" i="24"/>
  <c r="G7" i="24" s="1"/>
  <c r="O143" i="23"/>
  <c r="O140" i="23"/>
  <c r="O135" i="23"/>
  <c r="O118" i="23"/>
  <c r="O117" i="23"/>
  <c r="O133" i="23" s="1"/>
  <c r="O127" i="23"/>
  <c r="O119" i="23"/>
  <c r="G115" i="23"/>
  <c r="G113" i="23"/>
  <c r="G114" i="23" s="1"/>
  <c r="H116" i="23"/>
  <c r="H115" i="23"/>
  <c r="H114" i="23"/>
  <c r="H113" i="23"/>
  <c r="C115" i="23"/>
  <c r="P113" i="23"/>
  <c r="P111" i="23"/>
  <c r="H111" i="23"/>
  <c r="H60" i="23"/>
  <c r="P60" i="23"/>
  <c r="P65" i="23"/>
  <c r="P64" i="23"/>
  <c r="P63" i="23"/>
  <c r="P62" i="23"/>
  <c r="G33" i="23"/>
  <c r="P14" i="23"/>
  <c r="H14" i="23"/>
  <c r="P12" i="23"/>
  <c r="H12" i="23"/>
  <c r="P10" i="23"/>
  <c r="H10" i="23"/>
  <c r="H15" i="23"/>
  <c r="P15" i="23"/>
  <c r="O14" i="23"/>
  <c r="O12" i="23"/>
  <c r="P149" i="23"/>
  <c r="P146" i="23"/>
  <c r="P143" i="23"/>
  <c r="P140" i="23"/>
  <c r="P137" i="23"/>
  <c r="P136" i="23"/>
  <c r="P135" i="23"/>
  <c r="P134" i="23"/>
  <c r="H138" i="23"/>
  <c r="P133" i="23"/>
  <c r="P132" i="23"/>
  <c r="P131" i="23"/>
  <c r="H135" i="23"/>
  <c r="H134" i="23"/>
  <c r="H133" i="23"/>
  <c r="P128" i="23"/>
  <c r="H130" i="23"/>
  <c r="P127" i="23"/>
  <c r="H129" i="23"/>
  <c r="P126" i="23"/>
  <c r="H128" i="23"/>
  <c r="P125" i="23"/>
  <c r="L125" i="23"/>
  <c r="H127" i="23"/>
  <c r="D127" i="23"/>
  <c r="P124" i="23"/>
  <c r="L124" i="23"/>
  <c r="H126" i="23"/>
  <c r="D126" i="23"/>
  <c r="P123" i="23"/>
  <c r="H125" i="23"/>
  <c r="P122" i="23"/>
  <c r="H124" i="23"/>
  <c r="L121" i="23"/>
  <c r="H123" i="23"/>
  <c r="D123" i="23"/>
  <c r="L120" i="23"/>
  <c r="K120" i="23"/>
  <c r="H122" i="23"/>
  <c r="D122" i="23"/>
  <c r="P119" i="23"/>
  <c r="L119" i="23"/>
  <c r="H121" i="23"/>
  <c r="D121" i="23"/>
  <c r="P118" i="23"/>
  <c r="L118" i="23"/>
  <c r="H120" i="23"/>
  <c r="D120" i="23"/>
  <c r="P117" i="23"/>
  <c r="L117" i="23"/>
  <c r="H119" i="23"/>
  <c r="D119" i="23"/>
  <c r="P114" i="23"/>
  <c r="P112" i="23"/>
  <c r="H112" i="23"/>
  <c r="G111" i="23"/>
  <c r="P110" i="23"/>
  <c r="H110" i="23"/>
  <c r="G110" i="23"/>
  <c r="D110" i="23"/>
  <c r="P109" i="23"/>
  <c r="H109" i="23"/>
  <c r="G109" i="23"/>
  <c r="D109" i="23"/>
  <c r="P108" i="23"/>
  <c r="L108" i="23"/>
  <c r="K108" i="23"/>
  <c r="H108" i="23"/>
  <c r="D108" i="23"/>
  <c r="P107" i="23"/>
  <c r="O107" i="23"/>
  <c r="L107" i="23"/>
  <c r="H107" i="23"/>
  <c r="D107" i="23"/>
  <c r="C107" i="23"/>
  <c r="G108" i="23" s="1"/>
  <c r="P87" i="23"/>
  <c r="P84" i="23"/>
  <c r="P83" i="23"/>
  <c r="P82" i="23"/>
  <c r="P79" i="23"/>
  <c r="P78" i="23"/>
  <c r="P77" i="23"/>
  <c r="P76" i="23"/>
  <c r="L76" i="23"/>
  <c r="P75" i="23"/>
  <c r="L75" i="23"/>
  <c r="P74" i="23"/>
  <c r="P73" i="23"/>
  <c r="P72" i="23"/>
  <c r="L72" i="23"/>
  <c r="P71" i="23"/>
  <c r="L71" i="23"/>
  <c r="P70" i="23"/>
  <c r="L70" i="23"/>
  <c r="P69" i="23"/>
  <c r="L69" i="23"/>
  <c r="P68" i="23"/>
  <c r="L68" i="23"/>
  <c r="D65" i="23"/>
  <c r="D64" i="23"/>
  <c r="K64" i="23"/>
  <c r="O62" i="23"/>
  <c r="P61" i="23"/>
  <c r="L61" i="23"/>
  <c r="H61" i="23"/>
  <c r="D61" i="23"/>
  <c r="O60" i="23"/>
  <c r="L60" i="23"/>
  <c r="G60" i="23"/>
  <c r="D60" i="23"/>
  <c r="P59" i="23"/>
  <c r="O59" i="23"/>
  <c r="L59" i="23"/>
  <c r="H59" i="23"/>
  <c r="G59" i="23"/>
  <c r="D59" i="23"/>
  <c r="P58" i="23"/>
  <c r="O58" i="23"/>
  <c r="O64" i="23" s="1"/>
  <c r="O65" i="23" s="1"/>
  <c r="L58" i="23"/>
  <c r="H58" i="23"/>
  <c r="G58" i="23"/>
  <c r="C60" i="23" s="1"/>
  <c r="D58" i="23"/>
  <c r="P57" i="23"/>
  <c r="L57" i="23"/>
  <c r="H57" i="23"/>
  <c r="D57" i="23"/>
  <c r="P56" i="23"/>
  <c r="L56" i="23"/>
  <c r="K56" i="23"/>
  <c r="O56" i="23" s="1"/>
  <c r="H56" i="23"/>
  <c r="D56" i="23"/>
  <c r="C56" i="23"/>
  <c r="G56" i="23" s="1"/>
  <c r="P37" i="23"/>
  <c r="H37" i="23"/>
  <c r="P34" i="23"/>
  <c r="H34" i="23"/>
  <c r="P33" i="23"/>
  <c r="H33" i="23"/>
  <c r="P32" i="23"/>
  <c r="H32" i="23"/>
  <c r="P29" i="23"/>
  <c r="H29" i="23"/>
  <c r="P28" i="23"/>
  <c r="H28" i="23"/>
  <c r="P27" i="23"/>
  <c r="H27" i="23"/>
  <c r="P26" i="23"/>
  <c r="L26" i="23"/>
  <c r="H26" i="23"/>
  <c r="D26" i="23"/>
  <c r="P25" i="23"/>
  <c r="L25" i="23"/>
  <c r="H25" i="23"/>
  <c r="D25" i="23"/>
  <c r="P24" i="23"/>
  <c r="H24" i="23"/>
  <c r="P23" i="23"/>
  <c r="H23" i="23"/>
  <c r="P22" i="23"/>
  <c r="L22" i="23"/>
  <c r="H22" i="23"/>
  <c r="D22" i="23"/>
  <c r="P21" i="23"/>
  <c r="L21" i="23"/>
  <c r="H21" i="23"/>
  <c r="D21" i="23"/>
  <c r="P20" i="23"/>
  <c r="L20" i="23"/>
  <c r="H20" i="23"/>
  <c r="D20" i="23"/>
  <c r="P19" i="23"/>
  <c r="L19" i="23"/>
  <c r="H19" i="23"/>
  <c r="D19" i="23"/>
  <c r="P18" i="23"/>
  <c r="L18" i="23"/>
  <c r="H18" i="23"/>
  <c r="D18" i="23"/>
  <c r="P13" i="23"/>
  <c r="K14" i="23"/>
  <c r="H13" i="23"/>
  <c r="G12" i="23"/>
  <c r="P11" i="23"/>
  <c r="H11" i="23"/>
  <c r="O10" i="23"/>
  <c r="G10" i="23"/>
  <c r="P9" i="23"/>
  <c r="O9" i="23"/>
  <c r="L9" i="23"/>
  <c r="H9" i="23"/>
  <c r="G9" i="23"/>
  <c r="C9" i="23" s="1"/>
  <c r="D9" i="23"/>
  <c r="P8" i="23"/>
  <c r="O8" i="23"/>
  <c r="L8" i="23"/>
  <c r="H8" i="23"/>
  <c r="D8" i="23"/>
  <c r="P7" i="23"/>
  <c r="L7" i="23"/>
  <c r="H7" i="23"/>
  <c r="D7" i="23"/>
  <c r="P6" i="23"/>
  <c r="L6" i="23"/>
  <c r="K6" i="23"/>
  <c r="O7" i="23" s="1"/>
  <c r="H6" i="23"/>
  <c r="D6" i="23"/>
  <c r="C6" i="23"/>
  <c r="G7" i="23" s="1"/>
  <c r="G18" i="23" s="1"/>
  <c r="C26" i="24" l="1"/>
  <c r="G19" i="24"/>
  <c r="G18" i="24"/>
  <c r="G112" i="24"/>
  <c r="G114" i="24"/>
  <c r="G116" i="24"/>
  <c r="O114" i="24"/>
  <c r="G133" i="24"/>
  <c r="G135" i="24" s="1" a="1"/>
  <c r="G135" i="24" s="1"/>
  <c r="O13" i="24"/>
  <c r="O32" i="24" s="1"/>
  <c r="O34" i="24" s="1" a="1"/>
  <c r="O34" i="24" s="1"/>
  <c r="O15" i="24"/>
  <c r="O11" i="24"/>
  <c r="O140" i="24"/>
  <c r="G121" i="24"/>
  <c r="O33" i="24"/>
  <c r="O143" i="24"/>
  <c r="G134" i="24"/>
  <c r="O65" i="24"/>
  <c r="O83" i="24" s="1"/>
  <c r="O61" i="24"/>
  <c r="O63" i="24"/>
  <c r="O82" i="24" s="1"/>
  <c r="G20" i="24"/>
  <c r="K76" i="24"/>
  <c r="O108" i="24"/>
  <c r="K9" i="24"/>
  <c r="O20" i="24" s="1"/>
  <c r="K59" i="24"/>
  <c r="K61" i="24" s="1"/>
  <c r="O70" i="24" s="1"/>
  <c r="O119" i="24"/>
  <c r="O68" i="24"/>
  <c r="C59" i="24"/>
  <c r="C61" i="24" s="1"/>
  <c r="G11" i="24"/>
  <c r="O111" i="24"/>
  <c r="O112" i="24" s="1"/>
  <c r="G120" i="24"/>
  <c r="C127" i="24"/>
  <c r="G13" i="24"/>
  <c r="G32" i="24" s="1"/>
  <c r="G34" i="24" s="1" a="1"/>
  <c r="G34" i="24" s="1"/>
  <c r="O113" i="24"/>
  <c r="O7" i="24"/>
  <c r="O83" i="23"/>
  <c r="K9" i="23"/>
  <c r="K26" i="23"/>
  <c r="O6" i="23"/>
  <c r="O15" i="23" s="1"/>
  <c r="O33" i="23" s="1"/>
  <c r="G107" i="23"/>
  <c r="C26" i="23"/>
  <c r="G6" i="23"/>
  <c r="G15" i="23" s="1"/>
  <c r="K60" i="23"/>
  <c r="O57" i="23"/>
  <c r="O11" i="23"/>
  <c r="G57" i="23"/>
  <c r="C65" i="23" s="1"/>
  <c r="G61" i="23"/>
  <c r="O20" i="23"/>
  <c r="O22" i="23" s="1"/>
  <c r="C127" i="23"/>
  <c r="G119" i="23"/>
  <c r="G120" i="23"/>
  <c r="O63" i="23"/>
  <c r="O82" i="23" s="1"/>
  <c r="O61" i="23"/>
  <c r="C110" i="23"/>
  <c r="G116" i="23" s="1"/>
  <c r="G134" i="23" s="1"/>
  <c r="O68" i="23"/>
  <c r="G19" i="23"/>
  <c r="O19" i="23"/>
  <c r="C59" i="23"/>
  <c r="C61" i="23" s="1"/>
  <c r="O111" i="23"/>
  <c r="O112" i="23" s="1"/>
  <c r="K59" i="23"/>
  <c r="K61" i="23" s="1"/>
  <c r="O108" i="23"/>
  <c r="O18" i="23"/>
  <c r="O113" i="23"/>
  <c r="O114" i="23" s="1"/>
  <c r="O84" i="24" l="1" a="1"/>
  <c r="O84" i="24" s="1"/>
  <c r="O72" i="24"/>
  <c r="O71" i="24"/>
  <c r="G21" i="24"/>
  <c r="G22" i="24"/>
  <c r="G122" i="24"/>
  <c r="G123" i="24"/>
  <c r="O19" i="24"/>
  <c r="K26" i="24"/>
  <c r="O18" i="24"/>
  <c r="G127" i="24"/>
  <c r="G126" i="24"/>
  <c r="G129" i="24" s="1"/>
  <c r="O73" i="24"/>
  <c r="O77" i="24" s="1"/>
  <c r="O74" i="24"/>
  <c r="O122" i="24"/>
  <c r="O132" i="24"/>
  <c r="K125" i="24"/>
  <c r="O118" i="24"/>
  <c r="O117" i="24"/>
  <c r="G26" i="24"/>
  <c r="G25" i="24"/>
  <c r="G28" i="24" s="1"/>
  <c r="O22" i="24"/>
  <c r="O21" i="24"/>
  <c r="G23" i="24"/>
  <c r="G24" i="24"/>
  <c r="O13" i="23"/>
  <c r="O32" i="23" s="1"/>
  <c r="O21" i="23"/>
  <c r="O69" i="23"/>
  <c r="K76" i="23"/>
  <c r="O84" i="23" a="1"/>
  <c r="O84" i="23" s="1"/>
  <c r="O34" i="23" a="1"/>
  <c r="O34" i="23" s="1"/>
  <c r="O70" i="23"/>
  <c r="O71" i="23" s="1"/>
  <c r="O73" i="23" s="1"/>
  <c r="G13" i="23"/>
  <c r="G11" i="23"/>
  <c r="G20" i="23" s="1"/>
  <c r="G112" i="23"/>
  <c r="G121" i="23" s="1"/>
  <c r="O122" i="23"/>
  <c r="O124" i="23" s="1"/>
  <c r="O132" i="23"/>
  <c r="K125" i="23"/>
  <c r="O26" i="23"/>
  <c r="O25" i="23"/>
  <c r="O24" i="23"/>
  <c r="O23" i="23"/>
  <c r="O72" i="23"/>
  <c r="O125" i="24" l="1"/>
  <c r="O134" i="24"/>
  <c r="O133" i="24"/>
  <c r="O124" i="24"/>
  <c r="O26" i="24"/>
  <c r="O25" i="24"/>
  <c r="O28" i="24" s="1"/>
  <c r="O127" i="24"/>
  <c r="O136" i="24"/>
  <c r="O126" i="24"/>
  <c r="O135" i="24"/>
  <c r="O23" i="24"/>
  <c r="O27" i="24" s="1"/>
  <c r="O29" i="24" s="1" a="1"/>
  <c r="O29" i="24" s="1"/>
  <c r="O37" i="24" s="1"/>
  <c r="O24" i="24"/>
  <c r="G125" i="24"/>
  <c r="G124" i="24"/>
  <c r="G128" i="24" s="1"/>
  <c r="G130" i="24" s="1" a="1"/>
  <c r="G130" i="24" s="1"/>
  <c r="G138" i="24" s="1"/>
  <c r="O75" i="24"/>
  <c r="O78" i="24" s="1"/>
  <c r="O79" i="24" s="1" a="1"/>
  <c r="O79" i="24" s="1"/>
  <c r="O87" i="24" s="1"/>
  <c r="O76" i="24"/>
  <c r="G27" i="24"/>
  <c r="G29" i="24" s="1" a="1"/>
  <c r="G29" i="24" s="1"/>
  <c r="G37" i="24" s="1"/>
  <c r="O28" i="23"/>
  <c r="G122" i="23"/>
  <c r="G123" i="23"/>
  <c r="G21" i="23"/>
  <c r="G22" i="23"/>
  <c r="G133" i="23"/>
  <c r="G135" i="23" s="1" a="1"/>
  <c r="G135" i="23" s="1"/>
  <c r="G32" i="23"/>
  <c r="O76" i="23"/>
  <c r="O75" i="23"/>
  <c r="O78" i="23" s="1"/>
  <c r="O74" i="23"/>
  <c r="O77" i="23" s="1"/>
  <c r="O79" i="23" s="1" a="1"/>
  <c r="O79" i="23" s="1"/>
  <c r="O87" i="23" s="1"/>
  <c r="O27" i="23"/>
  <c r="O29" i="23" s="1" a="1"/>
  <c r="O29" i="23" s="1"/>
  <c r="O37" i="23" s="1"/>
  <c r="O136" i="23"/>
  <c r="O126" i="23"/>
  <c r="O134" i="23"/>
  <c r="O137" i="23" s="1"/>
  <c r="O125" i="23"/>
  <c r="O128" i="23" s="1"/>
  <c r="O146" i="23" s="1"/>
  <c r="O128" i="24" l="1"/>
  <c r="O146" i="24" s="1"/>
  <c r="O137" i="24"/>
  <c r="O149" i="24" s="1"/>
  <c r="G34" i="23" a="1"/>
  <c r="G34" i="23" s="1"/>
  <c r="G26" i="23"/>
  <c r="G25" i="23"/>
  <c r="G28" i="23" s="1"/>
  <c r="G24" i="23"/>
  <c r="G23" i="23"/>
  <c r="G27" i="23" s="1"/>
  <c r="G29" i="23" s="1" a="1"/>
  <c r="G29" i="23" s="1"/>
  <c r="G126" i="23"/>
  <c r="G127" i="23"/>
  <c r="G124" i="23"/>
  <c r="G125" i="23"/>
  <c r="G37" i="23" l="1"/>
  <c r="G129" i="23"/>
  <c r="G128" i="23"/>
  <c r="G130" i="23" s="1" a="1"/>
  <c r="G130" i="23" s="1"/>
  <c r="G138" i="23" s="1"/>
  <c r="G10" i="18"/>
  <c r="G10" i="17"/>
  <c r="O36" i="17" l="1"/>
  <c r="O31" i="17"/>
  <c r="O32" i="17"/>
  <c r="K34" i="17"/>
  <c r="G12" i="18"/>
  <c r="O63" i="18"/>
  <c r="G63" i="18"/>
  <c r="G37" i="18"/>
  <c r="O37" i="18"/>
  <c r="O12" i="18"/>
  <c r="O63" i="17"/>
  <c r="G12" i="17"/>
  <c r="G63" i="17"/>
  <c r="G37" i="17"/>
  <c r="O12" i="17"/>
  <c r="K9" i="17"/>
  <c r="P63" i="18"/>
  <c r="H63" i="18"/>
  <c r="P62" i="18"/>
  <c r="H62" i="18"/>
  <c r="P61" i="18"/>
  <c r="O61" i="18"/>
  <c r="H61" i="18"/>
  <c r="G61" i="18"/>
  <c r="P60" i="18"/>
  <c r="H60" i="18"/>
  <c r="G60" i="18"/>
  <c r="D60" i="18"/>
  <c r="P59" i="18"/>
  <c r="L59" i="18"/>
  <c r="H59" i="18"/>
  <c r="G59" i="18"/>
  <c r="D59" i="18"/>
  <c r="P58" i="18"/>
  <c r="O58" i="18"/>
  <c r="L58" i="18"/>
  <c r="H58" i="18"/>
  <c r="G58" i="18"/>
  <c r="D58" i="18"/>
  <c r="P57" i="18"/>
  <c r="O57" i="18"/>
  <c r="O62" i="18" s="1"/>
  <c r="L57" i="18"/>
  <c r="H57" i="18"/>
  <c r="G57" i="18"/>
  <c r="G62" i="18" s="1"/>
  <c r="D57" i="18"/>
  <c r="P37" i="18"/>
  <c r="H37" i="18"/>
  <c r="P36" i="18"/>
  <c r="H36" i="18"/>
  <c r="G36" i="18"/>
  <c r="P35" i="18"/>
  <c r="O35" i="18"/>
  <c r="H35" i="18"/>
  <c r="G35" i="18"/>
  <c r="P34" i="18"/>
  <c r="O34" i="18"/>
  <c r="L34" i="18"/>
  <c r="K34" i="18"/>
  <c r="H34" i="18"/>
  <c r="G34" i="18"/>
  <c r="D34" i="18"/>
  <c r="P33" i="18"/>
  <c r="O33" i="18"/>
  <c r="L33" i="18"/>
  <c r="H33" i="18"/>
  <c r="G33" i="18"/>
  <c r="D33" i="18"/>
  <c r="P32" i="18"/>
  <c r="O32" i="18"/>
  <c r="L32" i="18"/>
  <c r="H32" i="18"/>
  <c r="G32" i="18"/>
  <c r="D32" i="18"/>
  <c r="P31" i="18"/>
  <c r="L31" i="18"/>
  <c r="K31" i="18"/>
  <c r="O31" i="18" s="1"/>
  <c r="O36" i="18" s="1"/>
  <c r="H31" i="18"/>
  <c r="G31" i="18"/>
  <c r="D31" i="18"/>
  <c r="P12" i="18"/>
  <c r="H12" i="18"/>
  <c r="P11" i="18"/>
  <c r="H11" i="18"/>
  <c r="P10" i="18"/>
  <c r="O10" i="18"/>
  <c r="H10" i="18"/>
  <c r="G11" i="18"/>
  <c r="P9" i="18"/>
  <c r="O9" i="18"/>
  <c r="L9" i="18"/>
  <c r="K9" i="18"/>
  <c r="H9" i="18"/>
  <c r="G9" i="18"/>
  <c r="P8" i="18"/>
  <c r="O8" i="18"/>
  <c r="L8" i="18"/>
  <c r="H8" i="18"/>
  <c r="D8" i="18"/>
  <c r="P7" i="18"/>
  <c r="O7" i="18"/>
  <c r="L7" i="18"/>
  <c r="H7" i="18"/>
  <c r="G7" i="18"/>
  <c r="D7" i="18"/>
  <c r="P6" i="18"/>
  <c r="L6" i="18"/>
  <c r="K6" i="18"/>
  <c r="O6" i="18" s="1"/>
  <c r="O11" i="18" s="1"/>
  <c r="H6" i="18"/>
  <c r="G6" i="18"/>
  <c r="D6" i="18"/>
  <c r="P63" i="17"/>
  <c r="H63" i="17"/>
  <c r="P62" i="17"/>
  <c r="H62" i="17"/>
  <c r="O61" i="17"/>
  <c r="G61" i="17"/>
  <c r="P60" i="17"/>
  <c r="H60" i="17"/>
  <c r="G60" i="17"/>
  <c r="D60" i="17"/>
  <c r="P59" i="17"/>
  <c r="L59" i="17"/>
  <c r="H59" i="17"/>
  <c r="G59" i="17"/>
  <c r="D59" i="17"/>
  <c r="P58" i="17"/>
  <c r="O58" i="17"/>
  <c r="L58" i="17"/>
  <c r="H58" i="17"/>
  <c r="G58" i="17"/>
  <c r="D58" i="17"/>
  <c r="P57" i="17"/>
  <c r="O57" i="17"/>
  <c r="O62" i="17" s="1"/>
  <c r="L57" i="17"/>
  <c r="H57" i="17"/>
  <c r="G57" i="17"/>
  <c r="G62" i="17" s="1"/>
  <c r="D57" i="17"/>
  <c r="P37" i="17"/>
  <c r="H37" i="17"/>
  <c r="P36" i="17"/>
  <c r="H36" i="17"/>
  <c r="O35" i="17"/>
  <c r="G35" i="17"/>
  <c r="P34" i="17"/>
  <c r="O34" i="17"/>
  <c r="L34" i="17"/>
  <c r="H34" i="17"/>
  <c r="G34" i="17"/>
  <c r="D34" i="17"/>
  <c r="P33" i="17"/>
  <c r="O33" i="17"/>
  <c r="L33" i="17"/>
  <c r="H33" i="17"/>
  <c r="G33" i="17"/>
  <c r="D33" i="17"/>
  <c r="P32" i="17"/>
  <c r="O37" i="17"/>
  <c r="L32" i="17"/>
  <c r="H32" i="17"/>
  <c r="G32" i="17"/>
  <c r="D32" i="17"/>
  <c r="P31" i="17"/>
  <c r="L31" i="17"/>
  <c r="H31" i="17"/>
  <c r="G31" i="17"/>
  <c r="G36" i="17" s="1"/>
  <c r="D31" i="17"/>
  <c r="P12" i="17"/>
  <c r="H12" i="17"/>
  <c r="P11" i="17"/>
  <c r="H11" i="17"/>
  <c r="O10" i="17"/>
  <c r="P9" i="17"/>
  <c r="O9" i="17"/>
  <c r="L9" i="17"/>
  <c r="H9" i="17"/>
  <c r="G9" i="17"/>
  <c r="P8" i="17"/>
  <c r="O8" i="17"/>
  <c r="L8" i="17"/>
  <c r="H8" i="17"/>
  <c r="D8" i="17"/>
  <c r="P7" i="17"/>
  <c r="O7" i="17"/>
  <c r="L7" i="17"/>
  <c r="H7" i="17"/>
  <c r="G7" i="17"/>
  <c r="D7" i="17"/>
  <c r="P6" i="17"/>
  <c r="L6" i="17"/>
  <c r="O6" i="17"/>
  <c r="O11" i="17" s="1"/>
  <c r="H6" i="17"/>
  <c r="G6" i="17"/>
  <c r="G11" i="17" s="1"/>
  <c r="D6" i="17"/>
  <c r="O149" i="2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Caiden Bonney</author>
  </authors>
  <commentList>
    <comment ref="F12" authorId="0" shapeId="0" xr:uid="{F8E061D9-5F3D-4597-99BA-9549E0B5BB92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Table 9-2 Weld 1</t>
        </r>
      </text>
    </comment>
    <comment ref="J14" authorId="0" shapeId="0" xr:uid="{327043EE-FD27-4C59-B590-0A35C2748BC2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When in this orientation b and d are swapped from the image shown in Table 9-2 to match Table 9-1 rotated 90 degrees</t>
        </r>
      </text>
    </comment>
    <comment ref="B20" authorId="0" shapeId="0" xr:uid="{8070DB07-D38C-4464-A7EF-CF52BF8F36C6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Moment arrow points in z direction</t>
        </r>
      </text>
    </comment>
    <comment ref="F20" authorId="0" shapeId="0" xr:uid="{B24F091E-2125-471C-AE75-0E5A7EB5FCE4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Formula specific to shape of weld to find max shear</t>
        </r>
      </text>
    </comment>
    <comment ref="J20" authorId="0" shapeId="0" xr:uid="{F5709836-4219-4787-8836-90FF204C9368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Moment arrow points in z direction</t>
        </r>
      </text>
    </comment>
    <comment ref="N20" authorId="0" shapeId="0" xr:uid="{346A75A1-66BA-4F5B-ACE5-D5F8A3695DE7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Formula specific to shape of weld to find max shear</t>
        </r>
      </text>
    </comment>
    <comment ref="B21" authorId="0" shapeId="0" xr:uid="{3E005C75-2EDA-4342-B040-89895AD187A7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Moment arrow points in x direction</t>
        </r>
      </text>
    </comment>
    <comment ref="J21" authorId="0" shapeId="0" xr:uid="{FA77770D-F678-46FA-8C5D-5703A0787266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Moment arrow points in x direction</t>
        </r>
      </text>
    </comment>
    <comment ref="B22" authorId="0" shapeId="0" xr:uid="{88E9D533-ED39-4C25-8B5A-0698E11D8773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Moment arrow points in y direction</t>
        </r>
      </text>
    </comment>
    <comment ref="J22" authorId="0" shapeId="0" xr:uid="{BA2FCE92-E126-4CB2-BF6A-DE37724BBD0B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Moment arrow points in y direction</t>
        </r>
      </text>
    </comment>
    <comment ref="B26" authorId="0" shapeId="0" xr:uid="{42E73C2F-7100-49DD-8621-EFFEE6C1C13D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this does not include anything about shear from moments caused by the direction of the force</t>
        </r>
      </text>
    </comment>
    <comment ref="J26" authorId="0" shapeId="0" xr:uid="{AEFE8126-734E-45C6-B73A-0993C8260743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this does not include anything about shear from moments caused by the direction of the force</t>
        </r>
      </text>
    </comment>
    <comment ref="J64" authorId="0" shapeId="0" xr:uid="{CCC5FF03-B136-44D8-9485-166F052E5106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When in this orientation b and d are swapped from the image shown in Table 9-2 to match Table 9-1 rotated 90 degrees</t>
        </r>
      </text>
    </comment>
    <comment ref="B65" authorId="0" shapeId="0" xr:uid="{1D356222-9308-468E-ABB9-8FD6C67A758A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this does not include anything about shear from moments caused by the direction of the force</t>
        </r>
      </text>
    </comment>
    <comment ref="J70" authorId="0" shapeId="0" xr:uid="{5578E8C8-2D39-41B6-BE19-48FB0B13446D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Moment arrow points in z direction</t>
        </r>
      </text>
    </comment>
    <comment ref="N70" authorId="0" shapeId="0" xr:uid="{E2C2C184-A320-427B-B109-076190539DB1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Formula specific to shape of weld to find max shear</t>
        </r>
      </text>
    </comment>
    <comment ref="J71" authorId="0" shapeId="0" xr:uid="{CF4096D0-B36D-4835-B19E-F8AB617DF249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Moment arrow points in x direction</t>
        </r>
      </text>
    </comment>
    <comment ref="J72" authorId="0" shapeId="0" xr:uid="{09A56F7C-B518-4EFD-A551-37A8AB3EBA2C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Moment arrow points in y direction</t>
        </r>
      </text>
    </comment>
    <comment ref="J76" authorId="0" shapeId="0" xr:uid="{1A4DB5F9-2749-4E1F-9762-9679F715F62A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this does not include anything about shear from moments caused by the direction of the force</t>
        </r>
      </text>
    </comment>
    <comment ref="J108" authorId="0" shapeId="0" xr:uid="{52662EA4-99B4-4476-AFBE-DC81DE4D65B7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max distance to centroid</t>
        </r>
      </text>
    </comment>
    <comment ref="N113" authorId="0" shapeId="0" xr:uid="{FB6DEC15-3862-4834-A4CF-8D6274536DEE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Table 9-2 Weld 9</t>
        </r>
      </text>
    </comment>
    <comment ref="N114" authorId="0" shapeId="0" xr:uid="{4FF579A9-ECF9-406A-8E56-238D89B69613}">
      <text>
        <r>
          <rPr>
            <b/>
            <sz val="9"/>
            <color indexed="81"/>
            <rFont val="Tahoma"/>
          </rPr>
          <t>Caiden Bonney:</t>
        </r>
        <r>
          <rPr>
            <sz val="9"/>
            <color indexed="81"/>
            <rFont val="Tahoma"/>
          </rPr>
          <t xml:space="preserve">
both x and y are the same</t>
        </r>
      </text>
    </comment>
    <comment ref="J119" authorId="0" shapeId="0" xr:uid="{0FA7B4E1-0637-48EA-BE03-2702004E180B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Moment arrow points in z direction</t>
        </r>
      </text>
    </comment>
    <comment ref="N119" authorId="0" shapeId="0" xr:uid="{DA8BDCCF-A78C-47AA-807C-8EED165D7413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Formula specific to shape of weld to find max shear</t>
        </r>
      </text>
    </comment>
    <comment ref="J120" authorId="0" shapeId="0" xr:uid="{7A0F683E-DD3C-45F8-8E4B-F3B6318E50CB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Moment arrow points in x direction</t>
        </r>
      </text>
    </comment>
    <comment ref="B121" authorId="0" shapeId="0" xr:uid="{2F704A3C-B1BC-4329-9F62-F797AB9636F3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Moment arrow points in z direction</t>
        </r>
      </text>
    </comment>
    <comment ref="F121" authorId="0" shapeId="0" xr:uid="{E21E07DE-DCB8-46E4-93FB-05CC25E0770E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Formula specific to shape of weld to find max shear</t>
        </r>
      </text>
    </comment>
    <comment ref="J121" authorId="0" shapeId="0" xr:uid="{8267C6C7-2930-4BDC-BF9A-D98DBCA40F73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Moment arrow points in y direction</t>
        </r>
      </text>
    </comment>
    <comment ref="B122" authorId="0" shapeId="0" xr:uid="{A1A0C14E-9E39-4B81-965B-870286EE99E0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Moment arrow points in x direction</t>
        </r>
      </text>
    </comment>
    <comment ref="B123" authorId="0" shapeId="0" xr:uid="{542A9FD7-9DCE-441D-A350-548502581E85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Moment arrow points in y direction</t>
        </r>
      </text>
    </comment>
    <comment ref="J125" authorId="0" shapeId="0" xr:uid="{6A35E7CC-7059-47A8-B72C-D44C2F4EA3DF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this does not include anything about shear from moments caused by the direction of the force</t>
        </r>
      </text>
    </comment>
    <comment ref="B127" authorId="0" shapeId="0" xr:uid="{68F51506-0E5D-4D59-8B9F-AFCA51C20802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this does not include anything about shear from moments caused by the direction of the force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Caiden Bonney</author>
  </authors>
  <commentList>
    <comment ref="F12" authorId="0" shapeId="0" xr:uid="{E7B33593-BCC6-4C3B-85EE-13B05DF751E7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Table 9-2 Weld 1</t>
        </r>
      </text>
    </comment>
    <comment ref="J14" authorId="0" shapeId="0" xr:uid="{11BFE8EC-1398-4E1F-942F-4C453300F13E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When in this orientation b and d are swapped from the image shown in Table 9-2 to match Table 9-1 rotated 90 degrees</t>
        </r>
      </text>
    </comment>
    <comment ref="B20" authorId="0" shapeId="0" xr:uid="{5C79727F-C9D8-49E6-AF34-EDC675A89AC2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Moment arrow points in z direction</t>
        </r>
      </text>
    </comment>
    <comment ref="F20" authorId="0" shapeId="0" xr:uid="{D04AB1E6-59BA-4C04-8D39-951FF9D745EA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Formula specific to shape of weld to find max shear</t>
        </r>
      </text>
    </comment>
    <comment ref="J20" authorId="0" shapeId="0" xr:uid="{15E7ABF1-63D8-4E2B-8F8B-2A6BE2194BE2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Moment arrow points in z direction</t>
        </r>
      </text>
    </comment>
    <comment ref="N20" authorId="0" shapeId="0" xr:uid="{8E6E3CC4-F740-40B1-BD7F-65EF68522B95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Formula specific to shape of weld to find max shear</t>
        </r>
      </text>
    </comment>
    <comment ref="B21" authorId="0" shapeId="0" xr:uid="{98848147-D0CD-4304-8199-555A6291117D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Moment arrow points in x direction</t>
        </r>
      </text>
    </comment>
    <comment ref="J21" authorId="0" shapeId="0" xr:uid="{4DF11FC3-3391-4B46-96E3-785C0F560F6E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Moment arrow points in x direction</t>
        </r>
      </text>
    </comment>
    <comment ref="B22" authorId="0" shapeId="0" xr:uid="{690AE31E-10F3-49B2-B5B1-D30D039390B9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Moment arrow points in y direction</t>
        </r>
      </text>
    </comment>
    <comment ref="J22" authorId="0" shapeId="0" xr:uid="{45EF4A90-F15A-4EDE-ABD7-FA27D6DE4ED7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Moment arrow points in y direction</t>
        </r>
      </text>
    </comment>
    <comment ref="B26" authorId="0" shapeId="0" xr:uid="{AF38D047-6901-4549-AB8D-29B59F3BC2FD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this does not include anything about shear from moments caused by the direction of the force</t>
        </r>
      </text>
    </comment>
    <comment ref="J26" authorId="0" shapeId="0" xr:uid="{14623439-C3F2-4A59-A00D-D6EE9AFBBD68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this does not include anything about shear from moments caused by the direction of the force</t>
        </r>
      </text>
    </comment>
    <comment ref="J64" authorId="0" shapeId="0" xr:uid="{A73A8341-9A4D-4EB0-BEBB-1DDF92F0B813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When in this orientation b and d are swapped from the image shown in Table 9-2 to match Table 9-1 rotated 90 degrees</t>
        </r>
      </text>
    </comment>
    <comment ref="B65" authorId="0" shapeId="0" xr:uid="{041231AD-D96B-4C51-BC87-BC772EBCFA7C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this does not include anything about shear from moments caused by the direction of the force</t>
        </r>
      </text>
    </comment>
    <comment ref="J70" authorId="0" shapeId="0" xr:uid="{42FB1DC0-67FE-4985-9794-E572EA6C7E8B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Moment arrow points in z direction</t>
        </r>
      </text>
    </comment>
    <comment ref="N70" authorId="0" shapeId="0" xr:uid="{ADF3F6D9-7A71-4690-8ED3-39939BEEF998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Formula specific to shape of weld to find max shear</t>
        </r>
      </text>
    </comment>
    <comment ref="J71" authorId="0" shapeId="0" xr:uid="{E9F4FFCF-C3AC-4840-B3D3-2FCADBB94F16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Moment arrow points in x direction</t>
        </r>
      </text>
    </comment>
    <comment ref="J72" authorId="0" shapeId="0" xr:uid="{13E52958-49FC-423D-9146-BBB82A25EECC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Moment arrow points in y direction</t>
        </r>
      </text>
    </comment>
    <comment ref="J76" authorId="0" shapeId="0" xr:uid="{40795161-E0DC-4F45-B908-4D9700EB02A1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this does not include anything about shear from moments caused by the direction of the force</t>
        </r>
      </text>
    </comment>
    <comment ref="J108" authorId="0" shapeId="0" xr:uid="{605A1051-DEE6-45CC-915C-D43C87ED45F4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max distance to centroid</t>
        </r>
      </text>
    </comment>
    <comment ref="N113" authorId="0" shapeId="0" xr:uid="{19B86481-F774-46EA-AD90-73C618B79A44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Table 9-2 Weld 9</t>
        </r>
      </text>
    </comment>
    <comment ref="N114" authorId="0" shapeId="0" xr:uid="{F321B241-513A-48CB-801E-EE616607E5A5}">
      <text>
        <r>
          <rPr>
            <b/>
            <sz val="9"/>
            <color indexed="81"/>
            <rFont val="Tahoma"/>
          </rPr>
          <t>Caiden Bonney:</t>
        </r>
        <r>
          <rPr>
            <sz val="9"/>
            <color indexed="81"/>
            <rFont val="Tahoma"/>
          </rPr>
          <t xml:space="preserve">
both x and y are the same</t>
        </r>
      </text>
    </comment>
    <comment ref="J119" authorId="0" shapeId="0" xr:uid="{DE5B00E6-1690-43CA-80A7-F2C07C141444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Moment arrow points in z direction</t>
        </r>
      </text>
    </comment>
    <comment ref="N119" authorId="0" shapeId="0" xr:uid="{ECF87705-839C-49D8-8D98-3A38B98B93DF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Formula specific to shape of weld to find max shear</t>
        </r>
      </text>
    </comment>
    <comment ref="J120" authorId="0" shapeId="0" xr:uid="{80730E02-9501-4E7B-A819-05836DFDDDFA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Moment arrow points in x direction</t>
        </r>
      </text>
    </comment>
    <comment ref="B121" authorId="0" shapeId="0" xr:uid="{C0396BE6-2611-4761-995C-E61475490F66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Moment arrow points in z direction</t>
        </r>
      </text>
    </comment>
    <comment ref="F121" authorId="0" shapeId="0" xr:uid="{0B3EE977-FB70-4C04-A5C1-80844417A731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Formula specific to shape of weld to find max shear</t>
        </r>
      </text>
    </comment>
    <comment ref="J121" authorId="0" shapeId="0" xr:uid="{39F6BC6E-D074-453D-869A-A0A4ACC86FB5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Moment arrow points in y direction</t>
        </r>
      </text>
    </comment>
    <comment ref="B122" authorId="0" shapeId="0" xr:uid="{8F075862-9496-4FD5-8A99-DD41353282F3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Moment arrow points in x direction</t>
        </r>
      </text>
    </comment>
    <comment ref="B123" authorId="0" shapeId="0" xr:uid="{B861E155-5096-4C48-988C-8CADBDCAC318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Moment arrow points in y direction</t>
        </r>
      </text>
    </comment>
    <comment ref="J125" authorId="0" shapeId="0" xr:uid="{15EFB606-7DB8-4868-AD33-9D005865C102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this does not include anything about shear from moments caused by the direction of the force</t>
        </r>
      </text>
    </comment>
    <comment ref="B127" authorId="0" shapeId="0" xr:uid="{F2DA222C-4989-4970-8BF7-36EE4949DEF9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this does not include anything about shear from moments caused by the direction of the force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Caiden Bonney</author>
  </authors>
  <commentList>
    <comment ref="F12" authorId="0" shapeId="0" xr:uid="{DDF18BB1-E0B9-4C2B-B877-CBE05DB7A96D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this does not include anything about shear from moments caused by the direction of the force</t>
        </r>
      </text>
    </comment>
    <comment ref="N12" authorId="0" shapeId="0" xr:uid="{2AD9F469-2C3F-4C69-9BCE-95CDAD82AFF7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this does not include anything about shear from moments caused by the direction of the force</t>
        </r>
      </text>
    </comment>
    <comment ref="F37" authorId="0" shapeId="0" xr:uid="{6A447323-59CA-4A2A-8AEC-8723128C674B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this does not include anything about shear from moments caused by the direction of the force</t>
        </r>
      </text>
    </comment>
    <comment ref="N37" authorId="0" shapeId="0" xr:uid="{4C41DCDC-9671-4E3F-9F4E-3E3E4CE44F4C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this does not include anything about shear from moments caused by the direction of the force</t>
        </r>
      </text>
    </comment>
    <comment ref="F63" authorId="0" shapeId="0" xr:uid="{374523A6-438A-4B38-BC8D-A5D975AB3369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this does not include anything about shear from moments caused by the direction of the force</t>
        </r>
      </text>
    </comment>
    <comment ref="N63" authorId="0" shapeId="0" xr:uid="{09A93E10-E10A-41F5-8B0B-13B5E64F04F0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this does not include anything about shear from moments caused by the direction of the force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Caiden Bonney</author>
  </authors>
  <commentList>
    <comment ref="F12" authorId="0" shapeId="0" xr:uid="{EE397E94-1087-4D44-B137-DEC7C0ECFDD1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this does not include anything about shear from moments caused by the direction of the force</t>
        </r>
      </text>
    </comment>
    <comment ref="N12" authorId="0" shapeId="0" xr:uid="{03212919-6CB3-4D76-9AB8-89C99AC8092B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this does not include anything about shear from moments caused by the direction of the force</t>
        </r>
      </text>
    </comment>
    <comment ref="F37" authorId="0" shapeId="0" xr:uid="{4F599EEA-D0F7-473C-A0C9-8D31856A7921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this does not include anything about shear from moments caused by the direction of the force</t>
        </r>
      </text>
    </comment>
    <comment ref="N37" authorId="0" shapeId="0" xr:uid="{DE7795DB-7608-4749-B764-5F0474CFA64C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this does not include anything about shear from moments caused by the direction of the force</t>
        </r>
      </text>
    </comment>
    <comment ref="F63" authorId="0" shapeId="0" xr:uid="{B300B767-0133-4ACF-B4F1-2DC52A882DF7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this does not include anything about shear from moments caused by the direction of the force</t>
        </r>
      </text>
    </comment>
    <comment ref="N63" authorId="0" shapeId="0" xr:uid="{45951505-DD83-44F1-8F69-F065D7783FD9}">
      <text>
        <r>
          <rPr>
            <b/>
            <sz val="9"/>
            <color indexed="81"/>
            <rFont val="Tahoma"/>
            <family val="2"/>
          </rPr>
          <t>Caiden Bonney:</t>
        </r>
        <r>
          <rPr>
            <sz val="9"/>
            <color indexed="81"/>
            <rFont val="Tahoma"/>
            <family val="2"/>
          </rPr>
          <t xml:space="preserve">
this does not include anything about shear from moments caused by the direction of the force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<sst xmlns="http://schemas.openxmlformats.org/spreadsheetml/2006/main" count="816" uniqueCount="107">
  <si>
    <t>INPUTS</t>
  </si>
  <si>
    <t>Units:</t>
  </si>
  <si>
    <t>Metric</t>
  </si>
  <si>
    <t>OUTPUTS</t>
  </si>
  <si>
    <t>English</t>
  </si>
  <si>
    <t>b</t>
  </si>
  <si>
    <t>d</t>
  </si>
  <si>
    <t>h</t>
  </si>
  <si>
    <r>
      <t>τ</t>
    </r>
    <r>
      <rPr>
        <vertAlign val="subscript"/>
        <sz val="11"/>
        <color theme="1"/>
        <rFont val="Aptos Narrow"/>
        <family val="2"/>
        <scheme val="minor"/>
      </rPr>
      <t>allow</t>
    </r>
  </si>
  <si>
    <t>Weld Type:</t>
  </si>
  <si>
    <t>Weld Dimensions</t>
  </si>
  <si>
    <t>Throat Area, A</t>
  </si>
  <si>
    <t>Location of G, x̄</t>
  </si>
  <si>
    <t>Location of G, ȳ</t>
  </si>
  <si>
    <r>
      <t>Unit Second Polar Moment of Area, J</t>
    </r>
    <r>
      <rPr>
        <vertAlign val="subscript"/>
        <sz val="11"/>
        <color theme="1"/>
        <rFont val="Aptos Narrow"/>
        <family val="2"/>
        <scheme val="minor"/>
      </rPr>
      <t>u</t>
    </r>
  </si>
  <si>
    <t>t</t>
  </si>
  <si>
    <t>Second Polar Moment of Area, J</t>
  </si>
  <si>
    <t>r</t>
  </si>
  <si>
    <t>Maximum Load in direct shear, F</t>
  </si>
  <si>
    <t>-</t>
  </si>
  <si>
    <t>Thickness of Weld Leg, h</t>
  </si>
  <si>
    <r>
      <t>Unit Second Moment of Area, I</t>
    </r>
    <r>
      <rPr>
        <vertAlign val="subscript"/>
        <sz val="11"/>
        <color theme="1"/>
        <rFont val="Aptos Narrow"/>
        <family val="2"/>
        <scheme val="minor"/>
      </rPr>
      <t>u</t>
    </r>
  </si>
  <si>
    <t>Second Moment of Area, I</t>
  </si>
  <si>
    <t>Table 9-2 Weld 2</t>
  </si>
  <si>
    <t>Table 9-2 Weld 3</t>
  </si>
  <si>
    <t>Table 9-2 Weld 4</t>
  </si>
  <si>
    <t>Table 9-2 Weld 5</t>
  </si>
  <si>
    <r>
      <t>No I</t>
    </r>
    <r>
      <rPr>
        <vertAlign val="subscript"/>
        <sz val="11"/>
        <color theme="1"/>
        <rFont val="Aptos Narrow"/>
        <family val="2"/>
        <scheme val="minor"/>
      </rPr>
      <t>u</t>
    </r>
    <r>
      <rPr>
        <sz val="11"/>
        <color theme="1"/>
        <rFont val="Aptos Narrow"/>
        <family val="2"/>
        <scheme val="minor"/>
      </rPr>
      <t xml:space="preserve"> calculation given</t>
    </r>
  </si>
  <si>
    <t>Table 9-1 Weld Type:</t>
  </si>
  <si>
    <t>Table 9-2 Weld 7 &amp; 8 not calculated in this spreadsheet</t>
  </si>
  <si>
    <t>Bending Shear, τ''</t>
  </si>
  <si>
    <r>
      <t>Torsional Shear, τ'</t>
    </r>
    <r>
      <rPr>
        <vertAlign val="subscript"/>
        <sz val="11"/>
        <color theme="1"/>
        <rFont val="Aptos Narrow"/>
        <family val="2"/>
        <scheme val="minor"/>
      </rPr>
      <t>torsional</t>
    </r>
  </si>
  <si>
    <r>
      <t>Torsional Shear, τ'</t>
    </r>
    <r>
      <rPr>
        <vertAlign val="subscript"/>
        <sz val="11"/>
        <color theme="1"/>
        <rFont val="Aptos Narrow"/>
        <family val="2"/>
        <scheme val="minor"/>
      </rPr>
      <t>torsional</t>
    </r>
    <r>
      <rPr>
        <sz val="11"/>
        <color theme="1"/>
        <rFont val="Aptos Narrow"/>
        <family val="2"/>
        <scheme val="minor"/>
      </rPr>
      <t>x</t>
    </r>
  </si>
  <si>
    <r>
      <t>Torsional Shear, τ'</t>
    </r>
    <r>
      <rPr>
        <vertAlign val="subscript"/>
        <sz val="11"/>
        <color theme="1"/>
        <rFont val="Aptos Narrow"/>
        <family val="2"/>
        <scheme val="minor"/>
      </rPr>
      <t>torsional</t>
    </r>
    <r>
      <rPr>
        <sz val="11"/>
        <color theme="1"/>
        <rFont val="Aptos Narrow"/>
        <family val="2"/>
        <scheme val="minor"/>
      </rPr>
      <t>y</t>
    </r>
  </si>
  <si>
    <t>Direct Shear Force, Fx</t>
  </si>
  <si>
    <t>Direct Shear Force, Fy</t>
  </si>
  <si>
    <r>
      <t>Direct Shear, τ'</t>
    </r>
    <r>
      <rPr>
        <vertAlign val="subscript"/>
        <sz val="11"/>
        <color theme="1"/>
        <rFont val="Aptos Narrow"/>
        <family val="2"/>
        <scheme val="minor"/>
      </rPr>
      <t>direct</t>
    </r>
    <r>
      <rPr>
        <sz val="11"/>
        <color theme="1"/>
        <rFont val="Aptos Narrow"/>
        <family val="2"/>
        <scheme val="minor"/>
      </rPr>
      <t>x</t>
    </r>
  </si>
  <si>
    <r>
      <t>Direct Shear, τ'</t>
    </r>
    <r>
      <rPr>
        <vertAlign val="subscript"/>
        <sz val="11"/>
        <color theme="1"/>
        <rFont val="Aptos Narrow"/>
        <family val="2"/>
        <scheme val="minor"/>
      </rPr>
      <t>direct</t>
    </r>
    <r>
      <rPr>
        <sz val="11"/>
        <color theme="1"/>
        <rFont val="Aptos Narrow"/>
        <family val="2"/>
        <scheme val="minor"/>
      </rPr>
      <t>y</t>
    </r>
  </si>
  <si>
    <t>Weld Information</t>
  </si>
  <si>
    <t>Shear caused from Torque and Direct Shear Force</t>
  </si>
  <si>
    <r>
      <t>Net Shear, τ</t>
    </r>
    <r>
      <rPr>
        <vertAlign val="subscript"/>
        <sz val="11"/>
        <color theme="1"/>
        <rFont val="Aptos Narrow"/>
        <family val="2"/>
        <scheme val="minor"/>
      </rPr>
      <t>net</t>
    </r>
  </si>
  <si>
    <r>
      <t>Bending Moment, M</t>
    </r>
    <r>
      <rPr>
        <vertAlign val="subscript"/>
        <sz val="11"/>
        <color theme="1"/>
        <rFont val="Aptos Narrow"/>
        <family val="2"/>
        <scheme val="minor"/>
      </rPr>
      <t>bending</t>
    </r>
    <r>
      <rPr>
        <sz val="11"/>
        <color theme="1"/>
        <rFont val="Aptos Narrow"/>
        <family val="2"/>
        <scheme val="minor"/>
      </rPr>
      <t>x</t>
    </r>
  </si>
  <si>
    <t>Torque, Tz</t>
  </si>
  <si>
    <r>
      <t>Bending Moment, M</t>
    </r>
    <r>
      <rPr>
        <vertAlign val="subscript"/>
        <sz val="11"/>
        <color theme="1"/>
        <rFont val="Aptos Narrow"/>
        <family val="2"/>
        <scheme val="minor"/>
      </rPr>
      <t>bending</t>
    </r>
    <r>
      <rPr>
        <sz val="11"/>
        <color theme="1"/>
        <rFont val="Aptos Narrow"/>
        <family val="2"/>
        <scheme val="minor"/>
      </rPr>
      <t>y</t>
    </r>
  </si>
  <si>
    <t>Forces on Weld Centroid</t>
  </si>
  <si>
    <t>Bending Shear, τ''x</t>
  </si>
  <si>
    <t>Bending Shear, τ''y</t>
  </si>
  <si>
    <t>Shear, τ'</t>
  </si>
  <si>
    <t>Bending Shear caused by bending</t>
  </si>
  <si>
    <t>Net Shear</t>
  </si>
  <si>
    <r>
      <t>Direct Shear Force, F, based on allowable shear stress, τ</t>
    </r>
    <r>
      <rPr>
        <b/>
        <vertAlign val="subscript"/>
        <sz val="11"/>
        <color theme="1"/>
        <rFont val="Aptos Narrow"/>
        <family val="2"/>
        <scheme val="minor"/>
      </rPr>
      <t>allow</t>
    </r>
  </si>
  <si>
    <t>Shear, τ'x+</t>
  </si>
  <si>
    <t>Shear, τ'x-</t>
  </si>
  <si>
    <t>Shear, τ'y+</t>
  </si>
  <si>
    <t>Shear, τ'y-</t>
  </si>
  <si>
    <r>
      <t>Max Shear, τ'x</t>
    </r>
    <r>
      <rPr>
        <vertAlign val="subscript"/>
        <sz val="11"/>
        <color theme="1"/>
        <rFont val="Aptos Narrow"/>
        <family val="2"/>
        <scheme val="minor"/>
      </rPr>
      <t>max</t>
    </r>
  </si>
  <si>
    <r>
      <t>Max Shear, τ'y</t>
    </r>
    <r>
      <rPr>
        <vertAlign val="subscript"/>
        <sz val="11"/>
        <color theme="1"/>
        <rFont val="Aptos Narrow"/>
        <family val="2"/>
        <scheme val="minor"/>
      </rPr>
      <t>max</t>
    </r>
  </si>
  <si>
    <r>
      <t>max distance to centroid, r</t>
    </r>
    <r>
      <rPr>
        <vertAlign val="subscript"/>
        <sz val="11"/>
        <color theme="1"/>
        <rFont val="Aptos Narrow"/>
        <family val="2"/>
        <scheme val="minor"/>
      </rPr>
      <t>dis</t>
    </r>
  </si>
  <si>
    <r>
      <t>max distance to centroid, r</t>
    </r>
    <r>
      <rPr>
        <vertAlign val="subscript"/>
        <sz val="11"/>
        <color theme="1"/>
        <rFont val="Aptos Narrow"/>
        <family val="2"/>
        <scheme val="minor"/>
      </rPr>
      <t>dis</t>
    </r>
    <r>
      <rPr>
        <sz val="11"/>
        <color theme="1"/>
        <rFont val="Aptos Narrow"/>
        <family val="2"/>
        <scheme val="minor"/>
      </rPr>
      <t>max</t>
    </r>
  </si>
  <si>
    <r>
      <t>max distance to centroid, r</t>
    </r>
    <r>
      <rPr>
        <vertAlign val="subscript"/>
        <sz val="11"/>
        <color theme="1"/>
        <rFont val="Aptos Narrow"/>
        <family val="2"/>
        <scheme val="minor"/>
      </rPr>
      <t>dis</t>
    </r>
    <r>
      <rPr>
        <sz val="11"/>
        <color theme="1"/>
        <rFont val="Aptos Narrow"/>
        <family val="2"/>
        <scheme val="minor"/>
      </rPr>
      <t>x</t>
    </r>
  </si>
  <si>
    <r>
      <t>max distance to centroid, r</t>
    </r>
    <r>
      <rPr>
        <vertAlign val="subscript"/>
        <sz val="11"/>
        <color theme="1"/>
        <rFont val="Aptos Narrow"/>
        <family val="2"/>
        <scheme val="minor"/>
      </rPr>
      <t>dis</t>
    </r>
    <r>
      <rPr>
        <sz val="11"/>
        <color theme="1"/>
        <rFont val="Aptos Narrow"/>
        <family val="2"/>
        <scheme val="minor"/>
      </rPr>
      <t>y</t>
    </r>
  </si>
  <si>
    <r>
      <t>Throat Area, A</t>
    </r>
    <r>
      <rPr>
        <vertAlign val="subscript"/>
        <sz val="11"/>
        <color theme="1"/>
        <rFont val="Aptos Narrow"/>
        <family val="2"/>
        <scheme val="minor"/>
      </rPr>
      <t>t</t>
    </r>
  </si>
  <si>
    <t>Radius, r</t>
  </si>
  <si>
    <t>Bending Shear caused by bending top point</t>
  </si>
  <si>
    <r>
      <t>Torsional Shear, τ'</t>
    </r>
    <r>
      <rPr>
        <vertAlign val="subscript"/>
        <sz val="11"/>
        <color theme="1"/>
        <rFont val="Aptos Narrow"/>
        <family val="2"/>
        <scheme val="minor"/>
      </rPr>
      <t>torsional</t>
    </r>
    <r>
      <rPr>
        <sz val="11"/>
        <color theme="1"/>
        <rFont val="Aptos Narrow"/>
        <family val="2"/>
        <scheme val="minor"/>
      </rPr>
      <t>x top point</t>
    </r>
  </si>
  <si>
    <r>
      <t>Torsional Shear, τ'</t>
    </r>
    <r>
      <rPr>
        <vertAlign val="subscript"/>
        <sz val="11"/>
        <color theme="1"/>
        <rFont val="Aptos Narrow"/>
        <family val="2"/>
        <scheme val="minor"/>
      </rPr>
      <t>torsional</t>
    </r>
    <r>
      <rPr>
        <sz val="11"/>
        <color theme="1"/>
        <rFont val="Aptos Narrow"/>
        <family val="2"/>
        <scheme val="minor"/>
      </rPr>
      <t>y top point</t>
    </r>
  </si>
  <si>
    <t>Shear, τ'x+ top point</t>
  </si>
  <si>
    <t>Shear, τ'y+ top point</t>
  </si>
  <si>
    <t>Bending Shear, τ''x top point</t>
  </si>
  <si>
    <t>should also technically check diagonal point for when the bendings</t>
  </si>
  <si>
    <t>occur in both the x and y directions meaning that the stresses</t>
  </si>
  <si>
    <t>combine at this diagonal point however their moment arms</t>
  </si>
  <si>
    <t>decrease as a result of the point being closer to the centroid in the</t>
  </si>
  <si>
    <t>x or y direction</t>
  </si>
  <si>
    <t>Second Moment of Area, Ix</t>
  </si>
  <si>
    <t>Second Moment of Area, Iy</t>
  </si>
  <si>
    <r>
      <t>Unit Second Moment of Area, I</t>
    </r>
    <r>
      <rPr>
        <vertAlign val="subscript"/>
        <sz val="11"/>
        <color theme="1"/>
        <rFont val="Aptos Narrow"/>
        <family val="2"/>
        <scheme val="minor"/>
      </rPr>
      <t>u</t>
    </r>
    <r>
      <rPr>
        <sz val="11"/>
        <color theme="1"/>
        <rFont val="Aptos Narrow"/>
        <family val="2"/>
        <scheme val="minor"/>
      </rPr>
      <t>x</t>
    </r>
  </si>
  <si>
    <r>
      <t>Unit Second Moment of Area, I</t>
    </r>
    <r>
      <rPr>
        <vertAlign val="subscript"/>
        <sz val="11"/>
        <color theme="1"/>
        <rFont val="Aptos Narrow"/>
        <family val="2"/>
        <scheme val="minor"/>
      </rPr>
      <t>u</t>
    </r>
    <r>
      <rPr>
        <sz val="11"/>
        <color theme="1"/>
        <rFont val="Aptos Narrow"/>
        <family val="2"/>
        <scheme val="minor"/>
      </rPr>
      <t>y</t>
    </r>
  </si>
  <si>
    <t>Table 9-2 Weld 6</t>
  </si>
  <si>
    <t>Table 9-2 Weld 6 rotated 90 degrees</t>
  </si>
  <si>
    <t>Shear, τ'x- bottom point</t>
  </si>
  <si>
    <t>Shear, τ'y- bottom point</t>
  </si>
  <si>
    <t>Shear caused from Torque and Direct Shear Force top/bottom point</t>
  </si>
  <si>
    <t>Shear, τ'x+ right side point</t>
  </si>
  <si>
    <t>Shear, τ'x- left side point</t>
  </si>
  <si>
    <t>Shear, τ'y+ right side point</t>
  </si>
  <si>
    <t>Shear, τ'y- left side point</t>
  </si>
  <si>
    <r>
      <t>Torsional Shear, τ'</t>
    </r>
    <r>
      <rPr>
        <vertAlign val="subscript"/>
        <sz val="11"/>
        <color theme="1"/>
        <rFont val="Aptos Narrow"/>
        <family val="2"/>
        <scheme val="minor"/>
      </rPr>
      <t>torsional</t>
    </r>
    <r>
      <rPr>
        <sz val="11"/>
        <color theme="1"/>
        <rFont val="Aptos Narrow"/>
        <family val="2"/>
        <scheme val="minor"/>
      </rPr>
      <t>x right side point</t>
    </r>
  </si>
  <si>
    <r>
      <t>Torsional Shear, τ'</t>
    </r>
    <r>
      <rPr>
        <vertAlign val="subscript"/>
        <sz val="11"/>
        <color theme="1"/>
        <rFont val="Aptos Narrow"/>
        <family val="2"/>
        <scheme val="minor"/>
      </rPr>
      <t>torsional</t>
    </r>
    <r>
      <rPr>
        <sz val="11"/>
        <color theme="1"/>
        <rFont val="Aptos Narrow"/>
        <family val="2"/>
        <scheme val="minor"/>
      </rPr>
      <t>y right side point</t>
    </r>
  </si>
  <si>
    <t>Bending Shear caused by bending right side point</t>
  </si>
  <si>
    <t>Bending Shear, τ''y right side point</t>
  </si>
  <si>
    <r>
      <t>Net Shear, τ</t>
    </r>
    <r>
      <rPr>
        <vertAlign val="subscript"/>
        <sz val="11"/>
        <color theme="1"/>
        <rFont val="Aptos Narrow"/>
        <family val="2"/>
        <scheme val="minor"/>
      </rPr>
      <t>net</t>
    </r>
    <r>
      <rPr>
        <sz val="11"/>
        <color theme="1"/>
        <rFont val="Aptos Narrow"/>
        <family val="2"/>
        <scheme val="minor"/>
      </rPr>
      <t xml:space="preserve"> top/bottom point</t>
    </r>
  </si>
  <si>
    <t>Net Shear top/bottom point</t>
  </si>
  <si>
    <t>Shear caused from Torque and Direct Shear Force right/left side point</t>
  </si>
  <si>
    <t>Shear, τ' right/left side point</t>
  </si>
  <si>
    <t>Net Shear right/left side point</t>
  </si>
  <si>
    <r>
      <t>Net Shear, τ</t>
    </r>
    <r>
      <rPr>
        <vertAlign val="subscript"/>
        <sz val="11"/>
        <color theme="1"/>
        <rFont val="Aptos Narrow"/>
        <family val="2"/>
        <scheme val="minor"/>
      </rPr>
      <t>net</t>
    </r>
    <r>
      <rPr>
        <sz val="11"/>
        <color theme="1"/>
        <rFont val="Aptos Narrow"/>
        <family val="2"/>
        <scheme val="minor"/>
      </rPr>
      <t xml:space="preserve"> right/left side point</t>
    </r>
  </si>
  <si>
    <t>&lt;-- max so manually need to see</t>
  </si>
  <si>
    <t>Max Shear, τ' top/bottom point</t>
  </si>
  <si>
    <t>whether the top or bottom point</t>
  </si>
  <si>
    <t>was taken</t>
  </si>
  <si>
    <t>whether the right or left side</t>
  </si>
  <si>
    <t>point was taken</t>
  </si>
  <si>
    <t>&lt;-- flipped sign for bottom</t>
  </si>
  <si>
    <t>however next step squares so it</t>
  </si>
  <si>
    <t>doesn't change final result</t>
  </si>
  <si>
    <t>&lt;-- flipped sign for left side point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</si>
</sst>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0.0E+00"/>
    <numFmt numFmtId="165" formatCode="0.0000"/>
    <numFmt numFmtId="166" formatCode="#,##0.0000"/>
    <numFmt numFmtId="172" formatCode="#,##0.0"/>
  </numFmts>
  <fonts count="9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vertAlign val="subscript"/>
      <sz val="11"/>
      <color theme="1"/>
      <name val="Aptos Narrow"/>
      <family val="2"/>
      <scheme val="minor"/>
    </font>
    <font>
      <sz val="9"/>
      <color indexed="81"/>
      <name val="Tahoma"/>
    </font>
    <font>
      <b/>
      <sz val="9"/>
      <color indexed="81"/>
      <name val="Tahoma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8">
    <xf numFmtId="0" fontId="0" fillId="0" borderId="0" xfId="0"/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 applyAlignment="1">
      <alignment horizontal="left" vertical="center"/>
    </xf>
    <xf numFmtId="0" fontId="0" fillId="2" borderId="0" xfId="0" applyFill="1" applyAlignment="1">
      <alignment vertical="center"/>
    </xf>
    <xf numFmtId="0" fontId="1" fillId="4" borderId="0" xfId="0" applyFont="1" applyFill="1" applyAlignment="1">
      <alignment vertical="center"/>
    </xf>
    <xf numFmtId="0" fontId="0" fillId="4" borderId="0" xfId="0" applyFill="1" applyAlignment="1">
      <alignment vertical="center"/>
    </xf>
    <xf numFmtId="0" fontId="1" fillId="5" borderId="1" xfId="0" applyFont="1" applyFill="1" applyBorder="1" applyAlignment="1">
      <alignment vertical="center"/>
    </xf>
    <xf numFmtId="0" fontId="0" fillId="5" borderId="1" xfId="0" applyFill="1" applyBorder="1" applyAlignment="1">
      <alignment vertical="center"/>
    </xf>
    <xf numFmtId="0" fontId="1" fillId="6" borderId="1" xfId="0" applyFont="1" applyFill="1" applyBorder="1" applyAlignment="1">
      <alignment vertical="center"/>
    </xf>
    <xf numFmtId="0" fontId="0" fillId="6" borderId="1" xfId="0" applyFill="1" applyBorder="1" applyAlignment="1">
      <alignment vertical="center"/>
    </xf>
    <xf numFmtId="0" fontId="0" fillId="7" borderId="0" xfId="0" applyFill="1" applyAlignment="1">
      <alignment vertical="center"/>
    </xf>
    <xf numFmtId="164" fontId="0" fillId="4" borderId="0" xfId="0" applyNumberFormat="1" applyFill="1" applyAlignment="1">
      <alignment vertical="center"/>
    </xf>
    <xf numFmtId="165" fontId="0" fillId="4" borderId="0" xfId="0" applyNumberFormat="1" applyFill="1" applyAlignment="1">
      <alignment vertical="center"/>
    </xf>
    <xf numFmtId="0" fontId="0" fillId="8" borderId="0" xfId="0" applyFill="1" applyAlignment="1">
      <alignment vertical="center"/>
    </xf>
    <xf numFmtId="3" fontId="0" fillId="2" borderId="0" xfId="1" applyNumberFormat="1" applyFont="1" applyFill="1" applyAlignment="1">
      <alignment vertical="center"/>
    </xf>
    <xf numFmtId="3" fontId="0" fillId="4" borderId="0" xfId="1" applyNumberFormat="1" applyFont="1" applyFill="1" applyAlignment="1">
      <alignment vertical="center"/>
    </xf>
    <xf numFmtId="0" fontId="0" fillId="2" borderId="0" xfId="0" applyFill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4" borderId="0" xfId="1" applyNumberFormat="1" applyFont="1" applyFill="1" applyAlignment="1">
      <alignment vertical="center"/>
    </xf>
    <xf numFmtId="0" fontId="0" fillId="9" borderId="0" xfId="0" applyFill="1" applyAlignment="1">
      <alignment vertical="center"/>
    </xf>
    <xf numFmtId="0" fontId="0" fillId="4" borderId="0" xfId="0" applyFill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2" borderId="2" xfId="0" applyFill="1" applyBorder="1" applyAlignment="1">
      <alignment vertical="center"/>
    </xf>
    <xf numFmtId="0" fontId="0" fillId="10" borderId="1" xfId="0" applyFill="1" applyBorder="1"/>
    <xf numFmtId="0" fontId="1" fillId="10" borderId="1" xfId="0" applyFont="1" applyFill="1" applyBorder="1" applyAlignment="1">
      <alignment horizontal="right"/>
    </xf>
    <xf numFmtId="0" fontId="1" fillId="10" borderId="1" xfId="0" applyFont="1" applyFill="1" applyBorder="1" applyAlignment="1">
      <alignment horizontal="left"/>
    </xf>
    <xf numFmtId="166" fontId="0" fillId="4" borderId="0" xfId="1" applyNumberFormat="1" applyFont="1" applyFill="1" applyAlignment="1">
      <alignment vertical="center"/>
    </xf>
    <xf numFmtId="0" fontId="0" fillId="7" borderId="0" xfId="0" applyFill="1"/>
    <xf numFmtId="0" fontId="0" fillId="4" borderId="0" xfId="0" quotePrefix="1" applyFill="1" applyAlignment="1">
      <alignment horizontal="center" vertical="center"/>
    </xf>
    <xf numFmtId="0" fontId="0" fillId="11" borderId="0" xfId="0" applyFill="1"/>
    <xf numFmtId="0" fontId="0" fillId="8" borderId="0" xfId="0" applyFill="1"/>
    <xf numFmtId="0" fontId="0" fillId="9" borderId="0" xfId="0" applyFill="1"/>
    <xf numFmtId="0" fontId="0" fillId="9" borderId="0" xfId="0" applyFill="1" applyAlignment="1">
      <alignment horizontal="center" vertical="center"/>
    </xf>
    <xf numFmtId="3" fontId="0" fillId="2" borderId="0" xfId="0" applyNumberFormat="1" applyFill="1" applyAlignment="1">
      <alignment vertical="center"/>
    </xf>
    <xf numFmtId="0" fontId="0" fillId="3" borderId="0" xfId="0" applyFill="1"/>
    <xf numFmtId="0" fontId="0" fillId="3" borderId="0" xfId="0" applyFill="1" applyAlignment="1">
      <alignment vertical="center"/>
    </xf>
    <xf numFmtId="166" fontId="0" fillId="4" borderId="0" xfId="0" applyNumberFormat="1" applyFill="1"/>
    <xf numFmtId="172" fontId="0" fillId="4" borderId="0" xfId="1" applyNumberFormat="1" applyFont="1" applyFill="1" applyAlignment="1">
      <alignment vertical="center"/>
    </xf>
    <xf numFmtId="0" fontId="0" fillId="12" borderId="0" xfId="0" applyFill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Medium9"/>
  <colors>
    <mruColors>
      <color rgb="FFFFCC66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22/11/relationships/FeaturePropertyBag" Target="featurePropertyBag/featurePropertyBag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7</xdr:col>
      <xdr:colOff>170306</xdr:colOff>
      <xdr:row>91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EBCE45-E511-400C-8570-2F3ACB1DC2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91296"/>
        <a:stretch/>
      </xdr:blipFill>
      <xdr:spPr>
        <a:xfrm>
          <a:off x="609600" y="16002000"/>
          <a:ext cx="7975203" cy="7429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7</xdr:col>
      <xdr:colOff>170306</xdr:colOff>
      <xdr:row>100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4C57994-470A-4C06-A020-4A0A87C331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35486" b="45321"/>
        <a:stretch/>
      </xdr:blipFill>
      <xdr:spPr>
        <a:xfrm>
          <a:off x="609600" y="16764000"/>
          <a:ext cx="7975203" cy="16383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7</xdr:col>
      <xdr:colOff>170306</xdr:colOff>
      <xdr:row>46</xdr:row>
      <xdr:rowOff>133350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898D71A-3000-4493-8B91-E5FBF36C3B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80584"/>
        <a:stretch/>
      </xdr:blipFill>
      <xdr:spPr>
        <a:xfrm>
          <a:off x="609600" y="6858000"/>
          <a:ext cx="7975203" cy="1657350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38</xdr:row>
      <xdr:rowOff>0</xdr:rowOff>
    </xdr:from>
    <xdr:to>
      <xdr:col>15</xdr:col>
      <xdr:colOff>640953</xdr:colOff>
      <xdr:row>41</xdr:row>
      <xdr:rowOff>171450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3A1DEE4-D9DD-4719-B4EF-5A42A026F2C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91296"/>
        <a:stretch/>
      </xdr:blipFill>
      <xdr:spPr>
        <a:xfrm>
          <a:off x="8774206" y="6858000"/>
          <a:ext cx="7958394" cy="742950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42</xdr:row>
      <xdr:rowOff>0</xdr:rowOff>
    </xdr:from>
    <xdr:to>
      <xdr:col>15</xdr:col>
      <xdr:colOff>640953</xdr:colOff>
      <xdr:row>49</xdr:row>
      <xdr:rowOff>57150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AEF0802-2577-420B-A9E4-7BAEE26CBD2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9193" b="64515"/>
        <a:stretch/>
      </xdr:blipFill>
      <xdr:spPr>
        <a:xfrm>
          <a:off x="8801100" y="7620000"/>
          <a:ext cx="7975203" cy="1390650"/>
        </a:xfrm>
        <a:prstGeom prst="rect">
          <a:avLst/>
        </a:prstGeom>
      </xdr:spPr>
    </xdr:pic>
    <xdr:clientData/>
  </xdr:twoCellAnchor>
  <xdr:oneCellAnchor>
    <xdr:from>
      <xdr:col>9</xdr:col>
      <xdr:colOff>0</xdr:colOff>
      <xdr:row>88</xdr:row>
      <xdr:rowOff>0</xdr:rowOff>
    </xdr:from>
    <xdr:ext cx="7975203" cy="742950"/>
    <xdr:pic>
      <xdr:nvPicPr>
        <xdr:cNvPr id="7" name="Picture 6">
          <a:extLst>
            <a:ext uri="{FF2B5EF4-FFF2-40B4-BE49-F238E27FC236}">
              <a16:creationId xmlns:a16="http://schemas.microsoft.com/office/drawing/2014/main" id="{A183A628-6BE8-4E5A-BAD5-E8B49BA0C30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91296"/>
        <a:stretch/>
      </xdr:blipFill>
      <xdr:spPr>
        <a:xfrm>
          <a:off x="8801100" y="16002000"/>
          <a:ext cx="7975203" cy="742950"/>
        </a:xfrm>
        <a:prstGeom prst="rect">
          <a:avLst/>
        </a:prstGeom>
      </xdr:spPr>
    </xdr:pic>
    <xdr:clientData/>
  </xdr:oneCellAnchor>
  <xdr:twoCellAnchor editAs="oneCell">
    <xdr:from>
      <xdr:col>9</xdr:col>
      <xdr:colOff>0</xdr:colOff>
      <xdr:row>92</xdr:row>
      <xdr:rowOff>1</xdr:rowOff>
    </xdr:from>
    <xdr:to>
      <xdr:col>15</xdr:col>
      <xdr:colOff>170306</xdr:colOff>
      <xdr:row>99</xdr:row>
      <xdr:rowOff>76201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B8CE93F-8971-4C2F-935F-7BBEE219C7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4343" b="29142"/>
        <a:stretch/>
      </xdr:blipFill>
      <xdr:spPr>
        <a:xfrm>
          <a:off x="8801100" y="16764001"/>
          <a:ext cx="7975203" cy="1409700"/>
        </a:xfrm>
        <a:prstGeom prst="rect">
          <a:avLst/>
        </a:prstGeom>
      </xdr:spPr>
    </xdr:pic>
    <xdr:clientData/>
  </xdr:twoCellAnchor>
  <xdr:twoCellAnchor editAs="oneCell">
    <xdr:from>
      <xdr:col>16</xdr:col>
      <xdr:colOff>593912</xdr:colOff>
      <xdr:row>5</xdr:row>
      <xdr:rowOff>134471</xdr:rowOff>
    </xdr:from>
    <xdr:to>
      <xdr:col>30</xdr:col>
      <xdr:colOff>39198</xdr:colOff>
      <xdr:row>50</xdr:row>
      <xdr:rowOff>97807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227EC0A-5B9B-47AD-9612-D10D833EA2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405537" y="1086971"/>
          <a:ext cx="7979686" cy="8535836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151</xdr:row>
      <xdr:rowOff>0</xdr:rowOff>
    </xdr:from>
    <xdr:ext cx="7975203" cy="742950"/>
    <xdr:pic>
      <xdr:nvPicPr>
        <xdr:cNvPr id="10" name="Picture 9">
          <a:extLst>
            <a:ext uri="{FF2B5EF4-FFF2-40B4-BE49-F238E27FC236}">
              <a16:creationId xmlns:a16="http://schemas.microsoft.com/office/drawing/2014/main" id="{7B20D890-17E2-4213-A532-B2A3472FE8E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91296"/>
        <a:stretch/>
      </xdr:blipFill>
      <xdr:spPr>
        <a:xfrm>
          <a:off x="609600" y="28575000"/>
          <a:ext cx="7975203" cy="742950"/>
        </a:xfrm>
        <a:prstGeom prst="rect">
          <a:avLst/>
        </a:prstGeom>
      </xdr:spPr>
    </xdr:pic>
    <xdr:clientData/>
  </xdr:oneCellAnchor>
  <xdr:twoCellAnchor editAs="oneCell">
    <xdr:from>
      <xdr:col>1</xdr:col>
      <xdr:colOff>0</xdr:colOff>
      <xdr:row>155</xdr:row>
      <xdr:rowOff>1</xdr:rowOff>
    </xdr:from>
    <xdr:to>
      <xdr:col>7</xdr:col>
      <xdr:colOff>170306</xdr:colOff>
      <xdr:row>162</xdr:row>
      <xdr:rowOff>57151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A85A696-A445-4555-9C08-D506544ED3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70747" b="12961"/>
        <a:stretch/>
      </xdr:blipFill>
      <xdr:spPr>
        <a:xfrm>
          <a:off x="609600" y="29337001"/>
          <a:ext cx="7975203" cy="1390650"/>
        </a:xfrm>
        <a:prstGeom prst="rect">
          <a:avLst/>
        </a:prstGeom>
      </xdr:spPr>
    </xdr:pic>
    <xdr:clientData/>
  </xdr:twoCellAnchor>
  <xdr:oneCellAnchor>
    <xdr:from>
      <xdr:col>9</xdr:col>
      <xdr:colOff>0</xdr:colOff>
      <xdr:row>151</xdr:row>
      <xdr:rowOff>0</xdr:rowOff>
    </xdr:from>
    <xdr:ext cx="7975203" cy="742950"/>
    <xdr:pic>
      <xdr:nvPicPr>
        <xdr:cNvPr id="12" name="Picture 11">
          <a:extLst>
            <a:ext uri="{FF2B5EF4-FFF2-40B4-BE49-F238E27FC236}">
              <a16:creationId xmlns:a16="http://schemas.microsoft.com/office/drawing/2014/main" id="{BC5AE7D8-01BA-4D74-82C5-58FE86AEF2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91296"/>
        <a:stretch/>
      </xdr:blipFill>
      <xdr:spPr>
        <a:xfrm>
          <a:off x="8801100" y="28575000"/>
          <a:ext cx="7975203" cy="742950"/>
        </a:xfrm>
        <a:prstGeom prst="rect">
          <a:avLst/>
        </a:prstGeom>
      </xdr:spPr>
    </xdr:pic>
    <xdr:clientData/>
  </xdr:oneCellAnchor>
  <xdr:twoCellAnchor editAs="oneCell">
    <xdr:from>
      <xdr:col>9</xdr:col>
      <xdr:colOff>0</xdr:colOff>
      <xdr:row>155</xdr:row>
      <xdr:rowOff>0</xdr:rowOff>
    </xdr:from>
    <xdr:to>
      <xdr:col>15</xdr:col>
      <xdr:colOff>170306</xdr:colOff>
      <xdr:row>160</xdr:row>
      <xdr:rowOff>182410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3EB787B2-C0A4-4A7F-B505-2D30E6653F2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86704"/>
        <a:stretch/>
      </xdr:blipFill>
      <xdr:spPr>
        <a:xfrm>
          <a:off x="8801100" y="29337000"/>
          <a:ext cx="7975203" cy="1134910"/>
        </a:xfrm>
        <a:prstGeom prst="rect">
          <a:avLst/>
        </a:prstGeom>
      </xdr:spPr>
    </xdr:pic>
    <xdr:clientData/>
  </xdr:twoCellAnchor>
  <xdr:twoCellAnchor editAs="oneCell">
    <xdr:from>
      <xdr:col>30</xdr:col>
      <xdr:colOff>593912</xdr:colOff>
      <xdr:row>5</xdr:row>
      <xdr:rowOff>134471</xdr:rowOff>
    </xdr:from>
    <xdr:to>
      <xdr:col>44</xdr:col>
      <xdr:colOff>2890</xdr:colOff>
      <xdr:row>54</xdr:row>
      <xdr:rowOff>8813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D812741B-FD4A-4477-8D96-1AC10DF2674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21225" y="1086971"/>
          <a:ext cx="7938896" cy="92088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593912</xdr:colOff>
      <xdr:row>54</xdr:row>
      <xdr:rowOff>134471</xdr:rowOff>
    </xdr:from>
    <xdr:to>
      <xdr:col>44</xdr:col>
      <xdr:colOff>50563</xdr:colOff>
      <xdr:row>72</xdr:row>
      <xdr:rowOff>34638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D9332F0-13D4-4E76-8841-69DB884BB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421225" y="10421471"/>
          <a:ext cx="7986569" cy="33291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268940</xdr:colOff>
      <xdr:row>1</xdr:row>
      <xdr:rowOff>100854</xdr:rowOff>
    </xdr:from>
    <xdr:to>
      <xdr:col>43</xdr:col>
      <xdr:colOff>312018</xdr:colOff>
      <xdr:row>4</xdr:row>
      <xdr:rowOff>101875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B988BE0E-92F2-465E-8814-BB96090E452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6801"/>
        <a:stretch/>
      </xdr:blipFill>
      <xdr:spPr bwMode="auto">
        <a:xfrm>
          <a:off x="17421225" y="291354"/>
          <a:ext cx="10406278" cy="5725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88</xdr:row>
      <xdr:rowOff>0</xdr:rowOff>
    </xdr:from>
    <xdr:to>
      <xdr:col>7</xdr:col>
      <xdr:colOff>170306</xdr:colOff>
      <xdr:row>91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05AF91-7687-4B1D-91AA-B5E4730166E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91296"/>
        <a:stretch/>
      </xdr:blipFill>
      <xdr:spPr>
        <a:xfrm>
          <a:off x="609600" y="16764000"/>
          <a:ext cx="7971281" cy="7429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92</xdr:row>
      <xdr:rowOff>0</xdr:rowOff>
    </xdr:from>
    <xdr:to>
      <xdr:col>7</xdr:col>
      <xdr:colOff>170306</xdr:colOff>
      <xdr:row>100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9692009-4C4A-4763-AA75-DAF36347FF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35486" b="45321"/>
        <a:stretch/>
      </xdr:blipFill>
      <xdr:spPr>
        <a:xfrm>
          <a:off x="609600" y="17526000"/>
          <a:ext cx="7971281" cy="16383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</xdr:row>
      <xdr:rowOff>0</xdr:rowOff>
    </xdr:from>
    <xdr:to>
      <xdr:col>7</xdr:col>
      <xdr:colOff>170306</xdr:colOff>
      <xdr:row>46</xdr:row>
      <xdr:rowOff>133350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7E3EC70-49F2-4772-8FF9-1C76B290DC6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80584"/>
        <a:stretch/>
      </xdr:blipFill>
      <xdr:spPr>
        <a:xfrm>
          <a:off x="609600" y="7239000"/>
          <a:ext cx="7971281" cy="1657350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38</xdr:row>
      <xdr:rowOff>0</xdr:rowOff>
    </xdr:from>
    <xdr:to>
      <xdr:col>15</xdr:col>
      <xdr:colOff>640953</xdr:colOff>
      <xdr:row>41</xdr:row>
      <xdr:rowOff>171450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436C509-EDC3-4D1E-B47A-1BAE96D863D7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91296"/>
        <a:stretch/>
      </xdr:blipFill>
      <xdr:spPr>
        <a:xfrm>
          <a:off x="9267825" y="7239000"/>
          <a:ext cx="8441928" cy="742950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42</xdr:row>
      <xdr:rowOff>0</xdr:rowOff>
    </xdr:from>
    <xdr:to>
      <xdr:col>15</xdr:col>
      <xdr:colOff>640953</xdr:colOff>
      <xdr:row>49</xdr:row>
      <xdr:rowOff>57150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3360AB2-AB21-44F6-B97C-170A8913AD4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9193" b="64515"/>
        <a:stretch/>
      </xdr:blipFill>
      <xdr:spPr>
        <a:xfrm>
          <a:off x="9267825" y="8001000"/>
          <a:ext cx="8441928" cy="1390650"/>
        </a:xfrm>
        <a:prstGeom prst="rect">
          <a:avLst/>
        </a:prstGeom>
      </xdr:spPr>
    </xdr:pic>
    <xdr:clientData/>
  </xdr:twoCellAnchor>
  <xdr:oneCellAnchor>
    <xdr:from>
      <xdr:col>9</xdr:col>
      <xdr:colOff>0</xdr:colOff>
      <xdr:row>88</xdr:row>
      <xdr:rowOff>0</xdr:rowOff>
    </xdr:from>
    <xdr:ext cx="7975203" cy="742950"/>
    <xdr:pic>
      <xdr:nvPicPr>
        <xdr:cNvPr id="7" name="Picture 6">
          <a:extLst>
            <a:ext uri="{FF2B5EF4-FFF2-40B4-BE49-F238E27FC236}">
              <a16:creationId xmlns:a16="http://schemas.microsoft.com/office/drawing/2014/main" id="{85C37D5A-C758-409E-9804-DBDDE42AF4A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91296"/>
        <a:stretch/>
      </xdr:blipFill>
      <xdr:spPr>
        <a:xfrm>
          <a:off x="9267825" y="16764000"/>
          <a:ext cx="7975203" cy="742950"/>
        </a:xfrm>
        <a:prstGeom prst="rect">
          <a:avLst/>
        </a:prstGeom>
      </xdr:spPr>
    </xdr:pic>
    <xdr:clientData/>
  </xdr:oneCellAnchor>
  <xdr:twoCellAnchor editAs="oneCell">
    <xdr:from>
      <xdr:col>9</xdr:col>
      <xdr:colOff>0</xdr:colOff>
      <xdr:row>92</xdr:row>
      <xdr:rowOff>1</xdr:rowOff>
    </xdr:from>
    <xdr:to>
      <xdr:col>15</xdr:col>
      <xdr:colOff>170306</xdr:colOff>
      <xdr:row>99</xdr:row>
      <xdr:rowOff>76201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CCACD5DD-3F6D-4588-8360-FD9D9268ADB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4343" b="29142"/>
        <a:stretch/>
      </xdr:blipFill>
      <xdr:spPr>
        <a:xfrm>
          <a:off x="9267825" y="17526001"/>
          <a:ext cx="7971281" cy="1409700"/>
        </a:xfrm>
        <a:prstGeom prst="rect">
          <a:avLst/>
        </a:prstGeom>
      </xdr:spPr>
    </xdr:pic>
    <xdr:clientData/>
  </xdr:twoCellAnchor>
  <xdr:twoCellAnchor editAs="oneCell">
    <xdr:from>
      <xdr:col>16</xdr:col>
      <xdr:colOff>593912</xdr:colOff>
      <xdr:row>5</xdr:row>
      <xdr:rowOff>134471</xdr:rowOff>
    </xdr:from>
    <xdr:to>
      <xdr:col>30</xdr:col>
      <xdr:colOff>39198</xdr:colOff>
      <xdr:row>50</xdr:row>
      <xdr:rowOff>97807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2275C07-C7BD-4A82-BA0E-685AA9B90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338987" y="1086971"/>
          <a:ext cx="7979686" cy="8535836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151</xdr:row>
      <xdr:rowOff>0</xdr:rowOff>
    </xdr:from>
    <xdr:ext cx="7975203" cy="742950"/>
    <xdr:pic>
      <xdr:nvPicPr>
        <xdr:cNvPr id="10" name="Picture 9">
          <a:extLst>
            <a:ext uri="{FF2B5EF4-FFF2-40B4-BE49-F238E27FC236}">
              <a16:creationId xmlns:a16="http://schemas.microsoft.com/office/drawing/2014/main" id="{3B524EFE-48C0-4253-8334-B5C4036E9A2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91296"/>
        <a:stretch/>
      </xdr:blipFill>
      <xdr:spPr>
        <a:xfrm>
          <a:off x="609600" y="28841700"/>
          <a:ext cx="7975203" cy="742950"/>
        </a:xfrm>
        <a:prstGeom prst="rect">
          <a:avLst/>
        </a:prstGeom>
      </xdr:spPr>
    </xdr:pic>
    <xdr:clientData/>
  </xdr:oneCellAnchor>
  <xdr:twoCellAnchor editAs="oneCell">
    <xdr:from>
      <xdr:col>1</xdr:col>
      <xdr:colOff>0</xdr:colOff>
      <xdr:row>155</xdr:row>
      <xdr:rowOff>1</xdr:rowOff>
    </xdr:from>
    <xdr:to>
      <xdr:col>7</xdr:col>
      <xdr:colOff>170306</xdr:colOff>
      <xdr:row>162</xdr:row>
      <xdr:rowOff>57151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84E9F27-2544-4B8D-8F33-598A00BAC03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70747" b="12961"/>
        <a:stretch/>
      </xdr:blipFill>
      <xdr:spPr>
        <a:xfrm>
          <a:off x="609600" y="29603701"/>
          <a:ext cx="7971281" cy="1390650"/>
        </a:xfrm>
        <a:prstGeom prst="rect">
          <a:avLst/>
        </a:prstGeom>
      </xdr:spPr>
    </xdr:pic>
    <xdr:clientData/>
  </xdr:twoCellAnchor>
  <xdr:oneCellAnchor>
    <xdr:from>
      <xdr:col>9</xdr:col>
      <xdr:colOff>0</xdr:colOff>
      <xdr:row>151</xdr:row>
      <xdr:rowOff>0</xdr:rowOff>
    </xdr:from>
    <xdr:ext cx="7975203" cy="742950"/>
    <xdr:pic>
      <xdr:nvPicPr>
        <xdr:cNvPr id="12" name="Picture 11">
          <a:extLst>
            <a:ext uri="{FF2B5EF4-FFF2-40B4-BE49-F238E27FC236}">
              <a16:creationId xmlns:a16="http://schemas.microsoft.com/office/drawing/2014/main" id="{54207977-1647-44D0-8EB8-F7FCB4225D8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91296"/>
        <a:stretch/>
      </xdr:blipFill>
      <xdr:spPr>
        <a:xfrm>
          <a:off x="9267825" y="28841700"/>
          <a:ext cx="7975203" cy="742950"/>
        </a:xfrm>
        <a:prstGeom prst="rect">
          <a:avLst/>
        </a:prstGeom>
      </xdr:spPr>
    </xdr:pic>
    <xdr:clientData/>
  </xdr:oneCellAnchor>
  <xdr:twoCellAnchor editAs="oneCell">
    <xdr:from>
      <xdr:col>9</xdr:col>
      <xdr:colOff>0</xdr:colOff>
      <xdr:row>155</xdr:row>
      <xdr:rowOff>0</xdr:rowOff>
    </xdr:from>
    <xdr:to>
      <xdr:col>15</xdr:col>
      <xdr:colOff>170306</xdr:colOff>
      <xdr:row>160</xdr:row>
      <xdr:rowOff>182410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3AC059A-D827-4975-8857-F2FEF054865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86704"/>
        <a:stretch/>
      </xdr:blipFill>
      <xdr:spPr>
        <a:xfrm>
          <a:off x="9267825" y="29603700"/>
          <a:ext cx="7971281" cy="1134910"/>
        </a:xfrm>
        <a:prstGeom prst="rect">
          <a:avLst/>
        </a:prstGeom>
      </xdr:spPr>
    </xdr:pic>
    <xdr:clientData/>
  </xdr:twoCellAnchor>
  <xdr:twoCellAnchor editAs="oneCell">
    <xdr:from>
      <xdr:col>30</xdr:col>
      <xdr:colOff>593912</xdr:colOff>
      <xdr:row>5</xdr:row>
      <xdr:rowOff>134471</xdr:rowOff>
    </xdr:from>
    <xdr:to>
      <xdr:col>44</xdr:col>
      <xdr:colOff>2890</xdr:colOff>
      <xdr:row>54</xdr:row>
      <xdr:rowOff>8813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17FA8700-1FE2-4F94-8DA5-DE5DE74460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3387" y="1086971"/>
          <a:ext cx="7943378" cy="920884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30</xdr:col>
      <xdr:colOff>593912</xdr:colOff>
      <xdr:row>54</xdr:row>
      <xdr:rowOff>134471</xdr:rowOff>
    </xdr:from>
    <xdr:to>
      <xdr:col>44</xdr:col>
      <xdr:colOff>50563</xdr:colOff>
      <xdr:row>72</xdr:row>
      <xdr:rowOff>34638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FB30580C-5B3E-4B27-859D-06B15158265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873387" y="10421471"/>
          <a:ext cx="7991051" cy="332916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26</xdr:col>
      <xdr:colOff>268940</xdr:colOff>
      <xdr:row>1</xdr:row>
      <xdr:rowOff>100854</xdr:rowOff>
    </xdr:from>
    <xdr:to>
      <xdr:col>43</xdr:col>
      <xdr:colOff>312018</xdr:colOff>
      <xdr:row>4</xdr:row>
      <xdr:rowOff>101875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8502933-9375-4F99-AFE1-0BC5283C72E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6801"/>
        <a:stretch/>
      </xdr:blipFill>
      <xdr:spPr bwMode="auto">
        <a:xfrm>
          <a:off x="24110015" y="291354"/>
          <a:ext cx="10406278" cy="5725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38</xdr:row>
      <xdr:rowOff>0</xdr:rowOff>
    </xdr:from>
    <xdr:to>
      <xdr:col>7</xdr:col>
      <xdr:colOff>640953</xdr:colOff>
      <xdr:row>41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9D0173-43B5-4BE1-B5AA-5BE505AB90D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91296"/>
        <a:stretch/>
      </xdr:blipFill>
      <xdr:spPr>
        <a:xfrm>
          <a:off x="609600" y="7239000"/>
          <a:ext cx="7975203" cy="7429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7</xdr:col>
      <xdr:colOff>640953</xdr:colOff>
      <xdr:row>50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5DA6C04-6E62-47D1-B79E-61649DBB387B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35486" b="45321"/>
        <a:stretch/>
      </xdr:blipFill>
      <xdr:spPr>
        <a:xfrm>
          <a:off x="609600" y="8001000"/>
          <a:ext cx="7975203" cy="16383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7</xdr:col>
      <xdr:colOff>640953</xdr:colOff>
      <xdr:row>21</xdr:row>
      <xdr:rowOff>133350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B9781D8-3931-49CD-B6A6-45C2C69C726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80584"/>
        <a:stretch/>
      </xdr:blipFill>
      <xdr:spPr>
        <a:xfrm>
          <a:off x="609600" y="2476500"/>
          <a:ext cx="7975203" cy="1657350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13</xdr:row>
      <xdr:rowOff>0</xdr:rowOff>
    </xdr:from>
    <xdr:to>
      <xdr:col>15</xdr:col>
      <xdr:colOff>640953</xdr:colOff>
      <xdr:row>16</xdr:row>
      <xdr:rowOff>171450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92DA825D-32AB-46C9-BB54-0A91F32CDCB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91296"/>
        <a:stretch/>
      </xdr:blipFill>
      <xdr:spPr>
        <a:xfrm>
          <a:off x="8801100" y="2476500"/>
          <a:ext cx="7975203" cy="742950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17</xdr:row>
      <xdr:rowOff>0</xdr:rowOff>
    </xdr:from>
    <xdr:to>
      <xdr:col>15</xdr:col>
      <xdr:colOff>640953</xdr:colOff>
      <xdr:row>24</xdr:row>
      <xdr:rowOff>57150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B33A1988-3F30-4F14-B2EC-CDA8CDF83DD2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9193" b="64515"/>
        <a:stretch/>
      </xdr:blipFill>
      <xdr:spPr>
        <a:xfrm>
          <a:off x="8801100" y="3238500"/>
          <a:ext cx="7975203" cy="1390650"/>
        </a:xfrm>
        <a:prstGeom prst="rect">
          <a:avLst/>
        </a:prstGeom>
      </xdr:spPr>
    </xdr:pic>
    <xdr:clientData/>
  </xdr:twoCellAnchor>
  <xdr:oneCellAnchor>
    <xdr:from>
      <xdr:col>9</xdr:col>
      <xdr:colOff>0</xdr:colOff>
      <xdr:row>38</xdr:row>
      <xdr:rowOff>0</xdr:rowOff>
    </xdr:from>
    <xdr:ext cx="7975203" cy="742950"/>
    <xdr:pic>
      <xdr:nvPicPr>
        <xdr:cNvPr id="7" name="Picture 6">
          <a:extLst>
            <a:ext uri="{FF2B5EF4-FFF2-40B4-BE49-F238E27FC236}">
              <a16:creationId xmlns:a16="http://schemas.microsoft.com/office/drawing/2014/main" id="{56B3113C-D4DA-4D3B-9F48-225C896FE0F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91296"/>
        <a:stretch/>
      </xdr:blipFill>
      <xdr:spPr>
        <a:xfrm>
          <a:off x="8801100" y="7239000"/>
          <a:ext cx="7975203" cy="742950"/>
        </a:xfrm>
        <a:prstGeom prst="rect">
          <a:avLst/>
        </a:prstGeom>
      </xdr:spPr>
    </xdr:pic>
    <xdr:clientData/>
  </xdr:oneCellAnchor>
  <xdr:twoCellAnchor editAs="oneCell">
    <xdr:from>
      <xdr:col>9</xdr:col>
      <xdr:colOff>0</xdr:colOff>
      <xdr:row>42</xdr:row>
      <xdr:rowOff>1</xdr:rowOff>
    </xdr:from>
    <xdr:to>
      <xdr:col>15</xdr:col>
      <xdr:colOff>640953</xdr:colOff>
      <xdr:row>49</xdr:row>
      <xdr:rowOff>76201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96401D5-35C0-4417-9ED4-8B16F7507FA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4343" b="29142"/>
        <a:stretch/>
      </xdr:blipFill>
      <xdr:spPr>
        <a:xfrm>
          <a:off x="8801100" y="8001001"/>
          <a:ext cx="7975203" cy="140970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</xdr:row>
      <xdr:rowOff>0</xdr:rowOff>
    </xdr:from>
    <xdr:to>
      <xdr:col>30</xdr:col>
      <xdr:colOff>50404</xdr:colOff>
      <xdr:row>45</xdr:row>
      <xdr:rowOff>153836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5DB750BF-B85E-4C95-B7C5-2784C0D424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421225" y="190500"/>
          <a:ext cx="7975204" cy="8535836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64</xdr:row>
      <xdr:rowOff>0</xdr:rowOff>
    </xdr:from>
    <xdr:ext cx="7975203" cy="742950"/>
    <xdr:pic>
      <xdr:nvPicPr>
        <xdr:cNvPr id="10" name="Picture 9">
          <a:extLst>
            <a:ext uri="{FF2B5EF4-FFF2-40B4-BE49-F238E27FC236}">
              <a16:creationId xmlns:a16="http://schemas.microsoft.com/office/drawing/2014/main" id="{4AFEA881-9175-4999-A42A-2165F8DE66E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91296"/>
        <a:stretch/>
      </xdr:blipFill>
      <xdr:spPr>
        <a:xfrm>
          <a:off x="609600" y="12192000"/>
          <a:ext cx="7975203" cy="742950"/>
        </a:xfrm>
        <a:prstGeom prst="rect">
          <a:avLst/>
        </a:prstGeom>
      </xdr:spPr>
    </xdr:pic>
    <xdr:clientData/>
  </xdr:oneCellAnchor>
  <xdr:twoCellAnchor editAs="oneCell">
    <xdr:from>
      <xdr:col>1</xdr:col>
      <xdr:colOff>0</xdr:colOff>
      <xdr:row>68</xdr:row>
      <xdr:rowOff>1</xdr:rowOff>
    </xdr:from>
    <xdr:to>
      <xdr:col>7</xdr:col>
      <xdr:colOff>640953</xdr:colOff>
      <xdr:row>75</xdr:row>
      <xdr:rowOff>57151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A701C83B-A4E9-48B3-95F6-6A9046DEC0C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70747" b="12961"/>
        <a:stretch/>
      </xdr:blipFill>
      <xdr:spPr>
        <a:xfrm>
          <a:off x="609600" y="12954001"/>
          <a:ext cx="7975203" cy="1390650"/>
        </a:xfrm>
        <a:prstGeom prst="rect">
          <a:avLst/>
        </a:prstGeom>
      </xdr:spPr>
    </xdr:pic>
    <xdr:clientData/>
  </xdr:twoCellAnchor>
  <xdr:oneCellAnchor>
    <xdr:from>
      <xdr:col>9</xdr:col>
      <xdr:colOff>0</xdr:colOff>
      <xdr:row>64</xdr:row>
      <xdr:rowOff>0</xdr:rowOff>
    </xdr:from>
    <xdr:ext cx="7975203" cy="742950"/>
    <xdr:pic>
      <xdr:nvPicPr>
        <xdr:cNvPr id="12" name="Picture 11">
          <a:extLst>
            <a:ext uri="{FF2B5EF4-FFF2-40B4-BE49-F238E27FC236}">
              <a16:creationId xmlns:a16="http://schemas.microsoft.com/office/drawing/2014/main" id="{BAFD6166-182A-42B0-A662-6C103AED8D6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91296"/>
        <a:stretch/>
      </xdr:blipFill>
      <xdr:spPr>
        <a:xfrm>
          <a:off x="8801100" y="12192000"/>
          <a:ext cx="7975203" cy="742950"/>
        </a:xfrm>
        <a:prstGeom prst="rect">
          <a:avLst/>
        </a:prstGeom>
      </xdr:spPr>
    </xdr:pic>
    <xdr:clientData/>
  </xdr:oneCellAnchor>
  <xdr:twoCellAnchor editAs="oneCell">
    <xdr:from>
      <xdr:col>9</xdr:col>
      <xdr:colOff>0</xdr:colOff>
      <xdr:row>68</xdr:row>
      <xdr:rowOff>0</xdr:rowOff>
    </xdr:from>
    <xdr:to>
      <xdr:col>15</xdr:col>
      <xdr:colOff>640953</xdr:colOff>
      <xdr:row>73</xdr:row>
      <xdr:rowOff>182410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FF66B1CC-07B1-4483-9315-57ECE0C9FF9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86704"/>
        <a:stretch/>
      </xdr:blipFill>
      <xdr:spPr>
        <a:xfrm>
          <a:off x="8801100" y="12954000"/>
          <a:ext cx="7975203" cy="113491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38</xdr:row>
      <xdr:rowOff>0</xdr:rowOff>
    </xdr:from>
    <xdr:to>
      <xdr:col>7</xdr:col>
      <xdr:colOff>640953</xdr:colOff>
      <xdr:row>41</xdr:row>
      <xdr:rowOff>171450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A1C48A-AF78-4C7A-A930-4D7E9A8D662E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91296"/>
        <a:stretch/>
      </xdr:blipFill>
      <xdr:spPr>
        <a:xfrm>
          <a:off x="609600" y="7239000"/>
          <a:ext cx="7975203" cy="7429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7</xdr:col>
      <xdr:colOff>640953</xdr:colOff>
      <xdr:row>50</xdr:row>
      <xdr:rowOff>114300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BE09DFE-800E-4F65-9F9C-BE49D94856A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35486" b="45321"/>
        <a:stretch/>
      </xdr:blipFill>
      <xdr:spPr>
        <a:xfrm>
          <a:off x="609600" y="8001000"/>
          <a:ext cx="7975203" cy="16383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</xdr:row>
      <xdr:rowOff>0</xdr:rowOff>
    </xdr:from>
    <xdr:to>
      <xdr:col>7</xdr:col>
      <xdr:colOff>640953</xdr:colOff>
      <xdr:row>21</xdr:row>
      <xdr:rowOff>133350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C7A2F74-075A-40AA-BAE2-DFFA291D1E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80584"/>
        <a:stretch/>
      </xdr:blipFill>
      <xdr:spPr>
        <a:xfrm>
          <a:off x="609600" y="2476500"/>
          <a:ext cx="7975203" cy="1657350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13</xdr:row>
      <xdr:rowOff>0</xdr:rowOff>
    </xdr:from>
    <xdr:to>
      <xdr:col>15</xdr:col>
      <xdr:colOff>640953</xdr:colOff>
      <xdr:row>16</xdr:row>
      <xdr:rowOff>171450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EAE0E1C2-4F76-461A-BACF-B4C4C189AB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91296"/>
        <a:stretch/>
      </xdr:blipFill>
      <xdr:spPr>
        <a:xfrm>
          <a:off x="8801100" y="2476500"/>
          <a:ext cx="7975203" cy="742950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17</xdr:row>
      <xdr:rowOff>0</xdr:rowOff>
    </xdr:from>
    <xdr:to>
      <xdr:col>15</xdr:col>
      <xdr:colOff>640953</xdr:colOff>
      <xdr:row>24</xdr:row>
      <xdr:rowOff>57150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A33B8D1-9200-47D3-8789-65ED165CF40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9193" b="64515"/>
        <a:stretch/>
      </xdr:blipFill>
      <xdr:spPr>
        <a:xfrm>
          <a:off x="8801100" y="3238500"/>
          <a:ext cx="7975203" cy="1390650"/>
        </a:xfrm>
        <a:prstGeom prst="rect">
          <a:avLst/>
        </a:prstGeom>
      </xdr:spPr>
    </xdr:pic>
    <xdr:clientData/>
  </xdr:twoCellAnchor>
  <xdr:oneCellAnchor>
    <xdr:from>
      <xdr:col>9</xdr:col>
      <xdr:colOff>0</xdr:colOff>
      <xdr:row>38</xdr:row>
      <xdr:rowOff>0</xdr:rowOff>
    </xdr:from>
    <xdr:ext cx="7975203" cy="742950"/>
    <xdr:pic>
      <xdr:nvPicPr>
        <xdr:cNvPr id="7" name="Picture 6">
          <a:extLst>
            <a:ext uri="{FF2B5EF4-FFF2-40B4-BE49-F238E27FC236}">
              <a16:creationId xmlns:a16="http://schemas.microsoft.com/office/drawing/2014/main" id="{EE608B06-1ACF-46DC-8FF8-19C9BBD2FF09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91296"/>
        <a:stretch/>
      </xdr:blipFill>
      <xdr:spPr>
        <a:xfrm>
          <a:off x="8801100" y="7239000"/>
          <a:ext cx="7975203" cy="742950"/>
        </a:xfrm>
        <a:prstGeom prst="rect">
          <a:avLst/>
        </a:prstGeom>
      </xdr:spPr>
    </xdr:pic>
    <xdr:clientData/>
  </xdr:oneCellAnchor>
  <xdr:twoCellAnchor editAs="oneCell">
    <xdr:from>
      <xdr:col>9</xdr:col>
      <xdr:colOff>0</xdr:colOff>
      <xdr:row>42</xdr:row>
      <xdr:rowOff>1</xdr:rowOff>
    </xdr:from>
    <xdr:to>
      <xdr:col>15</xdr:col>
      <xdr:colOff>640953</xdr:colOff>
      <xdr:row>49</xdr:row>
      <xdr:rowOff>76201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1D24A457-DE05-4D9F-976F-3F817B6413D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54343" b="29142"/>
        <a:stretch/>
      </xdr:blipFill>
      <xdr:spPr>
        <a:xfrm>
          <a:off x="8801100" y="8001001"/>
          <a:ext cx="7975203" cy="1409700"/>
        </a:xfrm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</xdr:row>
      <xdr:rowOff>0</xdr:rowOff>
    </xdr:from>
    <xdr:to>
      <xdr:col>30</xdr:col>
      <xdr:colOff>50404</xdr:colOff>
      <xdr:row>45</xdr:row>
      <xdr:rowOff>153836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90643C7-BE68-4C97-8F52-E083D8F1C6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7421225" y="190500"/>
          <a:ext cx="7975204" cy="8535836"/>
        </a:xfrm>
        <a:prstGeom prst="rect">
          <a:avLst/>
        </a:prstGeom>
      </xdr:spPr>
    </xdr:pic>
    <xdr:clientData/>
  </xdr:twoCellAnchor>
  <xdr:oneCellAnchor>
    <xdr:from>
      <xdr:col>1</xdr:col>
      <xdr:colOff>0</xdr:colOff>
      <xdr:row>64</xdr:row>
      <xdr:rowOff>0</xdr:rowOff>
    </xdr:from>
    <xdr:ext cx="7975203" cy="742950"/>
    <xdr:pic>
      <xdr:nvPicPr>
        <xdr:cNvPr id="10" name="Picture 9">
          <a:extLst>
            <a:ext uri="{FF2B5EF4-FFF2-40B4-BE49-F238E27FC236}">
              <a16:creationId xmlns:a16="http://schemas.microsoft.com/office/drawing/2014/main" id="{3E9A0333-4723-46C7-886D-BFC61AC7D40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91296"/>
        <a:stretch/>
      </xdr:blipFill>
      <xdr:spPr>
        <a:xfrm>
          <a:off x="609600" y="12192000"/>
          <a:ext cx="7975203" cy="742950"/>
        </a:xfrm>
        <a:prstGeom prst="rect">
          <a:avLst/>
        </a:prstGeom>
      </xdr:spPr>
    </xdr:pic>
    <xdr:clientData/>
  </xdr:oneCellAnchor>
  <xdr:twoCellAnchor editAs="oneCell">
    <xdr:from>
      <xdr:col>1</xdr:col>
      <xdr:colOff>0</xdr:colOff>
      <xdr:row>68</xdr:row>
      <xdr:rowOff>1</xdr:rowOff>
    </xdr:from>
    <xdr:to>
      <xdr:col>7</xdr:col>
      <xdr:colOff>640953</xdr:colOff>
      <xdr:row>75</xdr:row>
      <xdr:rowOff>57151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F27F8463-A4F6-4CFE-A5B5-768D5A5A849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70747" b="12961"/>
        <a:stretch/>
      </xdr:blipFill>
      <xdr:spPr>
        <a:xfrm>
          <a:off x="609600" y="12954001"/>
          <a:ext cx="7975203" cy="1390650"/>
        </a:xfrm>
        <a:prstGeom prst="rect">
          <a:avLst/>
        </a:prstGeom>
      </xdr:spPr>
    </xdr:pic>
    <xdr:clientData/>
  </xdr:twoCellAnchor>
  <xdr:oneCellAnchor>
    <xdr:from>
      <xdr:col>9</xdr:col>
      <xdr:colOff>0</xdr:colOff>
      <xdr:row>64</xdr:row>
      <xdr:rowOff>0</xdr:rowOff>
    </xdr:from>
    <xdr:ext cx="7975203" cy="742950"/>
    <xdr:pic>
      <xdr:nvPicPr>
        <xdr:cNvPr id="12" name="Picture 11">
          <a:extLst>
            <a:ext uri="{FF2B5EF4-FFF2-40B4-BE49-F238E27FC236}">
              <a16:creationId xmlns:a16="http://schemas.microsoft.com/office/drawing/2014/main" id="{EEF8FEBB-F7FD-45FF-AC0C-212AC42257D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b="91296"/>
        <a:stretch/>
      </xdr:blipFill>
      <xdr:spPr>
        <a:xfrm>
          <a:off x="8801100" y="12192000"/>
          <a:ext cx="7975203" cy="742950"/>
        </a:xfrm>
        <a:prstGeom prst="rect">
          <a:avLst/>
        </a:prstGeom>
      </xdr:spPr>
    </xdr:pic>
    <xdr:clientData/>
  </xdr:oneCellAnchor>
  <xdr:twoCellAnchor editAs="oneCell">
    <xdr:from>
      <xdr:col>9</xdr:col>
      <xdr:colOff>0</xdr:colOff>
      <xdr:row>68</xdr:row>
      <xdr:rowOff>0</xdr:rowOff>
    </xdr:from>
    <xdr:to>
      <xdr:col>15</xdr:col>
      <xdr:colOff>640953</xdr:colOff>
      <xdr:row>73</xdr:row>
      <xdr:rowOff>182410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A238B1F9-8C31-4B29-A8E3-FF4BDCB7E91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86704"/>
        <a:stretch/>
      </xdr:blipFill>
      <xdr:spPr>
        <a:xfrm>
          <a:off x="8801100" y="12954000"/>
          <a:ext cx="7975203" cy="1134910"/>
        </a:xfrm>
        <a:prstGeom prst="rect">
          <a:avLst/>
        </a:prstGeom>
      </xdr:spPr>
    </xdr:pic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61BA2-29A3-4CF4-B232-C617EB35B7A7}">
  <sheetPr>
    <tabColor rgb="FFC00000"/>
  </sheetPr>
  <dimension ref="A2:AR165"/>
  <sheetViews>
    <sheetView tabSelected="1" topLeftCell="A106" zoomScale="85" zoomScaleNormal="85" workbookViewId="0">
      <selection activeCell="J114" sqref="J114"/>
    </sheetView>
  </sheetViews>
  <sheetFormatPr defaultRowHeight="15" customHeight="1" x14ac:dyDescent="0.25"/>
  <cols>
    <col min="2" max="2" width="30.7109375" style="1" customWidth="1"/>
    <col min="3" max="3" width="13" style="1" customWidth="1"/>
    <col min="4" max="4" width="10.140625" style="1" customWidth="1"/>
    <col min="5" max="5" width="9.140625" style="1" customWidth="1"/>
    <col min="6" max="6" width="34" style="1" bestFit="1" customWidth="1"/>
    <col min="7" max="7" width="20" customWidth="1"/>
    <col min="8" max="8" width="10.140625" customWidth="1"/>
    <col min="9" max="9" width="2.7109375" customWidth="1"/>
    <col min="10" max="10" width="30.7109375" style="1" customWidth="1"/>
    <col min="11" max="11" width="13" style="1" customWidth="1"/>
    <col min="12" max="12" width="10.140625" style="1" customWidth="1"/>
    <col min="13" max="13" width="9.140625" style="1"/>
    <col min="14" max="14" width="34" style="1" bestFit="1" customWidth="1"/>
    <col min="15" max="15" width="20" customWidth="1"/>
    <col min="16" max="16" width="10.140625" customWidth="1"/>
    <col min="18" max="31" width="9.140625" customWidth="1"/>
  </cols>
  <sheetData>
    <row r="2" spans="2:44" ht="15" customHeight="1" x14ac:dyDescent="0.25">
      <c r="B2" s="23" t="s">
        <v>28</v>
      </c>
      <c r="C2" s="24">
        <v>1</v>
      </c>
      <c r="D2" s="22"/>
      <c r="E2" s="22"/>
      <c r="F2" s="22"/>
      <c r="G2" s="22"/>
      <c r="H2" s="22"/>
      <c r="I2" s="26"/>
      <c r="J2" s="23" t="s">
        <v>28</v>
      </c>
      <c r="K2" s="24">
        <v>2</v>
      </c>
      <c r="L2" s="22"/>
      <c r="M2" s="22"/>
      <c r="N2" s="22"/>
      <c r="O2" s="22"/>
      <c r="P2" s="22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</row>
    <row r="3" spans="2:44" ht="15" customHeight="1" x14ac:dyDescent="0.25">
      <c r="B3" s="2" t="s">
        <v>0</v>
      </c>
      <c r="C3" s="3" t="s">
        <v>1</v>
      </c>
      <c r="D3" s="21" t="s">
        <v>4</v>
      </c>
      <c r="E3"/>
      <c r="F3" s="5" t="s">
        <v>3</v>
      </c>
      <c r="G3" s="6"/>
      <c r="H3" s="6"/>
      <c r="I3" s="26"/>
      <c r="J3" s="2" t="s">
        <v>0</v>
      </c>
      <c r="K3" s="3" t="s">
        <v>1</v>
      </c>
      <c r="L3" s="21" t="s">
        <v>4</v>
      </c>
      <c r="M3"/>
      <c r="N3" s="5" t="s">
        <v>3</v>
      </c>
      <c r="O3" s="6"/>
      <c r="P3" s="6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</row>
    <row r="4" spans="2:44" ht="15" customHeight="1" x14ac:dyDescent="0.25">
      <c r="I4" s="26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</row>
    <row r="5" spans="2:44" ht="15" customHeight="1" x14ac:dyDescent="0.25">
      <c r="B5" s="7" t="s">
        <v>10</v>
      </c>
      <c r="C5" s="8"/>
      <c r="D5" s="8"/>
      <c r="E5"/>
      <c r="F5" s="9" t="s">
        <v>38</v>
      </c>
      <c r="G5" s="9"/>
      <c r="H5" s="10"/>
      <c r="I5" s="26"/>
      <c r="J5" s="7" t="s">
        <v>10</v>
      </c>
      <c r="K5" s="8"/>
      <c r="L5" s="8"/>
      <c r="M5"/>
      <c r="N5" s="9" t="s">
        <v>38</v>
      </c>
      <c r="O5" s="9"/>
      <c r="P5" s="10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</row>
    <row r="6" spans="2:44" ht="15" customHeight="1" x14ac:dyDescent="0.25">
      <c r="B6" s="4" t="s">
        <v>20</v>
      </c>
      <c r="C6" s="4">
        <f>5/16</f>
        <v>0.3125</v>
      </c>
      <c r="D6" s="4" t="str">
        <f>IF(D3="English","in", "mm")</f>
        <v>in</v>
      </c>
      <c r="E6"/>
      <c r="F6" s="6" t="s">
        <v>15</v>
      </c>
      <c r="G6" s="13">
        <f>0.5*SQRT(2)*C6</f>
        <v>0.22097086912079611</v>
      </c>
      <c r="H6" s="6" t="str">
        <f>IF(D3="English","in", "mm")</f>
        <v>in</v>
      </c>
      <c r="I6" s="26"/>
      <c r="J6" s="4" t="s">
        <v>20</v>
      </c>
      <c r="K6" s="4">
        <f>5/16</f>
        <v>0.3125</v>
      </c>
      <c r="L6" s="4" t="str">
        <f>IF(L3="English","in", "mm")</f>
        <v>in</v>
      </c>
      <c r="M6"/>
      <c r="N6" s="6" t="s">
        <v>15</v>
      </c>
      <c r="O6" s="13">
        <f>0.5*SQRT(2)*K6</f>
        <v>0.22097086912079611</v>
      </c>
      <c r="P6" s="6" t="str">
        <f>IF(L3="English","in", "mm")</f>
        <v>in</v>
      </c>
    </row>
    <row r="7" spans="2:44" ht="15" customHeight="1" x14ac:dyDescent="0.25">
      <c r="B7" s="4" t="s">
        <v>6</v>
      </c>
      <c r="C7" s="4">
        <v>2</v>
      </c>
      <c r="D7" s="4" t="str">
        <f>IF(D3="English","in", "mm")</f>
        <v>in</v>
      </c>
      <c r="E7"/>
      <c r="F7" s="6" t="s">
        <v>61</v>
      </c>
      <c r="G7" s="13">
        <f>0.5*SQRT(2)*C6*C7</f>
        <v>0.44194173824159222</v>
      </c>
      <c r="H7" s="12" t="str">
        <f>IF(D3="English","in^2","mm^2")</f>
        <v>in^2</v>
      </c>
      <c r="I7" s="26"/>
      <c r="J7" s="4" t="s">
        <v>6</v>
      </c>
      <c r="K7" s="4">
        <v>2</v>
      </c>
      <c r="L7" s="4" t="str">
        <f>IF(L3="English","in", "mm")</f>
        <v>in</v>
      </c>
      <c r="M7"/>
      <c r="N7" s="6" t="s">
        <v>61</v>
      </c>
      <c r="O7" s="13">
        <f>SQRT(2)*K6*K7</f>
        <v>0.88388347648318444</v>
      </c>
      <c r="P7" s="12" t="str">
        <f>IF(L3="English","in^2","mm^2")</f>
        <v>in^2</v>
      </c>
    </row>
    <row r="8" spans="2:44" ht="15" customHeight="1" x14ac:dyDescent="0.25">
      <c r="B8" s="6" t="s">
        <v>5</v>
      </c>
      <c r="C8" s="6">
        <v>0</v>
      </c>
      <c r="D8" s="6" t="str">
        <f>IF(D3="English","in", "mm")</f>
        <v>in</v>
      </c>
      <c r="E8"/>
      <c r="F8" s="6" t="s">
        <v>12</v>
      </c>
      <c r="G8" s="18">
        <v>0</v>
      </c>
      <c r="H8" s="6" t="str">
        <f>IF(D3="English","in", "mm")</f>
        <v>in</v>
      </c>
      <c r="I8" s="26"/>
      <c r="J8" s="4" t="s">
        <v>5</v>
      </c>
      <c r="K8" s="4">
        <v>2</v>
      </c>
      <c r="L8" s="4" t="str">
        <f>IF(L3="English","in", "mm")</f>
        <v>in</v>
      </c>
      <c r="M8"/>
      <c r="N8" s="6" t="s">
        <v>12</v>
      </c>
      <c r="O8" s="18">
        <f>K8/2</f>
        <v>1</v>
      </c>
      <c r="P8" s="6" t="str">
        <f>IF(L3="English","in", "mm")</f>
        <v>in</v>
      </c>
    </row>
    <row r="9" spans="2:44" ht="15" customHeight="1" x14ac:dyDescent="0.25">
      <c r="B9" s="6" t="s">
        <v>57</v>
      </c>
      <c r="C9" s="6">
        <f>SQRT((C8-G8)^2 + (C7-G9)^2)</f>
        <v>1</v>
      </c>
      <c r="D9" s="6" t="str">
        <f>IF(D3="English","in", "mm")</f>
        <v>in</v>
      </c>
      <c r="E9"/>
      <c r="F9" s="6" t="s">
        <v>13</v>
      </c>
      <c r="G9" s="18">
        <f>C7/2</f>
        <v>1</v>
      </c>
      <c r="H9" s="6" t="str">
        <f>IF(D3="English","in", "mm")</f>
        <v>in</v>
      </c>
      <c r="I9" s="26"/>
      <c r="J9" s="6" t="s">
        <v>57</v>
      </c>
      <c r="K9" s="6">
        <f>SQRT((K8-O8)^2 + (K7-O9)^2)</f>
        <v>1.4142135623730951</v>
      </c>
      <c r="L9" s="6" t="str">
        <f>IF(L3="English","in", "mm")</f>
        <v>in</v>
      </c>
      <c r="M9"/>
      <c r="N9" s="6" t="s">
        <v>13</v>
      </c>
      <c r="O9" s="18">
        <f>K7/2</f>
        <v>1</v>
      </c>
      <c r="P9" s="6" t="str">
        <f>IF(L3="English","in", "mm")</f>
        <v>in</v>
      </c>
    </row>
    <row r="10" spans="2:44" ht="15" customHeight="1" x14ac:dyDescent="0.25">
      <c r="F10" s="6" t="s">
        <v>14</v>
      </c>
      <c r="G10" s="25">
        <f>(C7^3)/12</f>
        <v>0.66666666666666663</v>
      </c>
      <c r="H10" s="6" t="str">
        <f>IF(D3="English","in^3", "mm^3")</f>
        <v>in^3</v>
      </c>
      <c r="I10" s="26"/>
      <c r="N10" s="6" t="s">
        <v>14</v>
      </c>
      <c r="O10" s="25">
        <f>(K7*(3*(K8^2)+(K7^2)))/(6)</f>
        <v>5.333333333333333</v>
      </c>
      <c r="P10" s="6" t="str">
        <f>IF(L3="English","in^3", "mm^3")</f>
        <v>in^3</v>
      </c>
    </row>
    <row r="11" spans="2:44" ht="15" customHeight="1" x14ac:dyDescent="0.25">
      <c r="F11" s="6" t="s">
        <v>16</v>
      </c>
      <c r="G11" s="25">
        <f>G6*G10</f>
        <v>0.14731391274719741</v>
      </c>
      <c r="H11" s="6" t="str">
        <f>IF(D3="English","in^4", "mm^4")</f>
        <v>in^4</v>
      </c>
      <c r="I11" s="26"/>
      <c r="N11" s="6" t="s">
        <v>16</v>
      </c>
      <c r="O11" s="25">
        <f>O6*O10</f>
        <v>1.1785113019775793</v>
      </c>
      <c r="P11" s="6" t="str">
        <f>IF(L3="English","in^4", "mm^4")</f>
        <v>in^4</v>
      </c>
    </row>
    <row r="12" spans="2:44" ht="15" customHeight="1" x14ac:dyDescent="0.25">
      <c r="F12" s="6" t="s">
        <v>76</v>
      </c>
      <c r="G12" s="25">
        <f>(C7^3)/12</f>
        <v>0.66666666666666663</v>
      </c>
      <c r="H12" s="6" t="str">
        <f>IF(D3="English","in^3", "mm^3")</f>
        <v>in^3</v>
      </c>
      <c r="I12" s="26"/>
      <c r="N12" s="6" t="s">
        <v>76</v>
      </c>
      <c r="O12" s="25">
        <f>IF(K13,(K7^3)/6,(K7*(K8^2))/2)</f>
        <v>1.3333333333333333</v>
      </c>
      <c r="P12" s="6" t="str">
        <f>IF(L3="English","in^3", "mm^3")</f>
        <v>in^3</v>
      </c>
    </row>
    <row r="13" spans="2:44" ht="15" customHeight="1" x14ac:dyDescent="0.25">
      <c r="F13" s="6" t="s">
        <v>74</v>
      </c>
      <c r="G13" s="25">
        <f>G6*G12</f>
        <v>0.14731391274719741</v>
      </c>
      <c r="H13" s="6" t="str">
        <f>IF(D3="English","in^4", "mm^4")</f>
        <v>in^4</v>
      </c>
      <c r="I13" s="26"/>
      <c r="J13" s="4" t="s">
        <v>23</v>
      </c>
      <c r="K13" s="17" t="b">
        <v>1</v>
      </c>
      <c r="N13" s="6" t="s">
        <v>74</v>
      </c>
      <c r="O13" s="25">
        <f>O6*O12</f>
        <v>0.29462782549439481</v>
      </c>
      <c r="P13" s="6" t="str">
        <f>IF(L3="English","in^4", "mm^4")</f>
        <v>in^4</v>
      </c>
    </row>
    <row r="14" spans="2:44" ht="15" customHeight="1" x14ac:dyDescent="0.25">
      <c r="F14" s="6" t="s">
        <v>77</v>
      </c>
      <c r="G14" s="25">
        <v>0</v>
      </c>
      <c r="H14" s="6" t="str">
        <f>IF(D3="English","in^3", "mm^3")</f>
        <v>in^3</v>
      </c>
      <c r="I14" s="26"/>
      <c r="J14" s="4" t="s">
        <v>24</v>
      </c>
      <c r="K14" s="20" t="b">
        <f>NOT(K13)</f>
        <v>0</v>
      </c>
      <c r="N14" s="6" t="s">
        <v>77</v>
      </c>
      <c r="O14" s="25">
        <f>IF(K13,(K7*(K8^2))/2,(K7^3)/6)</f>
        <v>4</v>
      </c>
      <c r="P14" s="6" t="str">
        <f>IF(L3="English","in^3", "mm^3")</f>
        <v>in^3</v>
      </c>
    </row>
    <row r="15" spans="2:44" ht="15" customHeight="1" x14ac:dyDescent="0.25">
      <c r="F15" s="6" t="s">
        <v>75</v>
      </c>
      <c r="G15" s="25">
        <f>G6*G14</f>
        <v>0</v>
      </c>
      <c r="H15" s="6" t="str">
        <f>IF(D3="English","in^4", "mm^4")</f>
        <v>in^4</v>
      </c>
      <c r="I15" s="26"/>
      <c r="N15" s="6" t="s">
        <v>75</v>
      </c>
      <c r="O15" s="25">
        <f>O6*O14</f>
        <v>0.88388347648318444</v>
      </c>
      <c r="P15" s="6" t="str">
        <f>IF(L3="English","in^4", "mm^4")</f>
        <v>in^4</v>
      </c>
    </row>
    <row r="16" spans="2:44" ht="15" customHeight="1" x14ac:dyDescent="0.25">
      <c r="I16" s="26"/>
    </row>
    <row r="17" spans="2:16" ht="15" customHeight="1" x14ac:dyDescent="0.25">
      <c r="B17" s="7" t="s">
        <v>44</v>
      </c>
      <c r="C17" s="8"/>
      <c r="D17" s="8"/>
      <c r="F17" s="9" t="s">
        <v>39</v>
      </c>
      <c r="G17" s="9"/>
      <c r="H17" s="10"/>
      <c r="I17" s="26"/>
      <c r="J17" s="7" t="s">
        <v>44</v>
      </c>
      <c r="K17" s="8"/>
      <c r="L17" s="8"/>
      <c r="N17" s="9" t="s">
        <v>39</v>
      </c>
      <c r="O17" s="9"/>
      <c r="P17" s="10"/>
    </row>
    <row r="18" spans="2:16" ht="15" customHeight="1" x14ac:dyDescent="0.25">
      <c r="B18" s="4" t="s">
        <v>34</v>
      </c>
      <c r="C18" s="32">
        <v>7</v>
      </c>
      <c r="D18" s="4" t="str">
        <f>IF(D3="English","lbf", "N")</f>
        <v>lbf</v>
      </c>
      <c r="F18" s="6" t="s">
        <v>36</v>
      </c>
      <c r="G18" s="36">
        <f>C18/G7</f>
        <v>15.839191898578663</v>
      </c>
      <c r="H18" s="6" t="str">
        <f>IF(D3="English","psi","Pa")</f>
        <v>psi</v>
      </c>
      <c r="I18" s="26"/>
      <c r="J18" s="4" t="s">
        <v>34</v>
      </c>
      <c r="K18" s="32">
        <v>7</v>
      </c>
      <c r="L18" s="4" t="str">
        <f>IF(L3="English","lbf", "N")</f>
        <v>lbf</v>
      </c>
      <c r="N18" s="6" t="s">
        <v>36</v>
      </c>
      <c r="O18" s="36">
        <f>K18/O7</f>
        <v>7.9195959492893317</v>
      </c>
      <c r="P18" s="6" t="str">
        <f>IF(L3="English","psi","Pa")</f>
        <v>psi</v>
      </c>
    </row>
    <row r="19" spans="2:16" ht="15" customHeight="1" x14ac:dyDescent="0.25">
      <c r="B19" s="4" t="s">
        <v>35</v>
      </c>
      <c r="C19" s="32">
        <v>7</v>
      </c>
      <c r="D19" s="4" t="str">
        <f>IF(D3="English","lbf", "N")</f>
        <v>lbf</v>
      </c>
      <c r="F19" s="6" t="s">
        <v>37</v>
      </c>
      <c r="G19" s="36">
        <f>C19/G7</f>
        <v>15.839191898578663</v>
      </c>
      <c r="H19" s="6" t="str">
        <f>IF(D3="English","psi","Pa")</f>
        <v>psi</v>
      </c>
      <c r="I19" s="26"/>
      <c r="J19" s="4" t="s">
        <v>35</v>
      </c>
      <c r="K19" s="32">
        <v>7</v>
      </c>
      <c r="L19" s="4" t="str">
        <f>IF(L3="English","lbf", "N")</f>
        <v>lbf</v>
      </c>
      <c r="N19" s="6" t="s">
        <v>37</v>
      </c>
      <c r="O19" s="36">
        <f>K19/O7</f>
        <v>7.9195959492893317</v>
      </c>
      <c r="P19" s="6" t="str">
        <f>IF(L3="English","psi","Pa")</f>
        <v>psi</v>
      </c>
    </row>
    <row r="20" spans="2:16" ht="15" customHeight="1" x14ac:dyDescent="0.25">
      <c r="B20" s="4" t="s">
        <v>42</v>
      </c>
      <c r="C20" s="32">
        <v>7</v>
      </c>
      <c r="D20" s="4" t="str">
        <f>IF(D3="English","in-lbf", "Nm")</f>
        <v>in-lbf</v>
      </c>
      <c r="F20" s="6" t="s">
        <v>31</v>
      </c>
      <c r="G20" s="36">
        <f>((C20*C9)/G11)</f>
        <v>47.517575695735992</v>
      </c>
      <c r="H20" s="6" t="str">
        <f>IF(D3="English","psi","Pa")</f>
        <v>psi</v>
      </c>
      <c r="I20" s="26"/>
      <c r="J20" s="4" t="s">
        <v>42</v>
      </c>
      <c r="K20" s="32">
        <v>7</v>
      </c>
      <c r="L20" s="4" t="str">
        <f>IF(L3="English","in-lbf", "Nm")</f>
        <v>in-lbf</v>
      </c>
      <c r="N20" s="6" t="s">
        <v>31</v>
      </c>
      <c r="O20" s="36">
        <f>((K20*K9)/O11)</f>
        <v>8.4</v>
      </c>
      <c r="P20" s="6" t="str">
        <f>IF(L3="English","psi","Pa")</f>
        <v>psi</v>
      </c>
    </row>
    <row r="21" spans="2:16" ht="15" customHeight="1" x14ac:dyDescent="0.25">
      <c r="B21" s="4" t="s">
        <v>41</v>
      </c>
      <c r="C21" s="32">
        <v>7</v>
      </c>
      <c r="D21" s="4" t="str">
        <f>IF(D3="English","in-lbf", "Nm")</f>
        <v>in-lbf</v>
      </c>
      <c r="F21" s="6" t="s">
        <v>32</v>
      </c>
      <c r="G21" s="36">
        <f>G20*((C7/2)/C9)</f>
        <v>47.517575695735992</v>
      </c>
      <c r="H21" s="6" t="str">
        <f>IF(D3="English","psi","Pa")</f>
        <v>psi</v>
      </c>
      <c r="I21" s="26"/>
      <c r="J21" s="4" t="s">
        <v>41</v>
      </c>
      <c r="K21" s="32">
        <v>7</v>
      </c>
      <c r="L21" s="4" t="str">
        <f>IF(L3="English","in-lbf", "Nm")</f>
        <v>in-lbf</v>
      </c>
      <c r="N21" s="6" t="s">
        <v>32</v>
      </c>
      <c r="O21" s="36">
        <f>O20*((K7/2)/K9)</f>
        <v>5.939696961966999</v>
      </c>
      <c r="P21" s="6" t="str">
        <f>IF(L3="English","psi","Pa")</f>
        <v>psi</v>
      </c>
    </row>
    <row r="22" spans="2:16" ht="15" customHeight="1" x14ac:dyDescent="0.25">
      <c r="B22" s="4" t="s">
        <v>43</v>
      </c>
      <c r="C22" s="32">
        <v>7</v>
      </c>
      <c r="D22" s="4" t="str">
        <f>IF(D3="English","in-lbf", "Nm")</f>
        <v>in-lbf</v>
      </c>
      <c r="F22" s="6" t="s">
        <v>33</v>
      </c>
      <c r="G22" s="36">
        <f>G20*((C8/2)/C9)</f>
        <v>0</v>
      </c>
      <c r="H22" s="6" t="str">
        <f>IF(D3="English","psi","Pa")</f>
        <v>psi</v>
      </c>
      <c r="I22" s="26"/>
      <c r="J22" s="4" t="s">
        <v>43</v>
      </c>
      <c r="K22" s="32">
        <v>7</v>
      </c>
      <c r="L22" s="4" t="str">
        <f>IF(L3="English","in-lbf", "Nm")</f>
        <v>in-lbf</v>
      </c>
      <c r="N22" s="6" t="s">
        <v>33</v>
      </c>
      <c r="O22" s="36">
        <f>O20*((K8/2)/K9)</f>
        <v>5.939696961966999</v>
      </c>
      <c r="P22" s="6" t="str">
        <f>IF(L3="English","psi","Pa")</f>
        <v>psi</v>
      </c>
    </row>
    <row r="23" spans="2:16" ht="15" customHeight="1" x14ac:dyDescent="0.25">
      <c r="F23" s="6" t="s">
        <v>51</v>
      </c>
      <c r="G23" s="36">
        <f>G18+G21</f>
        <v>63.356767594314654</v>
      </c>
      <c r="H23" s="6" t="str">
        <f>IF(D3="English","psi","Pa")</f>
        <v>psi</v>
      </c>
      <c r="I23" s="26"/>
      <c r="N23" s="6" t="s">
        <v>51</v>
      </c>
      <c r="O23" s="36">
        <f>O18+O21</f>
        <v>13.859292911256331</v>
      </c>
      <c r="P23" s="6" t="str">
        <f>IF(L3="English","psi","Pa")</f>
        <v>psi</v>
      </c>
    </row>
    <row r="24" spans="2:16" ht="15" customHeight="1" x14ac:dyDescent="0.25">
      <c r="B24" s="7" t="s">
        <v>50</v>
      </c>
      <c r="C24" s="8"/>
      <c r="D24" s="8"/>
      <c r="F24" s="6" t="s">
        <v>52</v>
      </c>
      <c r="G24" s="36">
        <f>G18-G21</f>
        <v>-31.678383797157331</v>
      </c>
      <c r="H24" s="6" t="str">
        <f>IF(D3="English","psi","Pa")</f>
        <v>psi</v>
      </c>
      <c r="I24" s="26"/>
      <c r="J24" s="7" t="s">
        <v>50</v>
      </c>
      <c r="K24" s="8"/>
      <c r="L24" s="8"/>
      <c r="N24" s="6" t="s">
        <v>52</v>
      </c>
      <c r="O24" s="36">
        <f>O18-O21</f>
        <v>1.9798989873223327</v>
      </c>
      <c r="P24" s="6" t="str">
        <f>IF(L3="English","psi","Pa")</f>
        <v>psi</v>
      </c>
    </row>
    <row r="25" spans="2:16" ht="15" customHeight="1" x14ac:dyDescent="0.25">
      <c r="B25" s="4" t="s">
        <v>8</v>
      </c>
      <c r="C25" s="32">
        <v>7</v>
      </c>
      <c r="D25" s="4" t="str">
        <f>IF(D3="English","psi","Pa")</f>
        <v>psi</v>
      </c>
      <c r="F25" s="6" t="s">
        <v>53</v>
      </c>
      <c r="G25" s="36">
        <f>G19+G22</f>
        <v>15.839191898578663</v>
      </c>
      <c r="H25" s="6" t="str">
        <f>IF(D3="English","psi","Pa")</f>
        <v>psi</v>
      </c>
      <c r="I25" s="26"/>
      <c r="J25" s="4" t="s">
        <v>8</v>
      </c>
      <c r="K25" s="32">
        <v>7</v>
      </c>
      <c r="L25" s="4" t="str">
        <f>IF(L3="English","psi","Pa")</f>
        <v>psi</v>
      </c>
      <c r="N25" s="6" t="s">
        <v>53</v>
      </c>
      <c r="O25" s="36">
        <f>O19+O22</f>
        <v>13.859292911256331</v>
      </c>
      <c r="P25" s="6" t="str">
        <f>IF(L3="English","psi","Pa")</f>
        <v>psi</v>
      </c>
    </row>
    <row r="26" spans="2:16" ht="15" customHeight="1" x14ac:dyDescent="0.25">
      <c r="B26" s="6" t="s">
        <v>18</v>
      </c>
      <c r="C26" s="16">
        <f>IF(D3="English",C25*G7, C25*(G7*10^-6))</f>
        <v>3.0935921676911455</v>
      </c>
      <c r="D26" s="6" t="str">
        <f>IF(D3="English","lbf", "N")</f>
        <v>lbf</v>
      </c>
      <c r="F26" s="6" t="s">
        <v>54</v>
      </c>
      <c r="G26" s="36">
        <f>G19-G22</f>
        <v>15.839191898578663</v>
      </c>
      <c r="H26" s="6" t="str">
        <f>IF(D3="English","psi","Pa")</f>
        <v>psi</v>
      </c>
      <c r="I26" s="26"/>
      <c r="J26" s="6" t="s">
        <v>18</v>
      </c>
      <c r="K26" s="16">
        <f>IF(L3="English",K25*O7, K25*(O7*10^-6))</f>
        <v>6.1871843353822911</v>
      </c>
      <c r="L26" s="6" t="str">
        <f>IF(L3="English","lbf", "N")</f>
        <v>lbf</v>
      </c>
      <c r="N26" s="6" t="s">
        <v>54</v>
      </c>
      <c r="O26" s="36">
        <f>O19-O22</f>
        <v>1.9798989873223327</v>
      </c>
      <c r="P26" s="6" t="str">
        <f>IF(L3="English","psi","Pa")</f>
        <v>psi</v>
      </c>
    </row>
    <row r="27" spans="2:16" ht="15" customHeight="1" x14ac:dyDescent="0.25">
      <c r="F27" s="6" t="s">
        <v>55</v>
      </c>
      <c r="G27" s="36">
        <f>MAX(ABS(G23),ABS(G24))</f>
        <v>63.356767594314654</v>
      </c>
      <c r="H27" s="6" t="str">
        <f>IF(D3="English","psi","Pa")</f>
        <v>psi</v>
      </c>
      <c r="I27" s="26"/>
      <c r="N27" s="6" t="s">
        <v>55</v>
      </c>
      <c r="O27" s="36">
        <f>MAX(ABS(O23),ABS(O24))</f>
        <v>13.859292911256331</v>
      </c>
      <c r="P27" s="6" t="str">
        <f>IF(L3="English","psi","Pa")</f>
        <v>psi</v>
      </c>
    </row>
    <row r="28" spans="2:16" ht="15" customHeight="1" x14ac:dyDescent="0.25">
      <c r="F28" s="6" t="s">
        <v>56</v>
      </c>
      <c r="G28" s="36">
        <f>MAX(ABS(G25),ABS(G26))</f>
        <v>15.839191898578663</v>
      </c>
      <c r="H28" s="6" t="str">
        <f>IF(D3="English","psi","Pa")</f>
        <v>psi</v>
      </c>
      <c r="I28" s="26"/>
      <c r="N28" s="6" t="s">
        <v>56</v>
      </c>
      <c r="O28" s="36">
        <f>MAX(ABS(O25),ABS(O26))</f>
        <v>13.859292911256331</v>
      </c>
      <c r="P28" s="6" t="str">
        <f>IF(L3="English","psi","Pa")</f>
        <v>psi</v>
      </c>
    </row>
    <row r="29" spans="2:16" ht="15" customHeight="1" x14ac:dyDescent="0.25">
      <c r="F29" s="6" t="s">
        <v>47</v>
      </c>
      <c r="G29" s="36" cm="1">
        <f t="array" ref="G29">SQRT(SUM(G27:G28^2))</f>
        <v>65.306661222267365</v>
      </c>
      <c r="H29" s="6" t="str">
        <f>IF(D3="English","psi","Pa")</f>
        <v>psi</v>
      </c>
      <c r="I29" s="26"/>
      <c r="N29" s="6" t="s">
        <v>47</v>
      </c>
      <c r="O29" s="36" cm="1">
        <f t="array" ref="O29">SQRT(SUM(O27:O28^2))</f>
        <v>19.599999999999998</v>
      </c>
      <c r="P29" s="6" t="str">
        <f>IF(L3="English","psi","Pa")</f>
        <v>psi</v>
      </c>
    </row>
    <row r="30" spans="2:16" ht="15" customHeight="1" x14ac:dyDescent="0.25">
      <c r="F30"/>
      <c r="I30" s="26"/>
      <c r="N30"/>
    </row>
    <row r="31" spans="2:16" ht="15" customHeight="1" x14ac:dyDescent="0.25">
      <c r="F31" s="9" t="s">
        <v>48</v>
      </c>
      <c r="G31" s="9"/>
      <c r="H31" s="10"/>
      <c r="I31" s="26"/>
      <c r="N31" s="9" t="s">
        <v>48</v>
      </c>
      <c r="O31" s="9"/>
      <c r="P31" s="10"/>
    </row>
    <row r="32" spans="2:16" ht="15" customHeight="1" x14ac:dyDescent="0.25">
      <c r="F32" s="6" t="s">
        <v>45</v>
      </c>
      <c r="G32" s="36">
        <f>(C21*(C7-G9))/G13</f>
        <v>47.517575695735992</v>
      </c>
      <c r="H32" s="6" t="str">
        <f>IF(D3="English","psi","Pa")</f>
        <v>psi</v>
      </c>
      <c r="I32" s="26"/>
      <c r="N32" s="6" t="s">
        <v>45</v>
      </c>
      <c r="O32" s="36">
        <f>(K21*(K7-O9))/O13</f>
        <v>23.758787847867996</v>
      </c>
      <c r="P32" s="6" t="str">
        <f>IF(L3="English","psi","Pa")</f>
        <v>psi</v>
      </c>
    </row>
    <row r="33" spans="6:16" ht="15" customHeight="1" x14ac:dyDescent="0.25">
      <c r="F33" s="6" t="s">
        <v>46</v>
      </c>
      <c r="G33" s="36">
        <f>0</f>
        <v>0</v>
      </c>
      <c r="H33" s="6" t="str">
        <f>IF(D3="English","psi","Pa")</f>
        <v>psi</v>
      </c>
      <c r="I33" s="26"/>
      <c r="N33" s="6" t="s">
        <v>46</v>
      </c>
      <c r="O33" s="36">
        <f>(K22*(K8-O8))/O15</f>
        <v>7.9195959492893317</v>
      </c>
      <c r="P33" s="6" t="str">
        <f>IF(L3="English","psi","Pa")</f>
        <v>psi</v>
      </c>
    </row>
    <row r="34" spans="6:16" ht="15" customHeight="1" x14ac:dyDescent="0.25">
      <c r="F34" s="6" t="s">
        <v>30</v>
      </c>
      <c r="G34" s="36" cm="1">
        <f t="array" ref="G34">SQRT(SUM(G32:G33^2))</f>
        <v>47.517575695735992</v>
      </c>
      <c r="H34" s="6" t="str">
        <f>IF(D3="English","psi","Pa")</f>
        <v>psi</v>
      </c>
      <c r="I34" s="26"/>
      <c r="N34" s="6" t="s">
        <v>30</v>
      </c>
      <c r="O34" s="36" cm="1">
        <f t="array" ref="O34">SQRT(SUM(O32:O33^2))</f>
        <v>25.043961347997644</v>
      </c>
      <c r="P34" s="6" t="str">
        <f>IF(L3="English","psi","Pa")</f>
        <v>psi</v>
      </c>
    </row>
    <row r="35" spans="6:16" ht="15" customHeight="1" x14ac:dyDescent="0.25">
      <c r="I35" s="26"/>
    </row>
    <row r="36" spans="6:16" ht="15" customHeight="1" x14ac:dyDescent="0.25">
      <c r="F36" s="9" t="s">
        <v>49</v>
      </c>
      <c r="G36" s="9"/>
      <c r="H36" s="10"/>
      <c r="I36" s="26"/>
      <c r="N36" s="9" t="s">
        <v>49</v>
      </c>
      <c r="O36" s="9"/>
      <c r="P36" s="10"/>
    </row>
    <row r="37" spans="6:16" ht="15" customHeight="1" x14ac:dyDescent="0.25">
      <c r="F37" s="6" t="s">
        <v>40</v>
      </c>
      <c r="G37" s="36">
        <f>SQRT(SUM(G29^2,G34^2))</f>
        <v>80.764348570393366</v>
      </c>
      <c r="H37" s="6" t="str">
        <f>IF(D3="English","psi","Pa")</f>
        <v>psi</v>
      </c>
      <c r="I37" s="26"/>
      <c r="N37" s="6" t="s">
        <v>40</v>
      </c>
      <c r="O37" s="36">
        <f>SQRT(SUM(O29^2,O34^2))</f>
        <v>31.801886736481531</v>
      </c>
      <c r="P37" s="6" t="str">
        <f>IF(L3="English","psi","Pa")</f>
        <v>psi</v>
      </c>
    </row>
    <row r="38" spans="6:16" ht="15" customHeight="1" x14ac:dyDescent="0.25">
      <c r="I38" s="26"/>
    </row>
    <row r="39" spans="6:16" ht="15" customHeight="1" x14ac:dyDescent="0.25">
      <c r="I39" s="26"/>
    </row>
    <row r="40" spans="6:16" ht="15" customHeight="1" x14ac:dyDescent="0.25">
      <c r="I40" s="26"/>
    </row>
    <row r="41" spans="6:16" ht="15" customHeight="1" x14ac:dyDescent="0.25">
      <c r="I41" s="26"/>
    </row>
    <row r="42" spans="6:16" ht="15" customHeight="1" x14ac:dyDescent="0.25">
      <c r="I42" s="26"/>
    </row>
    <row r="43" spans="6:16" ht="15" customHeight="1" x14ac:dyDescent="0.25">
      <c r="I43" s="26"/>
    </row>
    <row r="44" spans="6:16" ht="15" customHeight="1" x14ac:dyDescent="0.25">
      <c r="I44" s="26"/>
    </row>
    <row r="45" spans="6:16" ht="15" customHeight="1" x14ac:dyDescent="0.25">
      <c r="I45" s="26"/>
    </row>
    <row r="46" spans="6:16" ht="15" customHeight="1" x14ac:dyDescent="0.25">
      <c r="I46" s="26"/>
    </row>
    <row r="47" spans="6:16" ht="15" customHeight="1" x14ac:dyDescent="0.25">
      <c r="I47" s="26"/>
    </row>
    <row r="48" spans="6:16" ht="15" customHeight="1" x14ac:dyDescent="0.25">
      <c r="I48" s="26"/>
    </row>
    <row r="49" spans="1:16" ht="15" customHeight="1" x14ac:dyDescent="0.25">
      <c r="I49" s="26"/>
    </row>
    <row r="50" spans="1:16" ht="15" customHeight="1" x14ac:dyDescent="0.25">
      <c r="I50" s="26"/>
      <c r="N50"/>
    </row>
    <row r="51" spans="1:16" ht="15" customHeight="1" x14ac:dyDescent="0.25">
      <c r="B51" s="11"/>
      <c r="C51" s="11"/>
      <c r="D51" s="11"/>
      <c r="E51" s="11"/>
      <c r="F51" s="11"/>
      <c r="G51" s="26"/>
      <c r="H51" s="26"/>
      <c r="I51" s="26"/>
      <c r="J51" s="11"/>
      <c r="K51" s="11"/>
      <c r="L51" s="11"/>
      <c r="M51" s="11"/>
      <c r="N51" s="26"/>
      <c r="O51" s="26"/>
      <c r="P51" s="26"/>
    </row>
    <row r="52" spans="1:16" ht="15" customHeight="1" x14ac:dyDescent="0.25">
      <c r="B52" s="23" t="s">
        <v>28</v>
      </c>
      <c r="C52" s="24">
        <v>3</v>
      </c>
      <c r="D52" s="22"/>
      <c r="E52" s="22"/>
      <c r="F52" s="22"/>
      <c r="G52" s="22"/>
      <c r="H52" s="22"/>
      <c r="I52" s="26"/>
      <c r="J52" s="23" t="s">
        <v>28</v>
      </c>
      <c r="K52" s="24">
        <v>4</v>
      </c>
      <c r="L52" s="22"/>
      <c r="M52" s="22"/>
      <c r="N52" s="22"/>
      <c r="O52" s="22"/>
      <c r="P52" s="22"/>
    </row>
    <row r="53" spans="1:16" ht="15" customHeight="1" x14ac:dyDescent="0.25">
      <c r="B53" s="2" t="s">
        <v>0</v>
      </c>
      <c r="C53" s="3" t="s">
        <v>1</v>
      </c>
      <c r="D53" s="21" t="s">
        <v>4</v>
      </c>
      <c r="E53"/>
      <c r="F53" s="5" t="s">
        <v>3</v>
      </c>
      <c r="G53" s="6"/>
      <c r="H53" s="6"/>
      <c r="I53" s="26"/>
      <c r="J53" s="2" t="s">
        <v>0</v>
      </c>
      <c r="K53" s="3" t="s">
        <v>1</v>
      </c>
      <c r="L53" s="21" t="s">
        <v>4</v>
      </c>
      <c r="M53"/>
      <c r="N53" s="5" t="s">
        <v>3</v>
      </c>
      <c r="O53" s="6"/>
      <c r="P53" s="6"/>
    </row>
    <row r="54" spans="1:16" ht="15" customHeight="1" x14ac:dyDescent="0.25">
      <c r="I54" s="26"/>
    </row>
    <row r="55" spans="1:16" ht="15" customHeight="1" x14ac:dyDescent="0.25">
      <c r="A55" s="1"/>
      <c r="B55" s="7" t="s">
        <v>10</v>
      </c>
      <c r="C55" s="8"/>
      <c r="D55" s="8"/>
      <c r="E55"/>
      <c r="F55" s="9" t="s">
        <v>38</v>
      </c>
      <c r="G55" s="9"/>
      <c r="H55" s="10"/>
      <c r="I55" s="26"/>
      <c r="J55" s="7" t="s">
        <v>10</v>
      </c>
      <c r="K55" s="8"/>
      <c r="L55" s="8"/>
      <c r="M55"/>
      <c r="N55" s="9" t="s">
        <v>38</v>
      </c>
      <c r="O55" s="9"/>
      <c r="P55" s="10"/>
    </row>
    <row r="56" spans="1:16" ht="15" customHeight="1" x14ac:dyDescent="0.25">
      <c r="B56" s="4" t="s">
        <v>20</v>
      </c>
      <c r="C56" s="4">
        <f>5/16</f>
        <v>0.3125</v>
      </c>
      <c r="D56" s="4" t="str">
        <f>IF(D53="English","in", "mm")</f>
        <v>in</v>
      </c>
      <c r="E56"/>
      <c r="F56" s="6" t="s">
        <v>15</v>
      </c>
      <c r="G56" s="13">
        <f>0.5*SQRT(2)*C56</f>
        <v>0.22097086912079611</v>
      </c>
      <c r="H56" s="6" t="str">
        <f>IF(D53="English","in", "mm")</f>
        <v>in</v>
      </c>
      <c r="I56" s="26"/>
      <c r="J56" s="4" t="s">
        <v>20</v>
      </c>
      <c r="K56" s="4">
        <f>5/16</f>
        <v>0.3125</v>
      </c>
      <c r="L56" s="4" t="str">
        <f>IF(L53="English","in", "mm")</f>
        <v>in</v>
      </c>
      <c r="M56"/>
      <c r="N56" s="6" t="s">
        <v>15</v>
      </c>
      <c r="O56" s="13">
        <f>0.5*SQRT(2)*K56</f>
        <v>0.22097086912079611</v>
      </c>
      <c r="P56" s="6" t="str">
        <f>IF(L53="English","in", "mm")</f>
        <v>in</v>
      </c>
    </row>
    <row r="57" spans="1:16" ht="15" customHeight="1" x14ac:dyDescent="0.25">
      <c r="B57" s="4" t="s">
        <v>6</v>
      </c>
      <c r="C57" s="4">
        <v>2</v>
      </c>
      <c r="D57" s="4" t="str">
        <f>IF(D53="English","in", "mm")</f>
        <v>in</v>
      </c>
      <c r="E57"/>
      <c r="F57" s="6" t="s">
        <v>61</v>
      </c>
      <c r="G57" s="13">
        <f>0.5*SQRT(2)*C56*(C58+C57)</f>
        <v>0.88388347648318444</v>
      </c>
      <c r="H57" s="12" t="str">
        <f>IF(D53="English","in^2","mm^2")</f>
        <v>in^2</v>
      </c>
      <c r="I57" s="26"/>
      <c r="J57" s="4" t="s">
        <v>6</v>
      </c>
      <c r="K57" s="4">
        <v>2</v>
      </c>
      <c r="L57" s="4" t="str">
        <f>IF(L53="English","in", "mm")</f>
        <v>in</v>
      </c>
      <c r="M57"/>
      <c r="N57" s="6" t="s">
        <v>61</v>
      </c>
      <c r="O57" s="13">
        <f>0.5*SQRT(2)*K56*(2*K58+K57)</f>
        <v>1.3258252147247767</v>
      </c>
      <c r="P57" s="12" t="str">
        <f>IF(L53="English","in^2","mm^2")</f>
        <v>in^2</v>
      </c>
    </row>
    <row r="58" spans="1:16" ht="15" customHeight="1" x14ac:dyDescent="0.25">
      <c r="B58" s="4" t="s">
        <v>5</v>
      </c>
      <c r="C58" s="4">
        <v>2</v>
      </c>
      <c r="D58" s="4" t="str">
        <f>IF(D53="English","in", "mm")</f>
        <v>in</v>
      </c>
      <c r="E58"/>
      <c r="F58" s="6" t="s">
        <v>12</v>
      </c>
      <c r="G58" s="18">
        <f>(C58^2)/(2*(C58+C57))</f>
        <v>0.5</v>
      </c>
      <c r="H58" s="6" t="str">
        <f>IF(D53="English","in", "mm")</f>
        <v>in</v>
      </c>
      <c r="I58" s="26"/>
      <c r="J58" s="4" t="s">
        <v>5</v>
      </c>
      <c r="K58" s="4">
        <v>2</v>
      </c>
      <c r="L58" s="4" t="str">
        <f>IF(L53="English","in", "mm")</f>
        <v>in</v>
      </c>
      <c r="M58"/>
      <c r="N58" s="6" t="s">
        <v>12</v>
      </c>
      <c r="O58" s="18">
        <f>(K58^2)/(2*(K58+K57))</f>
        <v>0.5</v>
      </c>
      <c r="P58" s="6" t="str">
        <f>IF(L53="English","in", "mm")</f>
        <v>in</v>
      </c>
    </row>
    <row r="59" spans="1:16" ht="15" customHeight="1" x14ac:dyDescent="0.25">
      <c r="B59" s="6" t="s">
        <v>59</v>
      </c>
      <c r="C59" s="6">
        <f>SQRT((C58-G58)^2 + (G59)^2)</f>
        <v>1.5811388300841898</v>
      </c>
      <c r="D59" s="6" t="str">
        <f>IF(D53="English","in", "mm")</f>
        <v>in</v>
      </c>
      <c r="E59"/>
      <c r="F59" s="6" t="s">
        <v>13</v>
      </c>
      <c r="G59" s="18">
        <f>(C57^2)/(2*(C58+C57))</f>
        <v>0.5</v>
      </c>
      <c r="H59" s="6" t="str">
        <f>IF(D53="English","in", "mm")</f>
        <v>in</v>
      </c>
      <c r="I59" s="26"/>
      <c r="J59" s="6" t="s">
        <v>59</v>
      </c>
      <c r="K59" s="6">
        <f>SQRT((K58-O58)^2 + (O59)^2)</f>
        <v>1.8027756377319946</v>
      </c>
      <c r="L59" s="6" t="str">
        <f>IF(L53="English","in", "mm")</f>
        <v>in</v>
      </c>
      <c r="M59"/>
      <c r="N59" s="6" t="s">
        <v>13</v>
      </c>
      <c r="O59" s="18">
        <f>K57/2</f>
        <v>1</v>
      </c>
      <c r="P59" s="6" t="str">
        <f>IF(L53="English","in", "mm")</f>
        <v>in</v>
      </c>
    </row>
    <row r="60" spans="1:16" ht="15" customHeight="1" x14ac:dyDescent="0.25">
      <c r="B60" s="6" t="s">
        <v>60</v>
      </c>
      <c r="C60" s="6">
        <f>SQRT((G58)^2 + (C57-G59)^2)</f>
        <v>1.5811388300841898</v>
      </c>
      <c r="D60" s="6" t="str">
        <f>IF(D53="English","in", "mm")</f>
        <v>in</v>
      </c>
      <c r="F60" s="6" t="s">
        <v>14</v>
      </c>
      <c r="G60" s="25">
        <f>((C58+C57)^4 - 6*(C58^2)*(C57^2))/(12*(C58+C57))</f>
        <v>3.3333333333333335</v>
      </c>
      <c r="H60" s="6" t="str">
        <f>IF(D53="English","in^3", "mm^3")</f>
        <v>in^3</v>
      </c>
      <c r="I60" s="26"/>
      <c r="J60" s="6" t="s">
        <v>60</v>
      </c>
      <c r="K60" s="6">
        <f>SQRT((O58)^2 + (K57-O59)^2)</f>
        <v>1.1180339887498949</v>
      </c>
      <c r="L60" s="6" t="str">
        <f>IF(L53="English","in", "mm")</f>
        <v>in</v>
      </c>
      <c r="N60" s="6" t="s">
        <v>14</v>
      </c>
      <c r="O60" s="25">
        <f>(8*K58^3 + 6*K58*K57^2 + K57^3)/(12) - (K58^4)/(2*K58+K57)</f>
        <v>7.3333333333333339</v>
      </c>
      <c r="P60" s="6" t="str">
        <f>IF(L53="English","in^3", "mm^3")</f>
        <v>in^3</v>
      </c>
    </row>
    <row r="61" spans="1:16" ht="15" customHeight="1" x14ac:dyDescent="0.25">
      <c r="B61" s="6" t="s">
        <v>58</v>
      </c>
      <c r="C61" s="6">
        <f>MAX(C59:C60)</f>
        <v>1.5811388300841898</v>
      </c>
      <c r="D61" s="6" t="str">
        <f>IF(D53="English","in", "mm")</f>
        <v>in</v>
      </c>
      <c r="F61" s="6" t="s">
        <v>16</v>
      </c>
      <c r="G61" s="25">
        <f>G56*G60</f>
        <v>0.73656956373598703</v>
      </c>
      <c r="H61" s="6" t="str">
        <f>IF(D53="English","in^4", "mm^4")</f>
        <v>in^4</v>
      </c>
      <c r="I61" s="26"/>
      <c r="J61" s="6" t="s">
        <v>58</v>
      </c>
      <c r="K61" s="6">
        <f>MAX(K59:K60)</f>
        <v>1.8027756377319946</v>
      </c>
      <c r="L61" s="6" t="str">
        <f>IF(L53="English","in", "mm")</f>
        <v>in</v>
      </c>
      <c r="N61" s="6" t="s">
        <v>16</v>
      </c>
      <c r="O61" s="25">
        <f>O56*O60</f>
        <v>1.6204530402191717</v>
      </c>
      <c r="P61" s="6" t="str">
        <f>IF(L53="English","in^4", "mm^4")</f>
        <v>in^4</v>
      </c>
    </row>
    <row r="62" spans="1:16" ht="15" customHeight="1" x14ac:dyDescent="0.25">
      <c r="F62" s="14" t="s">
        <v>27</v>
      </c>
      <c r="G62" s="29"/>
      <c r="H62" s="29"/>
      <c r="I62" s="26"/>
      <c r="N62" s="6" t="s">
        <v>76</v>
      </c>
      <c r="O62" s="25">
        <f>IF(K63,((K57^2)*(6*K58+K57))/(12), ((2*K58^3)/3) - 2*(K58^2)*O58 + (2*K58+K57)*O58^2)</f>
        <v>4.666666666666667</v>
      </c>
      <c r="P62" s="6" t="str">
        <f>IF(L53="English","in^3", "mm^3")</f>
        <v>in^3</v>
      </c>
    </row>
    <row r="63" spans="1:16" ht="15" customHeight="1" x14ac:dyDescent="0.25">
      <c r="B63" s="7" t="s">
        <v>50</v>
      </c>
      <c r="C63" s="8"/>
      <c r="D63" s="8"/>
      <c r="I63" s="26"/>
      <c r="J63" s="4" t="s">
        <v>25</v>
      </c>
      <c r="K63" s="17" t="b">
        <v>1</v>
      </c>
      <c r="N63" s="6" t="s">
        <v>74</v>
      </c>
      <c r="O63" s="25">
        <f>O56*O62</f>
        <v>1.0311973892303818</v>
      </c>
      <c r="P63" s="6" t="str">
        <f>IF(L53="English","in^4", "mm^4")</f>
        <v>in^4</v>
      </c>
    </row>
    <row r="64" spans="1:16" ht="15" customHeight="1" x14ac:dyDescent="0.25">
      <c r="B64" s="4" t="s">
        <v>8</v>
      </c>
      <c r="C64" s="32">
        <v>7</v>
      </c>
      <c r="D64" s="4" t="str">
        <f>IF(D53="English","psi","Pa")</f>
        <v>psi</v>
      </c>
      <c r="I64" s="26"/>
      <c r="J64" s="4" t="s">
        <v>26</v>
      </c>
      <c r="K64" s="20" t="b">
        <f>NOT(K63)</f>
        <v>0</v>
      </c>
      <c r="N64" s="6" t="s">
        <v>77</v>
      </c>
      <c r="O64" s="35">
        <f>IF(K63, ((2*K58^3)/3) - 2*(K58^2)*O58 + (2*K58+K57)*O58^2, ((K57^2)*(6*K58+K57))/(12))</f>
        <v>2.833333333333333</v>
      </c>
      <c r="P64" s="6" t="str">
        <f>IF(L53="English","in^3", "mm^3")</f>
        <v>in^3</v>
      </c>
    </row>
    <row r="65" spans="2:16" ht="15" customHeight="1" x14ac:dyDescent="0.25">
      <c r="B65" s="6" t="s">
        <v>18</v>
      </c>
      <c r="C65" s="16">
        <f>IF(D53="English",C64*G57, C64*(G57*10^-6))</f>
        <v>6.1871843353822911</v>
      </c>
      <c r="D65" s="6" t="str">
        <f>IF(D53="English","lbf", "N")</f>
        <v>lbf</v>
      </c>
      <c r="G65" s="1"/>
      <c r="H65" s="1"/>
      <c r="I65" s="26"/>
      <c r="N65" s="6" t="s">
        <v>75</v>
      </c>
      <c r="O65" s="25">
        <f>O56*O64</f>
        <v>0.62608412917558887</v>
      </c>
      <c r="P65" s="6" t="str">
        <f>IF(L53="English","in^4", "mm^4")</f>
        <v>in^4</v>
      </c>
    </row>
    <row r="66" spans="2:16" ht="15" customHeight="1" x14ac:dyDescent="0.25">
      <c r="G66" s="1"/>
      <c r="H66" s="1"/>
      <c r="I66" s="26"/>
    </row>
    <row r="67" spans="2:16" ht="15" customHeight="1" x14ac:dyDescent="0.25">
      <c r="G67" s="1"/>
      <c r="H67" s="1"/>
      <c r="I67" s="26"/>
      <c r="J67" s="7" t="s">
        <v>44</v>
      </c>
      <c r="K67" s="8"/>
      <c r="L67" s="8"/>
      <c r="N67" s="9" t="s">
        <v>39</v>
      </c>
      <c r="O67" s="9"/>
      <c r="P67" s="10"/>
    </row>
    <row r="68" spans="2:16" ht="15" customHeight="1" x14ac:dyDescent="0.25">
      <c r="G68" s="1"/>
      <c r="H68" s="1"/>
      <c r="I68" s="26"/>
      <c r="J68" s="4" t="s">
        <v>34</v>
      </c>
      <c r="K68" s="32">
        <v>7</v>
      </c>
      <c r="L68" s="4" t="str">
        <f>IF(L53="English","lbf", "N")</f>
        <v>lbf</v>
      </c>
      <c r="N68" s="6" t="s">
        <v>36</v>
      </c>
      <c r="O68" s="36">
        <f>K68/O57</f>
        <v>5.2797306328595548</v>
      </c>
      <c r="P68" s="6" t="str">
        <f>IF(L53="English","psi","Pa")</f>
        <v>psi</v>
      </c>
    </row>
    <row r="69" spans="2:16" ht="15" customHeight="1" x14ac:dyDescent="0.25">
      <c r="G69" s="1"/>
      <c r="H69" s="1"/>
      <c r="I69" s="26"/>
      <c r="J69" s="4" t="s">
        <v>35</v>
      </c>
      <c r="K69" s="32">
        <v>7</v>
      </c>
      <c r="L69" s="4" t="str">
        <f>IF(L53="English","lbf", "N")</f>
        <v>lbf</v>
      </c>
      <c r="N69" s="6" t="s">
        <v>37</v>
      </c>
      <c r="O69" s="36">
        <f>K69/O57</f>
        <v>5.2797306328595548</v>
      </c>
      <c r="P69" s="6" t="str">
        <f>IF(L53="English","psi","Pa")</f>
        <v>psi</v>
      </c>
    </row>
    <row r="70" spans="2:16" ht="15" customHeight="1" x14ac:dyDescent="0.25">
      <c r="G70" s="1"/>
      <c r="H70" s="1"/>
      <c r="I70" s="26"/>
      <c r="J70" s="4" t="s">
        <v>42</v>
      </c>
      <c r="K70" s="32">
        <v>7</v>
      </c>
      <c r="L70" s="4" t="str">
        <f>IF(L53="English","in-lbf", "Nm")</f>
        <v>in-lbf</v>
      </c>
      <c r="N70" s="6" t="s">
        <v>31</v>
      </c>
      <c r="O70" s="36">
        <f>((K70*K61)/O61)</f>
        <v>7.7875934389417063</v>
      </c>
      <c r="P70" s="6" t="str">
        <f>IF(L53="English","psi","Pa")</f>
        <v>psi</v>
      </c>
    </row>
    <row r="71" spans="2:16" ht="15" customHeight="1" x14ac:dyDescent="0.25">
      <c r="G71" s="1"/>
      <c r="H71" s="1"/>
      <c r="I71" s="26"/>
      <c r="J71" s="4" t="s">
        <v>41</v>
      </c>
      <c r="K71" s="32">
        <v>7</v>
      </c>
      <c r="L71" s="4" t="str">
        <f>IF(L53="English","in-lbf", "Nm")</f>
        <v>in-lbf</v>
      </c>
      <c r="N71" s="6" t="s">
        <v>32</v>
      </c>
      <c r="O71" s="36">
        <f>O70*((K57/2)/K61)</f>
        <v>4.3197796087032714</v>
      </c>
      <c r="P71" s="6" t="str">
        <f>IF(L53="English","psi","Pa")</f>
        <v>psi</v>
      </c>
    </row>
    <row r="72" spans="2:16" ht="15" customHeight="1" x14ac:dyDescent="0.25">
      <c r="G72" s="1"/>
      <c r="H72" s="1"/>
      <c r="I72" s="26"/>
      <c r="J72" s="4" t="s">
        <v>43</v>
      </c>
      <c r="K72" s="32">
        <v>7</v>
      </c>
      <c r="L72" s="4" t="str">
        <f>IF(L53="English","in-lbf", "Nm")</f>
        <v>in-lbf</v>
      </c>
      <c r="N72" s="6" t="s">
        <v>33</v>
      </c>
      <c r="O72" s="36">
        <f>O70*((K58/2)/K61)</f>
        <v>4.3197796087032714</v>
      </c>
      <c r="P72" s="6" t="str">
        <f>IF(L53="English","psi","Pa")</f>
        <v>psi</v>
      </c>
    </row>
    <row r="73" spans="2:16" ht="15" customHeight="1" x14ac:dyDescent="0.25">
      <c r="G73" s="1"/>
      <c r="H73" s="1"/>
      <c r="I73" s="26"/>
      <c r="N73" s="6" t="s">
        <v>51</v>
      </c>
      <c r="O73" s="36">
        <f>O68+O71</f>
        <v>9.5995102415628253</v>
      </c>
      <c r="P73" s="6" t="str">
        <f>IF(L53="English","psi","Pa")</f>
        <v>psi</v>
      </c>
    </row>
    <row r="74" spans="2:16" ht="15" customHeight="1" x14ac:dyDescent="0.25">
      <c r="G74" s="1"/>
      <c r="H74" s="1"/>
      <c r="I74" s="26"/>
      <c r="J74" s="7" t="s">
        <v>50</v>
      </c>
      <c r="K74" s="8"/>
      <c r="L74" s="8"/>
      <c r="N74" s="6" t="s">
        <v>52</v>
      </c>
      <c r="O74" s="36">
        <f>O68-O71</f>
        <v>0.95995102415628342</v>
      </c>
      <c r="P74" s="6" t="str">
        <f>IF(L53="English","psi","Pa")</f>
        <v>psi</v>
      </c>
    </row>
    <row r="75" spans="2:16" ht="15" customHeight="1" x14ac:dyDescent="0.25">
      <c r="G75" s="1"/>
      <c r="H75" s="1"/>
      <c r="I75" s="26"/>
      <c r="J75" s="4" t="s">
        <v>8</v>
      </c>
      <c r="K75" s="32">
        <v>7</v>
      </c>
      <c r="L75" s="4" t="str">
        <f>IF(L53="English","psi","Pa")</f>
        <v>psi</v>
      </c>
      <c r="N75" s="6" t="s">
        <v>53</v>
      </c>
      <c r="O75" s="36">
        <f>O69+O72</f>
        <v>9.5995102415628253</v>
      </c>
      <c r="P75" s="6" t="str">
        <f>IF(L53="English","psi","Pa")</f>
        <v>psi</v>
      </c>
    </row>
    <row r="76" spans="2:16" ht="15" customHeight="1" x14ac:dyDescent="0.25">
      <c r="G76" s="1"/>
      <c r="H76" s="1"/>
      <c r="I76" s="26"/>
      <c r="J76" s="6" t="s">
        <v>18</v>
      </c>
      <c r="K76" s="16">
        <f>IF(L53="English",K75*O57, K75*(O57*10^-6))</f>
        <v>9.2807765030734366</v>
      </c>
      <c r="L76" s="6" t="str">
        <f>IF(L53="English","lbf", "N")</f>
        <v>lbf</v>
      </c>
      <c r="N76" s="6" t="s">
        <v>54</v>
      </c>
      <c r="O76" s="36">
        <f>O69-O72</f>
        <v>0.95995102415628342</v>
      </c>
      <c r="P76" s="6" t="str">
        <f>IF(L53="English","psi","Pa")</f>
        <v>psi</v>
      </c>
    </row>
    <row r="77" spans="2:16" ht="15" customHeight="1" x14ac:dyDescent="0.25">
      <c r="G77" s="1"/>
      <c r="H77" s="1"/>
      <c r="I77" s="26"/>
      <c r="N77" s="6" t="s">
        <v>55</v>
      </c>
      <c r="O77" s="36">
        <f>MAX(ABS(O73),ABS(O74))</f>
        <v>9.5995102415628253</v>
      </c>
      <c r="P77" s="6" t="str">
        <f>IF(L53="English","psi","Pa")</f>
        <v>psi</v>
      </c>
    </row>
    <row r="78" spans="2:16" ht="15" customHeight="1" x14ac:dyDescent="0.25">
      <c r="F78"/>
      <c r="I78" s="26"/>
      <c r="N78" s="6" t="s">
        <v>56</v>
      </c>
      <c r="O78" s="36">
        <f>MAX(ABS(O75),ABS(O76))</f>
        <v>9.5995102415628253</v>
      </c>
      <c r="P78" s="6" t="str">
        <f>IF(L53="English","psi","Pa")</f>
        <v>psi</v>
      </c>
    </row>
    <row r="79" spans="2:16" ht="15" customHeight="1" x14ac:dyDescent="0.25">
      <c r="G79" s="1"/>
      <c r="H79" s="1"/>
      <c r="I79" s="26"/>
      <c r="N79" s="6" t="s">
        <v>47</v>
      </c>
      <c r="O79" s="36" cm="1">
        <f t="array" ref="O79">SQRT(SUM(O77:O78^2))</f>
        <v>13.575757575757574</v>
      </c>
      <c r="P79" s="6" t="str">
        <f>IF(L53="English","psi","Pa")</f>
        <v>psi</v>
      </c>
    </row>
    <row r="80" spans="2:16" ht="15" customHeight="1" x14ac:dyDescent="0.25">
      <c r="G80" s="1"/>
      <c r="H80" s="1"/>
      <c r="I80" s="26"/>
      <c r="N80"/>
    </row>
    <row r="81" spans="7:16" ht="15" customHeight="1" x14ac:dyDescent="0.25">
      <c r="G81" s="1"/>
      <c r="H81" s="1"/>
      <c r="I81" s="26"/>
      <c r="N81" s="9" t="s">
        <v>48</v>
      </c>
      <c r="O81" s="9"/>
      <c r="P81" s="10"/>
    </row>
    <row r="82" spans="7:16" ht="15" customHeight="1" x14ac:dyDescent="0.25">
      <c r="G82" s="1"/>
      <c r="H82" s="1"/>
      <c r="I82" s="26"/>
      <c r="N82" s="6" t="s">
        <v>45</v>
      </c>
      <c r="O82" s="36">
        <f>(K71*(K57-O59))/O63</f>
        <v>6.7882250993908562</v>
      </c>
      <c r="P82" s="6" t="str">
        <f>IF(L53="English","psi","Pa")</f>
        <v>psi</v>
      </c>
    </row>
    <row r="83" spans="7:16" ht="15" customHeight="1" x14ac:dyDescent="0.25">
      <c r="G83" s="1"/>
      <c r="H83" s="1"/>
      <c r="I83" s="26"/>
      <c r="N83" s="6" t="s">
        <v>46</v>
      </c>
      <c r="O83" s="36">
        <f>(K72*(K58-O58))/O65</f>
        <v>16.770909069083295</v>
      </c>
      <c r="P83" s="6" t="str">
        <f>IF(L53="English","psi","Pa")</f>
        <v>psi</v>
      </c>
    </row>
    <row r="84" spans="7:16" ht="15" customHeight="1" x14ac:dyDescent="0.25">
      <c r="G84" s="1"/>
      <c r="H84" s="1"/>
      <c r="I84" s="26"/>
      <c r="N84" s="6" t="s">
        <v>30</v>
      </c>
      <c r="O84" s="36" cm="1">
        <f t="array" ref="O84">SQRT(SUM(O82:O83^2))</f>
        <v>18.092633611596192</v>
      </c>
      <c r="P84" s="6" t="str">
        <f>IF(L53="English","psi","Pa")</f>
        <v>psi</v>
      </c>
    </row>
    <row r="85" spans="7:16" ht="15" customHeight="1" x14ac:dyDescent="0.25">
      <c r="G85" s="1"/>
      <c r="H85" s="1"/>
      <c r="I85" s="26"/>
    </row>
    <row r="86" spans="7:16" ht="15" customHeight="1" x14ac:dyDescent="0.25">
      <c r="I86" s="26"/>
      <c r="N86" s="9" t="s">
        <v>49</v>
      </c>
      <c r="O86" s="9"/>
      <c r="P86" s="10"/>
    </row>
    <row r="87" spans="7:16" ht="15" customHeight="1" x14ac:dyDescent="0.25">
      <c r="I87" s="26"/>
      <c r="N87" s="6" t="s">
        <v>40</v>
      </c>
      <c r="O87" s="36">
        <f>SQRT(SUM(O79^2,O84^2))</f>
        <v>22.619561993089064</v>
      </c>
      <c r="P87" s="6" t="str">
        <f>IF(L53="English","psi","Pa")</f>
        <v>psi</v>
      </c>
    </row>
    <row r="88" spans="7:16" ht="15" customHeight="1" x14ac:dyDescent="0.25">
      <c r="I88" s="26"/>
    </row>
    <row r="89" spans="7:16" ht="15" customHeight="1" x14ac:dyDescent="0.25">
      <c r="I89" s="26"/>
    </row>
    <row r="90" spans="7:16" ht="15" customHeight="1" x14ac:dyDescent="0.25">
      <c r="I90" s="26"/>
    </row>
    <row r="91" spans="7:16" ht="15" customHeight="1" x14ac:dyDescent="0.25">
      <c r="I91" s="26"/>
    </row>
    <row r="92" spans="7:16" ht="15" customHeight="1" x14ac:dyDescent="0.25">
      <c r="I92" s="26"/>
    </row>
    <row r="93" spans="7:16" ht="15" customHeight="1" x14ac:dyDescent="0.25">
      <c r="I93" s="26"/>
    </row>
    <row r="94" spans="7:16" ht="15" customHeight="1" x14ac:dyDescent="0.25">
      <c r="I94" s="26"/>
    </row>
    <row r="95" spans="7:16" ht="15" customHeight="1" x14ac:dyDescent="0.25">
      <c r="I95" s="26"/>
    </row>
    <row r="96" spans="7:16" ht="15" customHeight="1" x14ac:dyDescent="0.25">
      <c r="I96" s="26"/>
    </row>
    <row r="97" spans="2:16" ht="15" customHeight="1" x14ac:dyDescent="0.25">
      <c r="I97" s="26"/>
    </row>
    <row r="98" spans="2:16" ht="15" customHeight="1" x14ac:dyDescent="0.25">
      <c r="I98" s="26"/>
    </row>
    <row r="99" spans="2:16" ht="15" customHeight="1" x14ac:dyDescent="0.25">
      <c r="I99" s="26"/>
    </row>
    <row r="100" spans="2:16" ht="15" customHeight="1" x14ac:dyDescent="0.25">
      <c r="F100"/>
      <c r="I100" s="26"/>
      <c r="N100"/>
    </row>
    <row r="101" spans="2:16" ht="15" customHeight="1" x14ac:dyDescent="0.25">
      <c r="F101"/>
      <c r="I101" s="26"/>
      <c r="M101"/>
      <c r="N101"/>
    </row>
    <row r="102" spans="2:16" ht="15" customHeight="1" x14ac:dyDescent="0.25">
      <c r="B102" s="11"/>
      <c r="C102" s="11"/>
      <c r="D102" s="11"/>
      <c r="E102" s="11"/>
      <c r="F102" s="11"/>
      <c r="G102" s="26"/>
      <c r="H102" s="26"/>
      <c r="I102" s="26"/>
      <c r="J102" s="11"/>
      <c r="K102" s="11"/>
      <c r="L102" s="11"/>
      <c r="M102" s="11"/>
      <c r="N102" s="11"/>
      <c r="O102" s="26"/>
      <c r="P102" s="26"/>
    </row>
    <row r="103" spans="2:16" ht="15" customHeight="1" x14ac:dyDescent="0.25">
      <c r="B103" s="23" t="s">
        <v>28</v>
      </c>
      <c r="C103" s="24">
        <v>5</v>
      </c>
      <c r="D103" s="22"/>
      <c r="E103" s="22"/>
      <c r="F103" s="22"/>
      <c r="G103" s="22"/>
      <c r="H103" s="22"/>
      <c r="I103" s="26"/>
      <c r="J103" s="23" t="s">
        <v>28</v>
      </c>
      <c r="K103" s="24">
        <v>6</v>
      </c>
      <c r="L103" s="22"/>
      <c r="M103" s="22"/>
      <c r="N103" s="22"/>
      <c r="O103" s="22"/>
      <c r="P103" s="22"/>
    </row>
    <row r="104" spans="2:16" ht="15" customHeight="1" x14ac:dyDescent="0.25">
      <c r="B104" s="2" t="s">
        <v>0</v>
      </c>
      <c r="C104" s="3" t="s">
        <v>1</v>
      </c>
      <c r="D104" s="21" t="s">
        <v>4</v>
      </c>
      <c r="E104"/>
      <c r="F104" s="5" t="s">
        <v>3</v>
      </c>
      <c r="G104" s="6"/>
      <c r="H104" s="6"/>
      <c r="I104" s="26"/>
      <c r="J104" s="2" t="s">
        <v>0</v>
      </c>
      <c r="K104" s="3" t="s">
        <v>1</v>
      </c>
      <c r="L104" s="21" t="s">
        <v>4</v>
      </c>
      <c r="M104"/>
      <c r="N104" s="5" t="s">
        <v>3</v>
      </c>
      <c r="O104" s="6"/>
      <c r="P104" s="6"/>
    </row>
    <row r="105" spans="2:16" ht="15" customHeight="1" x14ac:dyDescent="0.25">
      <c r="I105" s="26"/>
    </row>
    <row r="106" spans="2:16" ht="15" customHeight="1" x14ac:dyDescent="0.25">
      <c r="B106" s="7" t="s">
        <v>10</v>
      </c>
      <c r="C106" s="8"/>
      <c r="D106" s="8"/>
      <c r="E106"/>
      <c r="F106" s="9" t="s">
        <v>38</v>
      </c>
      <c r="G106" s="9"/>
      <c r="H106" s="10"/>
      <c r="I106" s="26"/>
      <c r="J106" s="7" t="s">
        <v>10</v>
      </c>
      <c r="K106" s="8"/>
      <c r="L106" s="8"/>
      <c r="M106"/>
      <c r="N106" s="9" t="s">
        <v>38</v>
      </c>
      <c r="O106" s="9"/>
      <c r="P106" s="10"/>
    </row>
    <row r="107" spans="2:16" ht="15" customHeight="1" x14ac:dyDescent="0.25">
      <c r="B107" s="4" t="s">
        <v>20</v>
      </c>
      <c r="C107" s="4">
        <f>5/16</f>
        <v>0.3125</v>
      </c>
      <c r="D107" s="4" t="str">
        <f>IF(D104="English","in", "mm")</f>
        <v>in</v>
      </c>
      <c r="E107"/>
      <c r="F107" s="6" t="s">
        <v>15</v>
      </c>
      <c r="G107" s="13">
        <f>0.5*SQRT(2)*C107</f>
        <v>0.22097086912079611</v>
      </c>
      <c r="H107" s="6" t="str">
        <f>IF(D104="English","in", "mm")</f>
        <v>in</v>
      </c>
      <c r="I107" s="26"/>
      <c r="J107" s="4" t="s">
        <v>20</v>
      </c>
      <c r="K107" s="4">
        <v>0.25</v>
      </c>
      <c r="L107" s="4" t="str">
        <f>IF(L104="English","in", "mm")</f>
        <v>in</v>
      </c>
      <c r="M107"/>
      <c r="N107" s="6" t="s">
        <v>15</v>
      </c>
      <c r="O107" s="13">
        <f>0.5*SQRT(2)*K107</f>
        <v>0.17677669529663689</v>
      </c>
      <c r="P107" s="6" t="str">
        <f>IF(L104="English","in", "mm")</f>
        <v>in</v>
      </c>
    </row>
    <row r="108" spans="2:16" ht="15" customHeight="1" x14ac:dyDescent="0.25">
      <c r="B108" s="4" t="s">
        <v>6</v>
      </c>
      <c r="C108" s="4">
        <v>2</v>
      </c>
      <c r="D108" s="4" t="str">
        <f>IF(D104="English","in", "mm")</f>
        <v>in</v>
      </c>
      <c r="E108"/>
      <c r="F108" s="6" t="s">
        <v>61</v>
      </c>
      <c r="G108" s="13">
        <f>SQRT(2)*C107*(C109+C108)</f>
        <v>1.7677669529663689</v>
      </c>
      <c r="H108" s="12" t="str">
        <f>IF(D104="English","in^2","mm^2")</f>
        <v>in^2</v>
      </c>
      <c r="I108" s="26"/>
      <c r="J108" s="4" t="s">
        <v>62</v>
      </c>
      <c r="K108" s="4">
        <f>2/2</f>
        <v>1</v>
      </c>
      <c r="L108" s="4" t="str">
        <f>IF(L104="English","in", "mm")</f>
        <v>in</v>
      </c>
      <c r="M108"/>
      <c r="N108" s="6" t="s">
        <v>61</v>
      </c>
      <c r="O108" s="13">
        <f>SQRT(2)*PI()*K107*K108</f>
        <v>1.1107207345395915</v>
      </c>
      <c r="P108" s="12" t="str">
        <f>IF(L104="English","in^2","mm^2")</f>
        <v>in^2</v>
      </c>
    </row>
    <row r="109" spans="2:16" ht="15" customHeight="1" x14ac:dyDescent="0.25">
      <c r="B109" s="4" t="s">
        <v>5</v>
      </c>
      <c r="C109" s="4">
        <v>2</v>
      </c>
      <c r="D109" s="4" t="str">
        <f>IF(D104="English","in", "mm")</f>
        <v>in</v>
      </c>
      <c r="E109"/>
      <c r="F109" s="6" t="s">
        <v>12</v>
      </c>
      <c r="G109" s="18">
        <f>C109/2</f>
        <v>1</v>
      </c>
      <c r="H109" s="6" t="str">
        <f>IF(D104="English","in", "mm")</f>
        <v>in</v>
      </c>
      <c r="I109" s="26"/>
      <c r="M109"/>
      <c r="N109" s="6" t="s">
        <v>12</v>
      </c>
      <c r="O109" s="18"/>
      <c r="P109" s="6" t="str">
        <f>IF(L104="English","in", "mm")</f>
        <v>in</v>
      </c>
    </row>
    <row r="110" spans="2:16" ht="15" customHeight="1" x14ac:dyDescent="0.25">
      <c r="B110" s="6" t="s">
        <v>57</v>
      </c>
      <c r="C110" s="6">
        <f>SQRT((C109-G109)^2 + (C108-G110)^2)</f>
        <v>1.4142135623730951</v>
      </c>
      <c r="D110" s="6" t="str">
        <f>IF(D104="English","in", "mm")</f>
        <v>in</v>
      </c>
      <c r="E110"/>
      <c r="F110" s="6" t="s">
        <v>13</v>
      </c>
      <c r="G110" s="18">
        <f>C108/2</f>
        <v>1</v>
      </c>
      <c r="H110" s="6" t="str">
        <f>IF(D104="English","in", "mm")</f>
        <v>in</v>
      </c>
      <c r="I110" s="26"/>
      <c r="M110"/>
      <c r="N110" s="6" t="s">
        <v>13</v>
      </c>
      <c r="O110" s="18"/>
      <c r="P110" s="6" t="str">
        <f>IF(L104="English","in", "mm")</f>
        <v>in</v>
      </c>
    </row>
    <row r="111" spans="2:16" ht="15" customHeight="1" x14ac:dyDescent="0.25">
      <c r="F111" s="6" t="s">
        <v>14</v>
      </c>
      <c r="G111" s="25">
        <f>((C109+C108)^3)/(6)</f>
        <v>10.666666666666666</v>
      </c>
      <c r="H111" s="6" t="str">
        <f>IF(D104="English","in^3", "mm^3")</f>
        <v>in^3</v>
      </c>
      <c r="I111" s="26"/>
      <c r="N111" s="6" t="s">
        <v>14</v>
      </c>
      <c r="O111" s="25">
        <f>2*PI()*(K108^3)</f>
        <v>6.2831853071795862</v>
      </c>
      <c r="P111" s="6" t="str">
        <f>IF(L104="English","in^3", "mm^3")</f>
        <v>in^3</v>
      </c>
    </row>
    <row r="112" spans="2:16" ht="15" customHeight="1" x14ac:dyDescent="0.25">
      <c r="F112" s="6" t="s">
        <v>16</v>
      </c>
      <c r="G112" s="25">
        <f>G107*G111</f>
        <v>2.3570226039551585</v>
      </c>
      <c r="H112" s="6" t="str">
        <f>IF(D104="English","in^4", "mm^4")</f>
        <v>in^4</v>
      </c>
      <c r="I112" s="26"/>
      <c r="N112" s="6" t="s">
        <v>16</v>
      </c>
      <c r="O112" s="25">
        <f>O107*O111</f>
        <v>1.1107207345395915</v>
      </c>
      <c r="P112" s="6" t="str">
        <f>IF(L104="English","in^4", "mm^4")</f>
        <v>in^4</v>
      </c>
    </row>
    <row r="113" spans="2:19" ht="15" customHeight="1" x14ac:dyDescent="0.25">
      <c r="F113" s="6" t="s">
        <v>76</v>
      </c>
      <c r="G113" s="25">
        <f>IF(C114,((C108^2)*(3*C109+C108))/6, ((C109^2)*(3*C108+C109))/6)</f>
        <v>5.333333333333333</v>
      </c>
      <c r="H113" s="6" t="str">
        <f>IF(D104="English","in^3", "mm^3")</f>
        <v>in^3</v>
      </c>
      <c r="I113" s="26"/>
      <c r="N113" s="6" t="s">
        <v>21</v>
      </c>
      <c r="O113" s="25">
        <f>PI()*(K108)^3</f>
        <v>3.1415926535897931</v>
      </c>
      <c r="P113" s="6" t="str">
        <f>IF(L104="English","in^3", "mm^3")</f>
        <v>in^3</v>
      </c>
    </row>
    <row r="114" spans="2:19" ht="15" customHeight="1" x14ac:dyDescent="0.25">
      <c r="B114" s="4" t="s">
        <v>78</v>
      </c>
      <c r="C114" s="17" t="b">
        <v>1</v>
      </c>
      <c r="F114" s="6" t="s">
        <v>74</v>
      </c>
      <c r="G114" s="25">
        <f>G107*G113</f>
        <v>1.1785113019775793</v>
      </c>
      <c r="H114" s="6" t="str">
        <f>IF(D104="English","in^4", "mm^4")</f>
        <v>in^4</v>
      </c>
      <c r="I114" s="26"/>
      <c r="N114" s="6" t="s">
        <v>22</v>
      </c>
      <c r="O114" s="25">
        <f>O107*O113</f>
        <v>0.55536036726979576</v>
      </c>
      <c r="P114" s="6" t="str">
        <f>IF(L104="English","in^4", "mm^4")</f>
        <v>in^4</v>
      </c>
    </row>
    <row r="115" spans="2:19" ht="15" customHeight="1" x14ac:dyDescent="0.25">
      <c r="B115" s="4" t="s">
        <v>79</v>
      </c>
      <c r="C115" s="20" t="b">
        <f>NOT(C114)</f>
        <v>0</v>
      </c>
      <c r="F115" s="6" t="s">
        <v>77</v>
      </c>
      <c r="G115" s="25">
        <f>IF(C114, ((C109^2)*(3*C108+C109))/6, ((C108^2)*(3*C109+C108))/6)</f>
        <v>5.333333333333333</v>
      </c>
      <c r="H115" s="6" t="str">
        <f>IF(D104="English","in^3", "mm^3")</f>
        <v>in^3</v>
      </c>
      <c r="I115" s="26"/>
    </row>
    <row r="116" spans="2:19" ht="15" customHeight="1" x14ac:dyDescent="0.25">
      <c r="F116" s="6" t="s">
        <v>75</v>
      </c>
      <c r="G116" s="25">
        <f>G107*G115</f>
        <v>1.1785113019775793</v>
      </c>
      <c r="H116" s="6" t="str">
        <f>IF(D104="English","in^4", "mm^4")</f>
        <v>in^4</v>
      </c>
      <c r="I116" s="26"/>
      <c r="J116" s="7" t="s">
        <v>44</v>
      </c>
      <c r="K116" s="8"/>
      <c r="L116" s="8"/>
      <c r="N116" s="9" t="s">
        <v>39</v>
      </c>
      <c r="O116" s="9"/>
      <c r="P116" s="10"/>
    </row>
    <row r="117" spans="2:19" ht="15" customHeight="1" x14ac:dyDescent="0.25">
      <c r="I117" s="26"/>
      <c r="J117" s="4" t="s">
        <v>34</v>
      </c>
      <c r="K117" s="32"/>
      <c r="L117" s="4" t="str">
        <f>IF(L104="English","lbf", "N")</f>
        <v>lbf</v>
      </c>
      <c r="N117" s="6" t="s">
        <v>36</v>
      </c>
      <c r="O117" s="36">
        <f>K117/O108</f>
        <v>0</v>
      </c>
      <c r="P117" s="6" t="str">
        <f>IF(L104="English","psi","Pa")</f>
        <v>psi</v>
      </c>
    </row>
    <row r="118" spans="2:19" ht="15" customHeight="1" x14ac:dyDescent="0.25">
      <c r="B118" s="7" t="s">
        <v>44</v>
      </c>
      <c r="C118" s="8"/>
      <c r="D118" s="8"/>
      <c r="F118" s="9" t="s">
        <v>39</v>
      </c>
      <c r="G118" s="9"/>
      <c r="H118" s="10"/>
      <c r="I118" s="26"/>
      <c r="J118" s="4" t="s">
        <v>35</v>
      </c>
      <c r="K118" s="32">
        <v>-2000</v>
      </c>
      <c r="L118" s="4" t="str">
        <f>IF(L104="English","lbf", "N")</f>
        <v>lbf</v>
      </c>
      <c r="N118" s="6" t="s">
        <v>37</v>
      </c>
      <c r="O118" s="36">
        <f>K118/O108</f>
        <v>-1800.6326323142123</v>
      </c>
      <c r="P118" s="6" t="str">
        <f>IF(L104="English","psi","Pa")</f>
        <v>psi</v>
      </c>
    </row>
    <row r="119" spans="2:19" ht="15" customHeight="1" x14ac:dyDescent="0.25">
      <c r="B119" s="4" t="s">
        <v>34</v>
      </c>
      <c r="C119" s="32">
        <v>7</v>
      </c>
      <c r="D119" s="4" t="str">
        <f>IF(D104="English","lbf", "N")</f>
        <v>lbf</v>
      </c>
      <c r="F119" s="6" t="s">
        <v>36</v>
      </c>
      <c r="G119" s="36">
        <f>C119/G108</f>
        <v>3.9597979746446659</v>
      </c>
      <c r="H119" s="6" t="str">
        <f>IF(D104="English","psi","Pa")</f>
        <v>psi</v>
      </c>
      <c r="I119" s="26"/>
      <c r="J119" s="4" t="s">
        <v>42</v>
      </c>
      <c r="K119" s="32">
        <v>-15000</v>
      </c>
      <c r="L119" s="4" t="str">
        <f>IF(L104="English","in-lbf", "Nm")</f>
        <v>in-lbf</v>
      </c>
      <c r="N119" s="6" t="s">
        <v>31</v>
      </c>
      <c r="O119" s="36">
        <f>((K119*K108)/O112)</f>
        <v>-13504.744742356592</v>
      </c>
      <c r="P119" s="6" t="str">
        <f>IF(L104="English","psi","Pa")</f>
        <v>psi</v>
      </c>
    </row>
    <row r="120" spans="2:19" ht="15" customHeight="1" x14ac:dyDescent="0.25">
      <c r="B120" s="4" t="s">
        <v>35</v>
      </c>
      <c r="C120" s="32">
        <v>7</v>
      </c>
      <c r="D120" s="4" t="str">
        <f>IF(D104="English","lbf", "N")</f>
        <v>lbf</v>
      </c>
      <c r="F120" s="6" t="s">
        <v>37</v>
      </c>
      <c r="G120" s="36">
        <f>C120/G108</f>
        <v>3.9597979746446659</v>
      </c>
      <c r="H120" s="6" t="str">
        <f>IF(D104="English","psi","Pa")</f>
        <v>psi</v>
      </c>
      <c r="I120" s="26"/>
      <c r="J120" s="4" t="s">
        <v>41</v>
      </c>
      <c r="K120" s="32">
        <f>K118*6</f>
        <v>-12000</v>
      </c>
      <c r="L120" s="4" t="str">
        <f>IF(L104="English","in-lbf", "Nm")</f>
        <v>in-lbf</v>
      </c>
    </row>
    <row r="121" spans="2:19" ht="18" x14ac:dyDescent="0.25">
      <c r="B121" s="4" t="s">
        <v>42</v>
      </c>
      <c r="C121" s="32">
        <v>7</v>
      </c>
      <c r="D121" s="4" t="str">
        <f>IF(D104="English","in-lbf", "Nm")</f>
        <v>in-lbf</v>
      </c>
      <c r="F121" s="6" t="s">
        <v>31</v>
      </c>
      <c r="G121" s="36">
        <f>((C121*C110)/G112)</f>
        <v>4.2</v>
      </c>
      <c r="H121" s="6" t="str">
        <f>IF(D104="English","psi","Pa")</f>
        <v>psi</v>
      </c>
      <c r="I121" s="26"/>
      <c r="J121" s="4" t="s">
        <v>43</v>
      </c>
      <c r="K121" s="32"/>
      <c r="L121" s="4" t="str">
        <f>IF(L104="English","in-lbf", "Nm")</f>
        <v>in-lbf</v>
      </c>
      <c r="N121" s="9" t="s">
        <v>82</v>
      </c>
      <c r="O121" s="9"/>
      <c r="P121" s="10"/>
    </row>
    <row r="122" spans="2:19" ht="15" customHeight="1" x14ac:dyDescent="0.25">
      <c r="B122" s="4" t="s">
        <v>41</v>
      </c>
      <c r="C122" s="32">
        <v>7</v>
      </c>
      <c r="D122" s="4" t="str">
        <f>IF(D104="English","in-lbf", "Nm")</f>
        <v>in-lbf</v>
      </c>
      <c r="F122" s="6" t="s">
        <v>32</v>
      </c>
      <c r="G122" s="36">
        <f>G121*((C108/2)/C110)</f>
        <v>2.9698484809834995</v>
      </c>
      <c r="H122" s="6" t="str">
        <f>IF(D104="English","psi","Pa")</f>
        <v>psi</v>
      </c>
      <c r="I122" s="26"/>
      <c r="N122" s="6" t="s">
        <v>64</v>
      </c>
      <c r="O122" s="36">
        <f>O119</f>
        <v>-13504.744742356592</v>
      </c>
      <c r="P122" s="6" t="str">
        <f>IF(L104="English","psi","Pa")</f>
        <v>psi</v>
      </c>
    </row>
    <row r="123" spans="2:19" ht="15" customHeight="1" x14ac:dyDescent="0.25">
      <c r="B123" s="4" t="s">
        <v>43</v>
      </c>
      <c r="C123" s="32">
        <v>7</v>
      </c>
      <c r="D123" s="4" t="str">
        <f>IF(D104="English","in-lbf", "Nm")</f>
        <v>in-lbf</v>
      </c>
      <c r="F123" s="6" t="s">
        <v>33</v>
      </c>
      <c r="G123" s="36">
        <f>G121*((C109/2)/C110)</f>
        <v>2.9698484809834995</v>
      </c>
      <c r="H123" s="6" t="str">
        <f>IF(D104="English","psi","Pa")</f>
        <v>psi</v>
      </c>
      <c r="I123" s="26"/>
      <c r="J123" s="7" t="s">
        <v>50</v>
      </c>
      <c r="K123" s="8"/>
      <c r="L123" s="8"/>
      <c r="N123" s="6" t="s">
        <v>65</v>
      </c>
      <c r="O123" s="36">
        <v>0</v>
      </c>
      <c r="P123" s="6" t="str">
        <f>IF(L104="English","psi","Pa")</f>
        <v>psi</v>
      </c>
    </row>
    <row r="124" spans="2:19" ht="15" customHeight="1" x14ac:dyDescent="0.25">
      <c r="F124" s="6" t="s">
        <v>51</v>
      </c>
      <c r="G124" s="36">
        <f>G119+G122</f>
        <v>6.9296464556281654</v>
      </c>
      <c r="H124" s="6" t="str">
        <f>IF(D104="English","psi","Pa")</f>
        <v>psi</v>
      </c>
      <c r="I124" s="26"/>
      <c r="J124" s="4" t="s">
        <v>8</v>
      </c>
      <c r="K124" s="32">
        <v>7</v>
      </c>
      <c r="L124" s="4" t="str">
        <f>IF(L104="English","psi","Pa")</f>
        <v>psi</v>
      </c>
      <c r="N124" s="6" t="s">
        <v>66</v>
      </c>
      <c r="O124" s="36">
        <f>O117+O122</f>
        <v>-13504.744742356592</v>
      </c>
      <c r="P124" s="6" t="str">
        <f>IF(L104="English","psi","Pa")</f>
        <v>psi</v>
      </c>
    </row>
    <row r="125" spans="2:19" ht="15" customHeight="1" x14ac:dyDescent="0.25">
      <c r="B125" s="7" t="s">
        <v>50</v>
      </c>
      <c r="C125" s="8"/>
      <c r="D125" s="8"/>
      <c r="F125" s="6" t="s">
        <v>52</v>
      </c>
      <c r="G125" s="36">
        <f>G119-G122</f>
        <v>0.98994949366116636</v>
      </c>
      <c r="H125" s="6" t="str">
        <f>IF(D104="English","psi","Pa")</f>
        <v>psi</v>
      </c>
      <c r="I125" s="26"/>
      <c r="J125" s="6" t="s">
        <v>18</v>
      </c>
      <c r="K125" s="16">
        <f>IF(L104="English",K124*O108, K124*(O108*10^-6))</f>
        <v>7.7750451417771407</v>
      </c>
      <c r="L125" s="6" t="str">
        <f>IF(L104="English","lbf", "N")</f>
        <v>lbf</v>
      </c>
      <c r="N125" s="6" t="s">
        <v>80</v>
      </c>
      <c r="O125" s="36">
        <f>O117-O122</f>
        <v>13504.744742356592</v>
      </c>
      <c r="P125" s="6" t="str">
        <f>IF(L104="English","psi","Pa")</f>
        <v>psi</v>
      </c>
    </row>
    <row r="126" spans="2:19" ht="18" x14ac:dyDescent="0.25">
      <c r="B126" s="4" t="s">
        <v>8</v>
      </c>
      <c r="C126" s="32">
        <v>7</v>
      </c>
      <c r="D126" s="4" t="str">
        <f>IF(D104="English","psi","Pa")</f>
        <v>psi</v>
      </c>
      <c r="F126" s="6" t="s">
        <v>53</v>
      </c>
      <c r="G126" s="36">
        <f>G120+G123</f>
        <v>6.9296464556281654</v>
      </c>
      <c r="H126" s="6" t="str">
        <f>IF(D104="English","psi","Pa")</f>
        <v>psi</v>
      </c>
      <c r="I126" s="26"/>
      <c r="N126" s="6" t="s">
        <v>67</v>
      </c>
      <c r="O126" s="36">
        <f>O118+O123</f>
        <v>-1800.6326323142123</v>
      </c>
      <c r="P126" s="6" t="str">
        <f>IF(L104="English","psi","Pa")</f>
        <v>psi</v>
      </c>
    </row>
    <row r="127" spans="2:19" ht="15" customHeight="1" x14ac:dyDescent="0.25">
      <c r="B127" s="6" t="s">
        <v>18</v>
      </c>
      <c r="C127" s="16">
        <f>IF(D104="English",C126*G108, C126*(G108*10^-6))</f>
        <v>12.374368670764582</v>
      </c>
      <c r="D127" s="6" t="str">
        <f>IF(D104="English","lbf", "N")</f>
        <v>lbf</v>
      </c>
      <c r="F127" s="6" t="s">
        <v>54</v>
      </c>
      <c r="G127" s="36">
        <f>G120-G123</f>
        <v>0.98994949366116636</v>
      </c>
      <c r="H127" s="6" t="str">
        <f>IF(D104="English","psi","Pa")</f>
        <v>psi</v>
      </c>
      <c r="I127" s="26"/>
      <c r="N127" s="6" t="s">
        <v>81</v>
      </c>
      <c r="O127" s="36">
        <f>O118-O123</f>
        <v>-1800.6326323142123</v>
      </c>
      <c r="P127" s="6" t="str">
        <f>IF(L104="English","psi","Pa")</f>
        <v>psi</v>
      </c>
    </row>
    <row r="128" spans="2:19" ht="15" customHeight="1" x14ac:dyDescent="0.25">
      <c r="F128" s="6" t="s">
        <v>55</v>
      </c>
      <c r="G128" s="36">
        <f>MAX(ABS(G124),ABS(G125))</f>
        <v>6.9296464556281654</v>
      </c>
      <c r="H128" s="6" t="str">
        <f>IF(D104="English","psi","Pa")</f>
        <v>psi</v>
      </c>
      <c r="I128" s="26"/>
      <c r="N128" s="6" t="s">
        <v>98</v>
      </c>
      <c r="O128" s="36">
        <f>MAX(SQRT(O124^2 + O126^2),SQRT(O125^2 + O127^2))</f>
        <v>13624.258087424902</v>
      </c>
      <c r="P128" s="6" t="str">
        <f>IF(L104="English","psi","Pa")</f>
        <v>psi</v>
      </c>
      <c r="Q128" s="33" t="s">
        <v>97</v>
      </c>
      <c r="R128" s="33"/>
      <c r="S128" s="33"/>
    </row>
    <row r="129" spans="6:19" ht="15" customHeight="1" x14ac:dyDescent="0.25">
      <c r="F129" s="6" t="s">
        <v>56</v>
      </c>
      <c r="G129" s="36">
        <f>MAX(ABS(G126),ABS(G127))</f>
        <v>6.9296464556281654</v>
      </c>
      <c r="H129" s="6" t="str">
        <f>IF(D104="English","psi","Pa")</f>
        <v>psi</v>
      </c>
      <c r="I129" s="26"/>
      <c r="N129"/>
      <c r="Q129" s="33" t="s">
        <v>99</v>
      </c>
      <c r="R129" s="33"/>
      <c r="S129" s="33"/>
    </row>
    <row r="130" spans="6:19" ht="15" customHeight="1" x14ac:dyDescent="0.25">
      <c r="F130" s="6" t="s">
        <v>47</v>
      </c>
      <c r="G130" s="36" cm="1">
        <f t="array" ref="G130">SQRT(SUM(G128:G129^2))</f>
        <v>9.7999999999999989</v>
      </c>
      <c r="H130" s="6" t="str">
        <f>IF(D104="English","psi","Pa")</f>
        <v>psi</v>
      </c>
      <c r="I130" s="26"/>
      <c r="N130" s="9" t="s">
        <v>93</v>
      </c>
      <c r="O130" s="9"/>
      <c r="P130" s="10"/>
      <c r="Q130" s="33" t="s">
        <v>100</v>
      </c>
      <c r="R130" s="33"/>
      <c r="S130" s="33"/>
    </row>
    <row r="131" spans="6:19" ht="15" customHeight="1" x14ac:dyDescent="0.25">
      <c r="F131"/>
      <c r="I131" s="26"/>
      <c r="N131" s="6" t="s">
        <v>87</v>
      </c>
      <c r="O131" s="36">
        <v>0</v>
      </c>
      <c r="P131" s="6" t="str">
        <f>IF(L104="English","psi","Pa")</f>
        <v>psi</v>
      </c>
    </row>
    <row r="132" spans="6:19" ht="15" customHeight="1" x14ac:dyDescent="0.25">
      <c r="F132" s="9" t="s">
        <v>48</v>
      </c>
      <c r="G132" s="9"/>
      <c r="H132" s="10"/>
      <c r="I132" s="26"/>
      <c r="N132" s="6" t="s">
        <v>88</v>
      </c>
      <c r="O132" s="36">
        <f>O119</f>
        <v>-13504.744742356592</v>
      </c>
      <c r="P132" s="6" t="str">
        <f>IF(L104="English","psi","Pa")</f>
        <v>psi</v>
      </c>
    </row>
    <row r="133" spans="6:19" ht="15" customHeight="1" x14ac:dyDescent="0.25">
      <c r="F133" s="6" t="s">
        <v>45</v>
      </c>
      <c r="G133" s="36">
        <f>(C122*(C108-G110))/G114</f>
        <v>5.939696961966999</v>
      </c>
      <c r="H133" s="6" t="str">
        <f>IF(D104="English","psi","Pa")</f>
        <v>psi</v>
      </c>
      <c r="I133" s="26"/>
      <c r="N133" s="6" t="s">
        <v>83</v>
      </c>
      <c r="O133" s="36">
        <f>O117+O131</f>
        <v>0</v>
      </c>
      <c r="P133" s="6" t="str">
        <f>IF(L104="English","psi","Pa")</f>
        <v>psi</v>
      </c>
    </row>
    <row r="134" spans="6:19" ht="15" customHeight="1" x14ac:dyDescent="0.25">
      <c r="F134" s="6" t="s">
        <v>46</v>
      </c>
      <c r="G134" s="36">
        <f>(C123*(C109-G109))/G116</f>
        <v>5.939696961966999</v>
      </c>
      <c r="H134" s="6" t="str">
        <f>IF(D104="English","psi","Pa")</f>
        <v>psi</v>
      </c>
      <c r="I134" s="26"/>
      <c r="N134" s="6" t="s">
        <v>84</v>
      </c>
      <c r="O134" s="36">
        <f>O117-O131</f>
        <v>0</v>
      </c>
      <c r="P134" s="6" t="str">
        <f>IF(L104="English","psi","Pa")</f>
        <v>psi</v>
      </c>
    </row>
    <row r="135" spans="6:19" ht="15" customHeight="1" x14ac:dyDescent="0.25">
      <c r="F135" s="6" t="s">
        <v>30</v>
      </c>
      <c r="G135" s="36" cm="1">
        <f t="array" ref="G135">SQRT(SUM(G133:G134^2))</f>
        <v>8.4</v>
      </c>
      <c r="H135" s="6" t="str">
        <f>IF(D104="English","psi","Pa")</f>
        <v>psi</v>
      </c>
      <c r="I135" s="26"/>
      <c r="N135" s="6" t="s">
        <v>85</v>
      </c>
      <c r="O135" s="36">
        <f>O118+O132</f>
        <v>-15305.377374670805</v>
      </c>
      <c r="P135" s="6" t="str">
        <f>IF(L104="English","psi","Pa")</f>
        <v>psi</v>
      </c>
    </row>
    <row r="136" spans="6:19" ht="15" customHeight="1" x14ac:dyDescent="0.25">
      <c r="I136" s="26"/>
      <c r="N136" s="6" t="s">
        <v>86</v>
      </c>
      <c r="O136" s="36">
        <f>O118-O132</f>
        <v>11704.112110042379</v>
      </c>
      <c r="P136" s="6" t="str">
        <f>IF(L104="English","psi","Pa")</f>
        <v>psi</v>
      </c>
    </row>
    <row r="137" spans="6:19" ht="15" customHeight="1" x14ac:dyDescent="0.25">
      <c r="F137" s="9" t="s">
        <v>49</v>
      </c>
      <c r="G137" s="9"/>
      <c r="H137" s="10"/>
      <c r="I137" s="26"/>
      <c r="N137" s="6" t="s">
        <v>94</v>
      </c>
      <c r="O137" s="36">
        <f>MAX(SQRT(O133^2 + O135^2),SQRT(O134^2 + O136^2))</f>
        <v>15305.377374670805</v>
      </c>
      <c r="P137" s="6" t="str">
        <f>IF(L104="English","psi","Pa")</f>
        <v>psi</v>
      </c>
      <c r="Q137" s="33" t="s">
        <v>97</v>
      </c>
      <c r="R137" s="33"/>
      <c r="S137" s="33"/>
    </row>
    <row r="138" spans="6:19" ht="15" customHeight="1" x14ac:dyDescent="0.25">
      <c r="F138" s="6" t="s">
        <v>40</v>
      </c>
      <c r="G138" s="36">
        <f>SQRT(SUM(G130^2,G135^2))</f>
        <v>12.907362240210041</v>
      </c>
      <c r="H138" s="6" t="str">
        <f>IF(D104="English","psi","Pa")</f>
        <v>psi</v>
      </c>
      <c r="I138" s="26"/>
      <c r="O138" s="1"/>
      <c r="P138" s="1"/>
      <c r="Q138" s="33" t="s">
        <v>101</v>
      </c>
      <c r="R138" s="33"/>
      <c r="S138" s="33"/>
    </row>
    <row r="139" spans="6:19" ht="15" customHeight="1" x14ac:dyDescent="0.25">
      <c r="I139" s="26"/>
      <c r="N139" s="9" t="s">
        <v>63</v>
      </c>
      <c r="O139" s="9"/>
      <c r="P139" s="10"/>
      <c r="Q139" s="33" t="s">
        <v>102</v>
      </c>
      <c r="R139" s="33"/>
      <c r="S139" s="33"/>
    </row>
    <row r="140" spans="6:19" ht="15" customHeight="1" x14ac:dyDescent="0.25">
      <c r="I140" s="26"/>
      <c r="N140" s="6" t="s">
        <v>68</v>
      </c>
      <c r="O140" s="36">
        <f>(K120*K108)/O114</f>
        <v>-21607.591587770545</v>
      </c>
      <c r="P140" s="6" t="str">
        <f>IF(L104="English","psi","Pa")</f>
        <v>psi</v>
      </c>
      <c r="Q140" s="37" t="s">
        <v>103</v>
      </c>
      <c r="R140" s="37"/>
      <c r="S140" s="37"/>
    </row>
    <row r="141" spans="6:19" ht="15" customHeight="1" x14ac:dyDescent="0.25">
      <c r="I141" s="26"/>
      <c r="J141" s="34" t="s">
        <v>69</v>
      </c>
      <c r="K141" s="34"/>
      <c r="L141" s="34"/>
      <c r="Q141" s="37" t="s">
        <v>104</v>
      </c>
      <c r="R141" s="37"/>
      <c r="S141" s="37"/>
    </row>
    <row r="142" spans="6:19" ht="15" customHeight="1" x14ac:dyDescent="0.25">
      <c r="I142" s="26"/>
      <c r="J142" s="34" t="s">
        <v>70</v>
      </c>
      <c r="K142" s="34"/>
      <c r="L142" s="34"/>
      <c r="N142" s="9" t="s">
        <v>89</v>
      </c>
      <c r="O142" s="9"/>
      <c r="P142" s="10"/>
      <c r="Q142" s="37" t="s">
        <v>105</v>
      </c>
      <c r="R142" s="37"/>
      <c r="S142" s="37"/>
    </row>
    <row r="143" spans="6:19" ht="15" customHeight="1" x14ac:dyDescent="0.25">
      <c r="I143" s="26"/>
      <c r="J143" s="34" t="s">
        <v>71</v>
      </c>
      <c r="K143" s="34"/>
      <c r="L143" s="34"/>
      <c r="N143" s="6" t="s">
        <v>90</v>
      </c>
      <c r="O143" s="36">
        <f>(K121*K108)/O114</f>
        <v>0</v>
      </c>
      <c r="P143" s="6" t="str">
        <f>IF(L104="English","psi","Pa")</f>
        <v>psi</v>
      </c>
      <c r="Q143" s="33" t="s">
        <v>106</v>
      </c>
      <c r="R143" s="33"/>
      <c r="S143" s="33"/>
    </row>
    <row r="144" spans="6:19" ht="15" customHeight="1" x14ac:dyDescent="0.25">
      <c r="I144" s="26"/>
      <c r="J144" s="34" t="s">
        <v>72</v>
      </c>
      <c r="K144" s="34"/>
      <c r="L144" s="34"/>
      <c r="N144"/>
      <c r="Q144" s="33" t="s">
        <v>104</v>
      </c>
      <c r="R144" s="33"/>
      <c r="S144" s="33"/>
    </row>
    <row r="145" spans="9:19" ht="15" customHeight="1" x14ac:dyDescent="0.25">
      <c r="I145" s="26"/>
      <c r="J145" s="34" t="s">
        <v>73</v>
      </c>
      <c r="K145" s="34"/>
      <c r="L145" s="34"/>
      <c r="N145" s="9" t="s">
        <v>92</v>
      </c>
      <c r="O145" s="9"/>
      <c r="P145" s="10"/>
      <c r="Q145" s="33" t="s">
        <v>105</v>
      </c>
      <c r="R145" s="33"/>
      <c r="S145" s="33"/>
    </row>
    <row r="146" spans="9:19" ht="15" customHeight="1" x14ac:dyDescent="0.25">
      <c r="I146" s="26"/>
      <c r="N146" s="6" t="s">
        <v>91</v>
      </c>
      <c r="O146" s="36">
        <f>SQRT(SUM(O128^2,O140^2))</f>
        <v>25544.244413500572</v>
      </c>
      <c r="P146" s="6" t="str">
        <f>IF(L104="English","psi","Pa")</f>
        <v>psi</v>
      </c>
    </row>
    <row r="147" spans="9:19" ht="15" customHeight="1" x14ac:dyDescent="0.25">
      <c r="I147" s="26"/>
    </row>
    <row r="148" spans="9:19" ht="15" customHeight="1" x14ac:dyDescent="0.25">
      <c r="I148" s="26"/>
      <c r="N148" s="9" t="s">
        <v>95</v>
      </c>
      <c r="O148" s="9"/>
      <c r="P148" s="10"/>
    </row>
    <row r="149" spans="9:19" ht="15" customHeight="1" x14ac:dyDescent="0.25">
      <c r="I149" s="26"/>
      <c r="N149" s="6" t="s">
        <v>96</v>
      </c>
      <c r="O149" s="36">
        <f>SQRT(SUM(O137^2,O143^2))</f>
        <v>15305.377374670805</v>
      </c>
      <c r="P149" s="6" t="str">
        <f>IF(L104="English","psi","Pa")</f>
        <v>psi</v>
      </c>
    </row>
    <row r="150" spans="9:19" ht="15" customHeight="1" x14ac:dyDescent="0.25">
      <c r="I150" s="26"/>
    </row>
    <row r="151" spans="9:19" ht="15" customHeight="1" x14ac:dyDescent="0.25">
      <c r="I151" s="26"/>
    </row>
    <row r="152" spans="9:19" ht="15" customHeight="1" x14ac:dyDescent="0.25">
      <c r="I152" s="26"/>
    </row>
    <row r="153" spans="9:19" ht="15" customHeight="1" x14ac:dyDescent="0.25">
      <c r="I153" s="26"/>
    </row>
    <row r="154" spans="9:19" ht="15" customHeight="1" x14ac:dyDescent="0.25">
      <c r="I154" s="26"/>
    </row>
    <row r="155" spans="9:19" ht="15" customHeight="1" x14ac:dyDescent="0.25">
      <c r="I155" s="26"/>
    </row>
    <row r="156" spans="9:19" ht="15" customHeight="1" x14ac:dyDescent="0.25">
      <c r="I156" s="26"/>
    </row>
    <row r="157" spans="9:19" ht="15" customHeight="1" x14ac:dyDescent="0.25">
      <c r="I157" s="26"/>
    </row>
    <row r="158" spans="9:19" ht="15" customHeight="1" x14ac:dyDescent="0.25">
      <c r="I158" s="26"/>
    </row>
    <row r="159" spans="9:19" ht="15" customHeight="1" x14ac:dyDescent="0.25">
      <c r="I159" s="26"/>
    </row>
    <row r="160" spans="9:19" ht="15" customHeight="1" x14ac:dyDescent="0.25">
      <c r="I160" s="26"/>
    </row>
    <row r="161" spans="7:10" ht="15" customHeight="1" x14ac:dyDescent="0.25">
      <c r="I161" s="26"/>
    </row>
    <row r="162" spans="7:10" ht="15" customHeight="1" x14ac:dyDescent="0.25">
      <c r="I162" s="26"/>
    </row>
    <row r="165" spans="7:10" ht="15" customHeight="1" x14ac:dyDescent="0.25">
      <c r="G165" s="30"/>
      <c r="H165" s="30"/>
      <c r="I165" s="31" t="s">
        <v>29</v>
      </c>
      <c r="J165" s="19"/>
    </row>
  </sheetData>
  <dataValidations disablePrompts="1" count="1">
    <dataValidation type="list" allowBlank="1" showInputMessage="1" showErrorMessage="1" sqref="D3 L3 D53 L53 D104 L104" xr:uid="{57D15AC0-8B83-446E-A48C-ECAB61792B1B}">
      <formula1>"English, Metric"</formula1>
    </dataValidation>
  </dataValidations>
  <pageMargins left="0.7" right="0.7" top="0.75" bottom="0.75" header="0.3" footer="0.3"/>
  <pageSetup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C95B8E-6EBA-401A-9364-AA94A58A5408}">
  <sheetPr>
    <tabColor rgb="FF00B0F0"/>
  </sheetPr>
  <dimension ref="A2:AR165"/>
  <sheetViews>
    <sheetView topLeftCell="A106" zoomScale="85" zoomScaleNormal="85" workbookViewId="0">
      <selection activeCell="J114" sqref="J114"/>
    </sheetView>
  </sheetViews>
  <sheetFormatPr defaultRowHeight="15" customHeight="1" x14ac:dyDescent="0.25"/>
  <cols>
    <col min="2" max="2" width="30.7109375" style="1" customWidth="1"/>
    <col min="3" max="3" width="13" style="1" customWidth="1"/>
    <col min="4" max="4" width="10.140625" style="1" customWidth="1"/>
    <col min="5" max="5" width="9.140625" style="1" customWidth="1"/>
    <col min="6" max="6" width="34" style="1" bestFit="1" customWidth="1"/>
    <col min="7" max="7" width="20" customWidth="1"/>
    <col min="8" max="8" width="10.140625" customWidth="1"/>
    <col min="9" max="9" width="2.7109375" customWidth="1"/>
    <col min="10" max="10" width="30.7109375" style="1" customWidth="1"/>
    <col min="11" max="11" width="13" style="1" customWidth="1"/>
    <col min="12" max="12" width="10.140625" style="1" customWidth="1"/>
    <col min="13" max="13" width="9.140625" style="1"/>
    <col min="14" max="14" width="34" style="1" bestFit="1" customWidth="1"/>
    <col min="15" max="15" width="20" customWidth="1"/>
    <col min="16" max="16" width="10.140625" customWidth="1"/>
    <col min="18" max="31" width="9.140625" customWidth="1"/>
  </cols>
  <sheetData>
    <row r="2" spans="2:44" ht="15" customHeight="1" x14ac:dyDescent="0.25">
      <c r="B2" s="23" t="s">
        <v>28</v>
      </c>
      <c r="C2" s="24">
        <v>1</v>
      </c>
      <c r="D2" s="22"/>
      <c r="E2" s="22"/>
      <c r="F2" s="22"/>
      <c r="G2" s="22"/>
      <c r="H2" s="22"/>
      <c r="I2" s="26"/>
      <c r="J2" s="23" t="s">
        <v>28</v>
      </c>
      <c r="K2" s="24">
        <v>2</v>
      </c>
      <c r="L2" s="22"/>
      <c r="M2" s="22"/>
      <c r="N2" s="22"/>
      <c r="O2" s="22"/>
      <c r="P2" s="22"/>
      <c r="AA2" s="28"/>
      <c r="AB2" s="28"/>
      <c r="AC2" s="28"/>
      <c r="AD2" s="28"/>
      <c r="AE2" s="28"/>
      <c r="AF2" s="28"/>
      <c r="AG2" s="28"/>
      <c r="AH2" s="28"/>
      <c r="AI2" s="28"/>
      <c r="AJ2" s="28"/>
      <c r="AK2" s="28"/>
      <c r="AL2" s="28"/>
      <c r="AM2" s="28"/>
      <c r="AN2" s="28"/>
      <c r="AO2" s="28"/>
      <c r="AP2" s="28"/>
      <c r="AQ2" s="28"/>
      <c r="AR2" s="28"/>
    </row>
    <row r="3" spans="2:44" ht="15" customHeight="1" x14ac:dyDescent="0.25">
      <c r="B3" s="2" t="s">
        <v>0</v>
      </c>
      <c r="C3" s="3" t="s">
        <v>1</v>
      </c>
      <c r="D3" s="21" t="s">
        <v>4</v>
      </c>
      <c r="E3"/>
      <c r="F3" s="5" t="s">
        <v>3</v>
      </c>
      <c r="G3" s="6"/>
      <c r="H3" s="6"/>
      <c r="I3" s="26"/>
      <c r="J3" s="2" t="s">
        <v>0</v>
      </c>
      <c r="K3" s="3" t="s">
        <v>1</v>
      </c>
      <c r="L3" s="21" t="s">
        <v>4</v>
      </c>
      <c r="M3"/>
      <c r="N3" s="5" t="s">
        <v>3</v>
      </c>
      <c r="O3" s="6"/>
      <c r="P3" s="6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</row>
    <row r="4" spans="2:44" ht="15" customHeight="1" x14ac:dyDescent="0.25">
      <c r="I4" s="26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</row>
    <row r="5" spans="2:44" ht="15" customHeight="1" x14ac:dyDescent="0.25">
      <c r="B5" s="7" t="s">
        <v>10</v>
      </c>
      <c r="C5" s="8"/>
      <c r="D5" s="8"/>
      <c r="E5"/>
      <c r="F5" s="9" t="s">
        <v>38</v>
      </c>
      <c r="G5" s="9"/>
      <c r="H5" s="10"/>
      <c r="I5" s="26"/>
      <c r="J5" s="7" t="s">
        <v>10</v>
      </c>
      <c r="K5" s="8"/>
      <c r="L5" s="8"/>
      <c r="M5"/>
      <c r="N5" s="9" t="s">
        <v>38</v>
      </c>
      <c r="O5" s="9"/>
      <c r="P5" s="10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</row>
    <row r="6" spans="2:44" ht="15" customHeight="1" x14ac:dyDescent="0.25">
      <c r="B6" s="4" t="s">
        <v>20</v>
      </c>
      <c r="C6" s="4">
        <f>5/16</f>
        <v>0.3125</v>
      </c>
      <c r="D6" s="4" t="str">
        <f>IF(D3="English","in", "mm")</f>
        <v>in</v>
      </c>
      <c r="E6"/>
      <c r="F6" s="6" t="s">
        <v>15</v>
      </c>
      <c r="G6" s="13">
        <f>0.5*SQRT(2)*C6</f>
        <v>0.22097086912079611</v>
      </c>
      <c r="H6" s="6" t="str">
        <f>IF(D3="English","in", "mm")</f>
        <v>in</v>
      </c>
      <c r="I6" s="26"/>
      <c r="J6" s="4" t="s">
        <v>20</v>
      </c>
      <c r="K6" s="4">
        <f>5/16</f>
        <v>0.3125</v>
      </c>
      <c r="L6" s="4" t="str">
        <f>IF(L3="English","in", "mm")</f>
        <v>in</v>
      </c>
      <c r="M6"/>
      <c r="N6" s="6" t="s">
        <v>15</v>
      </c>
      <c r="O6" s="13">
        <f>0.5*SQRT(2)*K6</f>
        <v>0.22097086912079611</v>
      </c>
      <c r="P6" s="6" t="str">
        <f>IF(L3="English","in", "mm")</f>
        <v>in</v>
      </c>
    </row>
    <row r="7" spans="2:44" ht="15" customHeight="1" x14ac:dyDescent="0.25">
      <c r="B7" s="4" t="s">
        <v>6</v>
      </c>
      <c r="C7" s="4">
        <v>2</v>
      </c>
      <c r="D7" s="4" t="str">
        <f>IF(D3="English","in", "mm")</f>
        <v>in</v>
      </c>
      <c r="E7"/>
      <c r="F7" s="6" t="s">
        <v>61</v>
      </c>
      <c r="G7" s="13">
        <f>0.5*SQRT(2)*C6*C7</f>
        <v>0.44194173824159222</v>
      </c>
      <c r="H7" s="12" t="str">
        <f>IF(D3="English","in^2","mm^2")</f>
        <v>in^2</v>
      </c>
      <c r="I7" s="26"/>
      <c r="J7" s="4" t="s">
        <v>6</v>
      </c>
      <c r="K7" s="4">
        <v>2</v>
      </c>
      <c r="L7" s="4" t="str">
        <f>IF(L3="English","in", "mm")</f>
        <v>in</v>
      </c>
      <c r="M7"/>
      <c r="N7" s="6" t="s">
        <v>61</v>
      </c>
      <c r="O7" s="13">
        <f>SQRT(2)*K6*K7</f>
        <v>0.88388347648318444</v>
      </c>
      <c r="P7" s="12" t="str">
        <f>IF(L3="English","in^2","mm^2")</f>
        <v>in^2</v>
      </c>
    </row>
    <row r="8" spans="2:44" ht="15" customHeight="1" x14ac:dyDescent="0.25">
      <c r="B8" s="6" t="s">
        <v>5</v>
      </c>
      <c r="C8" s="6">
        <v>0</v>
      </c>
      <c r="D8" s="6" t="str">
        <f>IF(D3="English","in", "mm")</f>
        <v>in</v>
      </c>
      <c r="E8"/>
      <c r="F8" s="6" t="s">
        <v>12</v>
      </c>
      <c r="G8" s="18">
        <v>0</v>
      </c>
      <c r="H8" s="6" t="str">
        <f>IF(D3="English","in", "mm")</f>
        <v>in</v>
      </c>
      <c r="I8" s="26"/>
      <c r="J8" s="4" t="s">
        <v>5</v>
      </c>
      <c r="K8" s="4">
        <v>2</v>
      </c>
      <c r="L8" s="4" t="str">
        <f>IF(L3="English","in", "mm")</f>
        <v>in</v>
      </c>
      <c r="M8"/>
      <c r="N8" s="6" t="s">
        <v>12</v>
      </c>
      <c r="O8" s="18">
        <f>K8/2</f>
        <v>1</v>
      </c>
      <c r="P8" s="6" t="str">
        <f>IF(L3="English","in", "mm")</f>
        <v>in</v>
      </c>
    </row>
    <row r="9" spans="2:44" ht="15" customHeight="1" x14ac:dyDescent="0.25">
      <c r="B9" s="6" t="s">
        <v>57</v>
      </c>
      <c r="C9" s="6">
        <f>SQRT((C8-G8)^2 + (C7-G9)^2)</f>
        <v>1</v>
      </c>
      <c r="D9" s="6" t="str">
        <f>IF(D3="English","in", "mm")</f>
        <v>in</v>
      </c>
      <c r="E9"/>
      <c r="F9" s="6" t="s">
        <v>13</v>
      </c>
      <c r="G9" s="18">
        <f>C7/2</f>
        <v>1</v>
      </c>
      <c r="H9" s="6" t="str">
        <f>IF(D3="English","in", "mm")</f>
        <v>in</v>
      </c>
      <c r="I9" s="26"/>
      <c r="J9" s="6" t="s">
        <v>57</v>
      </c>
      <c r="K9" s="6">
        <f>SQRT((K8-O8)^2 + (K7-O9)^2)</f>
        <v>1.4142135623730951</v>
      </c>
      <c r="L9" s="6" t="str">
        <f>IF(L3="English","in", "mm")</f>
        <v>in</v>
      </c>
      <c r="M9"/>
      <c r="N9" s="6" t="s">
        <v>13</v>
      </c>
      <c r="O9" s="18">
        <f>K7/2</f>
        <v>1</v>
      </c>
      <c r="P9" s="6" t="str">
        <f>IF(L3="English","in", "mm")</f>
        <v>in</v>
      </c>
    </row>
    <row r="10" spans="2:44" ht="15" customHeight="1" x14ac:dyDescent="0.25">
      <c r="F10" s="6" t="s">
        <v>14</v>
      </c>
      <c r="G10" s="25">
        <f>(C7^3)/12</f>
        <v>0.66666666666666663</v>
      </c>
      <c r="H10" s="6" t="str">
        <f>IF(D3="English","in^3", "mm^3")</f>
        <v>in^3</v>
      </c>
      <c r="I10" s="26"/>
      <c r="N10" s="6" t="s">
        <v>14</v>
      </c>
      <c r="O10" s="25">
        <f>(K7*(3*(K8^2)+(K7^2)))/(6)</f>
        <v>5.333333333333333</v>
      </c>
      <c r="P10" s="6" t="str">
        <f>IF(L3="English","in^3", "mm^3")</f>
        <v>in^3</v>
      </c>
    </row>
    <row r="11" spans="2:44" ht="15" customHeight="1" x14ac:dyDescent="0.25">
      <c r="F11" s="6" t="s">
        <v>16</v>
      </c>
      <c r="G11" s="25">
        <f>G6*G10</f>
        <v>0.14731391274719741</v>
      </c>
      <c r="H11" s="6" t="str">
        <f>IF(D3="English","in^4", "mm^4")</f>
        <v>in^4</v>
      </c>
      <c r="I11" s="26"/>
      <c r="N11" s="6" t="s">
        <v>16</v>
      </c>
      <c r="O11" s="25">
        <f>O6*O10</f>
        <v>1.1785113019775793</v>
      </c>
      <c r="P11" s="6" t="str">
        <f>IF(L3="English","in^4", "mm^4")</f>
        <v>in^4</v>
      </c>
    </row>
    <row r="12" spans="2:44" ht="15" customHeight="1" x14ac:dyDescent="0.25">
      <c r="F12" s="6" t="s">
        <v>76</v>
      </c>
      <c r="G12" s="25">
        <f>(C7^3)/12</f>
        <v>0.66666666666666663</v>
      </c>
      <c r="H12" s="6" t="str">
        <f>IF(D3="English","in^3", "mm^3")</f>
        <v>in^3</v>
      </c>
      <c r="I12" s="26"/>
      <c r="N12" s="6" t="s">
        <v>76</v>
      </c>
      <c r="O12" s="25">
        <f>IF(K13,(K7^3)/6,(K7*(K8^2))/2)</f>
        <v>1.3333333333333333</v>
      </c>
      <c r="P12" s="6" t="str">
        <f>IF(L3="English","in^3", "mm^3")</f>
        <v>in^3</v>
      </c>
    </row>
    <row r="13" spans="2:44" ht="15" customHeight="1" x14ac:dyDescent="0.25">
      <c r="F13" s="6" t="s">
        <v>74</v>
      </c>
      <c r="G13" s="25">
        <f>G6*G12</f>
        <v>0.14731391274719741</v>
      </c>
      <c r="H13" s="6" t="str">
        <f>IF(D3="English","in^4", "mm^4")</f>
        <v>in^4</v>
      </c>
      <c r="I13" s="26"/>
      <c r="J13" s="4" t="s">
        <v>23</v>
      </c>
      <c r="K13" s="17" t="b">
        <v>1</v>
      </c>
      <c r="N13" s="6" t="s">
        <v>74</v>
      </c>
      <c r="O13" s="25">
        <f>O6*O12</f>
        <v>0.29462782549439481</v>
      </c>
      <c r="P13" s="6" t="str">
        <f>IF(L3="English","in^4", "mm^4")</f>
        <v>in^4</v>
      </c>
    </row>
    <row r="14" spans="2:44" ht="15" customHeight="1" x14ac:dyDescent="0.25">
      <c r="F14" s="6" t="s">
        <v>77</v>
      </c>
      <c r="G14" s="25">
        <v>0</v>
      </c>
      <c r="H14" s="6" t="str">
        <f>IF(D3="English","in^3", "mm^3")</f>
        <v>in^3</v>
      </c>
      <c r="I14" s="26"/>
      <c r="J14" s="4" t="s">
        <v>24</v>
      </c>
      <c r="K14" s="20" t="b">
        <f>NOT(K13)</f>
        <v>0</v>
      </c>
      <c r="N14" s="6" t="s">
        <v>77</v>
      </c>
      <c r="O14" s="25">
        <f>IF(K13,(K7*(K8^2))/2,(K7^3)/6)</f>
        <v>4</v>
      </c>
      <c r="P14" s="6" t="str">
        <f>IF(L3="English","in^3", "mm^3")</f>
        <v>in^3</v>
      </c>
    </row>
    <row r="15" spans="2:44" ht="15" customHeight="1" x14ac:dyDescent="0.25">
      <c r="F15" s="6" t="s">
        <v>75</v>
      </c>
      <c r="G15" s="25">
        <f>G6*G14</f>
        <v>0</v>
      </c>
      <c r="H15" s="6" t="str">
        <f>IF(D3="English","in^4", "mm^4")</f>
        <v>in^4</v>
      </c>
      <c r="I15" s="26"/>
      <c r="N15" s="6" t="s">
        <v>75</v>
      </c>
      <c r="O15" s="25">
        <f>O6*O14</f>
        <v>0.88388347648318444</v>
      </c>
      <c r="P15" s="6" t="str">
        <f>IF(L3="English","in^4", "mm^4")</f>
        <v>in^4</v>
      </c>
    </row>
    <row r="16" spans="2:44" ht="15" customHeight="1" x14ac:dyDescent="0.25">
      <c r="I16" s="26"/>
    </row>
    <row r="17" spans="2:16" ht="15" customHeight="1" x14ac:dyDescent="0.25">
      <c r="B17" s="7" t="s">
        <v>44</v>
      </c>
      <c r="C17" s="8"/>
      <c r="D17" s="8"/>
      <c r="F17" s="9" t="s">
        <v>39</v>
      </c>
      <c r="G17" s="9"/>
      <c r="H17" s="10"/>
      <c r="I17" s="26"/>
      <c r="J17" s="7" t="s">
        <v>44</v>
      </c>
      <c r="K17" s="8"/>
      <c r="L17" s="8"/>
      <c r="N17" s="9" t="s">
        <v>39</v>
      </c>
      <c r="O17" s="9"/>
      <c r="P17" s="10"/>
    </row>
    <row r="18" spans="2:16" ht="15" customHeight="1" x14ac:dyDescent="0.25">
      <c r="B18" s="4" t="s">
        <v>34</v>
      </c>
      <c r="C18" s="32">
        <v>7</v>
      </c>
      <c r="D18" s="4" t="str">
        <f>IF(D3="English","lbf", "N")</f>
        <v>lbf</v>
      </c>
      <c r="F18" s="6" t="s">
        <v>36</v>
      </c>
      <c r="G18" s="36">
        <f>C18/G7</f>
        <v>15.839191898578663</v>
      </c>
      <c r="H18" s="6" t="str">
        <f>IF(D3="English","psi","Pa")</f>
        <v>psi</v>
      </c>
      <c r="I18" s="26"/>
      <c r="J18" s="4" t="s">
        <v>34</v>
      </c>
      <c r="K18" s="32">
        <v>7</v>
      </c>
      <c r="L18" s="4" t="str">
        <f>IF(L3="English","lbf", "N")</f>
        <v>lbf</v>
      </c>
      <c r="N18" s="6" t="s">
        <v>36</v>
      </c>
      <c r="O18" s="36">
        <f>K18/O7</f>
        <v>7.9195959492893317</v>
      </c>
      <c r="P18" s="6" t="str">
        <f>IF(L3="English","psi","Pa")</f>
        <v>psi</v>
      </c>
    </row>
    <row r="19" spans="2:16" ht="15" customHeight="1" x14ac:dyDescent="0.25">
      <c r="B19" s="4" t="s">
        <v>35</v>
      </c>
      <c r="C19" s="32">
        <v>7</v>
      </c>
      <c r="D19" s="4" t="str">
        <f>IF(D3="English","lbf", "N")</f>
        <v>lbf</v>
      </c>
      <c r="F19" s="6" t="s">
        <v>37</v>
      </c>
      <c r="G19" s="36">
        <f>C19/G7</f>
        <v>15.839191898578663</v>
      </c>
      <c r="H19" s="6" t="str">
        <f>IF(D3="English","psi","Pa")</f>
        <v>psi</v>
      </c>
      <c r="I19" s="26"/>
      <c r="J19" s="4" t="s">
        <v>35</v>
      </c>
      <c r="K19" s="32">
        <v>7</v>
      </c>
      <c r="L19" s="4" t="str">
        <f>IF(L3="English","lbf", "N")</f>
        <v>lbf</v>
      </c>
      <c r="N19" s="6" t="s">
        <v>37</v>
      </c>
      <c r="O19" s="36">
        <f>K19/O7</f>
        <v>7.9195959492893317</v>
      </c>
      <c r="P19" s="6" t="str">
        <f>IF(L3="English","psi","Pa")</f>
        <v>psi</v>
      </c>
    </row>
    <row r="20" spans="2:16" ht="15" customHeight="1" x14ac:dyDescent="0.25">
      <c r="B20" s="4" t="s">
        <v>42</v>
      </c>
      <c r="C20" s="32">
        <v>7</v>
      </c>
      <c r="D20" s="4" t="str">
        <f>IF(D3="English","in-lbf", "Nm")</f>
        <v>in-lbf</v>
      </c>
      <c r="F20" s="6" t="s">
        <v>31</v>
      </c>
      <c r="G20" s="36">
        <f>((C20*C9)/G11)</f>
        <v>47.517575695735992</v>
      </c>
      <c r="H20" s="6" t="str">
        <f>IF(D3="English","psi","Pa")</f>
        <v>psi</v>
      </c>
      <c r="I20" s="26"/>
      <c r="J20" s="4" t="s">
        <v>42</v>
      </c>
      <c r="K20" s="32">
        <v>7</v>
      </c>
      <c r="L20" s="4" t="str">
        <f>IF(L3="English","in-lbf", "Nm")</f>
        <v>in-lbf</v>
      </c>
      <c r="N20" s="6" t="s">
        <v>31</v>
      </c>
      <c r="O20" s="36">
        <f>((K20*K9)/O11)</f>
        <v>8.4</v>
      </c>
      <c r="P20" s="6" t="str">
        <f>IF(L3="English","psi","Pa")</f>
        <v>psi</v>
      </c>
    </row>
    <row r="21" spans="2:16" ht="15" customHeight="1" x14ac:dyDescent="0.25">
      <c r="B21" s="4" t="s">
        <v>41</v>
      </c>
      <c r="C21" s="32">
        <v>7</v>
      </c>
      <c r="D21" s="4" t="str">
        <f>IF(D3="English","in-lbf", "Nm")</f>
        <v>in-lbf</v>
      </c>
      <c r="F21" s="6" t="s">
        <v>32</v>
      </c>
      <c r="G21" s="36">
        <f>G20*((C7/2)/C9)</f>
        <v>47.517575695735992</v>
      </c>
      <c r="H21" s="6" t="str">
        <f>IF(D3="English","psi","Pa")</f>
        <v>psi</v>
      </c>
      <c r="I21" s="26"/>
      <c r="J21" s="4" t="s">
        <v>41</v>
      </c>
      <c r="K21" s="32">
        <v>7</v>
      </c>
      <c r="L21" s="4" t="str">
        <f>IF(L3="English","in-lbf", "Nm")</f>
        <v>in-lbf</v>
      </c>
      <c r="N21" s="6" t="s">
        <v>32</v>
      </c>
      <c r="O21" s="36">
        <f>O20*((K7/2)/K9)</f>
        <v>5.939696961966999</v>
      </c>
      <c r="P21" s="6" t="str">
        <f>IF(L3="English","psi","Pa")</f>
        <v>psi</v>
      </c>
    </row>
    <row r="22" spans="2:16" ht="15" customHeight="1" x14ac:dyDescent="0.25">
      <c r="B22" s="4" t="s">
        <v>43</v>
      </c>
      <c r="C22" s="32">
        <v>7</v>
      </c>
      <c r="D22" s="4" t="str">
        <f>IF(D3="English","in-lbf", "Nm")</f>
        <v>in-lbf</v>
      </c>
      <c r="F22" s="6" t="s">
        <v>33</v>
      </c>
      <c r="G22" s="36">
        <f>G20*((C8/2)/C9)</f>
        <v>0</v>
      </c>
      <c r="H22" s="6" t="str">
        <f>IF(D3="English","psi","Pa")</f>
        <v>psi</v>
      </c>
      <c r="I22" s="26"/>
      <c r="J22" s="4" t="s">
        <v>43</v>
      </c>
      <c r="K22" s="32">
        <v>7</v>
      </c>
      <c r="L22" s="4" t="str">
        <f>IF(L3="English","in-lbf", "Nm")</f>
        <v>in-lbf</v>
      </c>
      <c r="N22" s="6" t="s">
        <v>33</v>
      </c>
      <c r="O22" s="36">
        <f>O20*((K8/2)/K9)</f>
        <v>5.939696961966999</v>
      </c>
      <c r="P22" s="6" t="str">
        <f>IF(L3="English","psi","Pa")</f>
        <v>psi</v>
      </c>
    </row>
    <row r="23" spans="2:16" ht="15" customHeight="1" x14ac:dyDescent="0.25">
      <c r="F23" s="6" t="s">
        <v>51</v>
      </c>
      <c r="G23" s="36">
        <f>G18+G21</f>
        <v>63.356767594314654</v>
      </c>
      <c r="H23" s="6" t="str">
        <f>IF(D3="English","psi","Pa")</f>
        <v>psi</v>
      </c>
      <c r="I23" s="26"/>
      <c r="N23" s="6" t="s">
        <v>51</v>
      </c>
      <c r="O23" s="36">
        <f>O18+O21</f>
        <v>13.859292911256331</v>
      </c>
      <c r="P23" s="6" t="str">
        <f>IF(L3="English","psi","Pa")</f>
        <v>psi</v>
      </c>
    </row>
    <row r="24" spans="2:16" ht="15" customHeight="1" x14ac:dyDescent="0.25">
      <c r="B24" s="7" t="s">
        <v>50</v>
      </c>
      <c r="C24" s="8"/>
      <c r="D24" s="8"/>
      <c r="F24" s="6" t="s">
        <v>52</v>
      </c>
      <c r="G24" s="36">
        <f>G18-G21</f>
        <v>-31.678383797157331</v>
      </c>
      <c r="H24" s="6" t="str">
        <f>IF(D3="English","psi","Pa")</f>
        <v>psi</v>
      </c>
      <c r="I24" s="26"/>
      <c r="J24" s="7" t="s">
        <v>50</v>
      </c>
      <c r="K24" s="8"/>
      <c r="L24" s="8"/>
      <c r="N24" s="6" t="s">
        <v>52</v>
      </c>
      <c r="O24" s="36">
        <f>O18-O21</f>
        <v>1.9798989873223327</v>
      </c>
      <c r="P24" s="6" t="str">
        <f>IF(L3="English","psi","Pa")</f>
        <v>psi</v>
      </c>
    </row>
    <row r="25" spans="2:16" ht="15" customHeight="1" x14ac:dyDescent="0.25">
      <c r="B25" s="4" t="s">
        <v>8</v>
      </c>
      <c r="C25" s="32">
        <v>7</v>
      </c>
      <c r="D25" s="4" t="str">
        <f>IF(D3="English","psi","Pa")</f>
        <v>psi</v>
      </c>
      <c r="F25" s="6" t="s">
        <v>53</v>
      </c>
      <c r="G25" s="36">
        <f>G19+G22</f>
        <v>15.839191898578663</v>
      </c>
      <c r="H25" s="6" t="str">
        <f>IF(D3="English","psi","Pa")</f>
        <v>psi</v>
      </c>
      <c r="I25" s="26"/>
      <c r="J25" s="4" t="s">
        <v>8</v>
      </c>
      <c r="K25" s="32">
        <v>7</v>
      </c>
      <c r="L25" s="4" t="str">
        <f>IF(L3="English","psi","Pa")</f>
        <v>psi</v>
      </c>
      <c r="N25" s="6" t="s">
        <v>53</v>
      </c>
      <c r="O25" s="36">
        <f>O19+O22</f>
        <v>13.859292911256331</v>
      </c>
      <c r="P25" s="6" t="str">
        <f>IF(L3="English","psi","Pa")</f>
        <v>psi</v>
      </c>
    </row>
    <row r="26" spans="2:16" ht="15" customHeight="1" x14ac:dyDescent="0.25">
      <c r="B26" s="6" t="s">
        <v>18</v>
      </c>
      <c r="C26" s="16">
        <f>IF(D3="English",C25*G7, C25*(G7*10^-6))</f>
        <v>3.0935921676911455</v>
      </c>
      <c r="D26" s="6" t="str">
        <f>IF(D3="English","lbf", "N")</f>
        <v>lbf</v>
      </c>
      <c r="F26" s="6" t="s">
        <v>54</v>
      </c>
      <c r="G26" s="36">
        <f>G19-G22</f>
        <v>15.839191898578663</v>
      </c>
      <c r="H26" s="6" t="str">
        <f>IF(D3="English","psi","Pa")</f>
        <v>psi</v>
      </c>
      <c r="I26" s="26"/>
      <c r="J26" s="6" t="s">
        <v>18</v>
      </c>
      <c r="K26" s="16">
        <f>IF(L3="English",K25*O7, K25*(O7*10^-6))</f>
        <v>6.1871843353822911</v>
      </c>
      <c r="L26" s="6" t="str">
        <f>IF(L3="English","lbf", "N")</f>
        <v>lbf</v>
      </c>
      <c r="N26" s="6" t="s">
        <v>54</v>
      </c>
      <c r="O26" s="36">
        <f>O19-O22</f>
        <v>1.9798989873223327</v>
      </c>
      <c r="P26" s="6" t="str">
        <f>IF(L3="English","psi","Pa")</f>
        <v>psi</v>
      </c>
    </row>
    <row r="27" spans="2:16" ht="15" customHeight="1" x14ac:dyDescent="0.25">
      <c r="F27" s="6" t="s">
        <v>55</v>
      </c>
      <c r="G27" s="36">
        <f>MAX(ABS(G23),ABS(G24))</f>
        <v>63.356767594314654</v>
      </c>
      <c r="H27" s="6" t="str">
        <f>IF(D3="English","psi","Pa")</f>
        <v>psi</v>
      </c>
      <c r="I27" s="26"/>
      <c r="N27" s="6" t="s">
        <v>55</v>
      </c>
      <c r="O27" s="36">
        <f>MAX(ABS(O23),ABS(O24))</f>
        <v>13.859292911256331</v>
      </c>
      <c r="P27" s="6" t="str">
        <f>IF(L3="English","psi","Pa")</f>
        <v>psi</v>
      </c>
    </row>
    <row r="28" spans="2:16" ht="15" customHeight="1" x14ac:dyDescent="0.25">
      <c r="F28" s="6" t="s">
        <v>56</v>
      </c>
      <c r="G28" s="36">
        <f>MAX(ABS(G25),ABS(G26))</f>
        <v>15.839191898578663</v>
      </c>
      <c r="H28" s="6" t="str">
        <f>IF(D3="English","psi","Pa")</f>
        <v>psi</v>
      </c>
      <c r="I28" s="26"/>
      <c r="N28" s="6" t="s">
        <v>56</v>
      </c>
      <c r="O28" s="36">
        <f>MAX(ABS(O25),ABS(O26))</f>
        <v>13.859292911256331</v>
      </c>
      <c r="P28" s="6" t="str">
        <f>IF(L3="English","psi","Pa")</f>
        <v>psi</v>
      </c>
    </row>
    <row r="29" spans="2:16" ht="15" customHeight="1" x14ac:dyDescent="0.25">
      <c r="F29" s="6" t="s">
        <v>47</v>
      </c>
      <c r="G29" s="36" cm="1">
        <f t="array" ref="G29">SQRT(SUM(G27:G28^2))</f>
        <v>65.306661222267365</v>
      </c>
      <c r="H29" s="6" t="str">
        <f>IF(D3="English","psi","Pa")</f>
        <v>psi</v>
      </c>
      <c r="I29" s="26"/>
      <c r="N29" s="6" t="s">
        <v>47</v>
      </c>
      <c r="O29" s="36" cm="1">
        <f t="array" ref="O29">SQRT(SUM(O27:O28^2))</f>
        <v>19.599999999999998</v>
      </c>
      <c r="P29" s="6" t="str">
        <f>IF(L3="English","psi","Pa")</f>
        <v>psi</v>
      </c>
    </row>
    <row r="30" spans="2:16" ht="15" customHeight="1" x14ac:dyDescent="0.25">
      <c r="F30"/>
      <c r="I30" s="26"/>
      <c r="N30"/>
    </row>
    <row r="31" spans="2:16" ht="15" customHeight="1" x14ac:dyDescent="0.25">
      <c r="F31" s="9" t="s">
        <v>48</v>
      </c>
      <c r="G31" s="9"/>
      <c r="H31" s="10"/>
      <c r="I31" s="26"/>
      <c r="N31" s="9" t="s">
        <v>48</v>
      </c>
      <c r="O31" s="9"/>
      <c r="P31" s="10"/>
    </row>
    <row r="32" spans="2:16" ht="15" customHeight="1" x14ac:dyDescent="0.25">
      <c r="F32" s="6" t="s">
        <v>45</v>
      </c>
      <c r="G32" s="36">
        <f>(C21*(C7-G9))/G13</f>
        <v>47.517575695735992</v>
      </c>
      <c r="H32" s="6" t="str">
        <f>IF(D3="English","psi","Pa")</f>
        <v>psi</v>
      </c>
      <c r="I32" s="26"/>
      <c r="N32" s="6" t="s">
        <v>45</v>
      </c>
      <c r="O32" s="36">
        <f>(K21*(K7-O9))/O13</f>
        <v>23.758787847867996</v>
      </c>
      <c r="P32" s="6" t="str">
        <f>IF(L3="English","psi","Pa")</f>
        <v>psi</v>
      </c>
    </row>
    <row r="33" spans="6:16" ht="15" customHeight="1" x14ac:dyDescent="0.25">
      <c r="F33" s="6" t="s">
        <v>46</v>
      </c>
      <c r="G33" s="36">
        <f>0</f>
        <v>0</v>
      </c>
      <c r="H33" s="6" t="str">
        <f>IF(D3="English","psi","Pa")</f>
        <v>psi</v>
      </c>
      <c r="I33" s="26"/>
      <c r="N33" s="6" t="s">
        <v>46</v>
      </c>
      <c r="O33" s="36">
        <f>(K22*(K8-O8))/O15</f>
        <v>7.9195959492893317</v>
      </c>
      <c r="P33" s="6" t="str">
        <f>IF(L3="English","psi","Pa")</f>
        <v>psi</v>
      </c>
    </row>
    <row r="34" spans="6:16" ht="15" customHeight="1" x14ac:dyDescent="0.25">
      <c r="F34" s="6" t="s">
        <v>30</v>
      </c>
      <c r="G34" s="36" cm="1">
        <f t="array" ref="G34">SQRT(SUM(G32:G33^2))</f>
        <v>47.517575695735992</v>
      </c>
      <c r="H34" s="6" t="str">
        <f>IF(D3="English","psi","Pa")</f>
        <v>psi</v>
      </c>
      <c r="I34" s="26"/>
      <c r="N34" s="6" t="s">
        <v>30</v>
      </c>
      <c r="O34" s="36" cm="1">
        <f t="array" ref="O34">SQRT(SUM(O32:O33^2))</f>
        <v>25.043961347997644</v>
      </c>
      <c r="P34" s="6" t="str">
        <f>IF(L3="English","psi","Pa")</f>
        <v>psi</v>
      </c>
    </row>
    <row r="35" spans="6:16" ht="15" customHeight="1" x14ac:dyDescent="0.25">
      <c r="I35" s="26"/>
    </row>
    <row r="36" spans="6:16" ht="15" customHeight="1" x14ac:dyDescent="0.25">
      <c r="F36" s="9" t="s">
        <v>49</v>
      </c>
      <c r="G36" s="9"/>
      <c r="H36" s="10"/>
      <c r="I36" s="26"/>
      <c r="N36" s="9" t="s">
        <v>49</v>
      </c>
      <c r="O36" s="9"/>
      <c r="P36" s="10"/>
    </row>
    <row r="37" spans="6:16" ht="15" customHeight="1" x14ac:dyDescent="0.25">
      <c r="F37" s="6" t="s">
        <v>40</v>
      </c>
      <c r="G37" s="36">
        <f>SQRT(SUM(G29^2,G34^2))</f>
        <v>80.764348570393366</v>
      </c>
      <c r="H37" s="6" t="str">
        <f>IF(D3="English","psi","Pa")</f>
        <v>psi</v>
      </c>
      <c r="I37" s="26"/>
      <c r="N37" s="6" t="s">
        <v>40</v>
      </c>
      <c r="O37" s="36">
        <f>SQRT(SUM(O29^2,O34^2))</f>
        <v>31.801886736481531</v>
      </c>
      <c r="P37" s="6" t="str">
        <f>IF(L3="English","psi","Pa")</f>
        <v>psi</v>
      </c>
    </row>
    <row r="38" spans="6:16" ht="15" customHeight="1" x14ac:dyDescent="0.25">
      <c r="I38" s="26"/>
    </row>
    <row r="39" spans="6:16" ht="15" customHeight="1" x14ac:dyDescent="0.25">
      <c r="I39" s="26"/>
    </row>
    <row r="40" spans="6:16" ht="15" customHeight="1" x14ac:dyDescent="0.25">
      <c r="I40" s="26"/>
    </row>
    <row r="41" spans="6:16" ht="15" customHeight="1" x14ac:dyDescent="0.25">
      <c r="I41" s="26"/>
    </row>
    <row r="42" spans="6:16" ht="15" customHeight="1" x14ac:dyDescent="0.25">
      <c r="I42" s="26"/>
    </row>
    <row r="43" spans="6:16" ht="15" customHeight="1" x14ac:dyDescent="0.25">
      <c r="I43" s="26"/>
    </row>
    <row r="44" spans="6:16" ht="15" customHeight="1" x14ac:dyDescent="0.25">
      <c r="I44" s="26"/>
    </row>
    <row r="45" spans="6:16" ht="15" customHeight="1" x14ac:dyDescent="0.25">
      <c r="I45" s="26"/>
    </row>
    <row r="46" spans="6:16" ht="15" customHeight="1" x14ac:dyDescent="0.25">
      <c r="I46" s="26"/>
    </row>
    <row r="47" spans="6:16" ht="15" customHeight="1" x14ac:dyDescent="0.25">
      <c r="I47" s="26"/>
    </row>
    <row r="48" spans="6:16" ht="15" customHeight="1" x14ac:dyDescent="0.25">
      <c r="I48" s="26"/>
    </row>
    <row r="49" spans="1:16" ht="15" customHeight="1" x14ac:dyDescent="0.25">
      <c r="I49" s="26"/>
    </row>
    <row r="50" spans="1:16" ht="15" customHeight="1" x14ac:dyDescent="0.25">
      <c r="I50" s="26"/>
      <c r="N50"/>
    </row>
    <row r="51" spans="1:16" ht="15" customHeight="1" x14ac:dyDescent="0.25">
      <c r="B51" s="11"/>
      <c r="C51" s="11"/>
      <c r="D51" s="11"/>
      <c r="E51" s="11"/>
      <c r="F51" s="11"/>
      <c r="G51" s="26"/>
      <c r="H51" s="26"/>
      <c r="I51" s="26"/>
      <c r="J51" s="11"/>
      <c r="K51" s="11"/>
      <c r="L51" s="11"/>
      <c r="M51" s="11"/>
      <c r="N51" s="26"/>
      <c r="O51" s="26"/>
      <c r="P51" s="26"/>
    </row>
    <row r="52" spans="1:16" ht="15" customHeight="1" x14ac:dyDescent="0.25">
      <c r="B52" s="23" t="s">
        <v>28</v>
      </c>
      <c r="C52" s="24">
        <v>3</v>
      </c>
      <c r="D52" s="22"/>
      <c r="E52" s="22"/>
      <c r="F52" s="22"/>
      <c r="G52" s="22"/>
      <c r="H52" s="22"/>
      <c r="I52" s="26"/>
      <c r="J52" s="23" t="s">
        <v>28</v>
      </c>
      <c r="K52" s="24">
        <v>4</v>
      </c>
      <c r="L52" s="22"/>
      <c r="M52" s="22"/>
      <c r="N52" s="22"/>
      <c r="O52" s="22"/>
      <c r="P52" s="22"/>
    </row>
    <row r="53" spans="1:16" ht="15" customHeight="1" x14ac:dyDescent="0.25">
      <c r="B53" s="2" t="s">
        <v>0</v>
      </c>
      <c r="C53" s="3" t="s">
        <v>1</v>
      </c>
      <c r="D53" s="21" t="s">
        <v>4</v>
      </c>
      <c r="E53"/>
      <c r="F53" s="5" t="s">
        <v>3</v>
      </c>
      <c r="G53" s="6"/>
      <c r="H53" s="6"/>
      <c r="I53" s="26"/>
      <c r="J53" s="2" t="s">
        <v>0</v>
      </c>
      <c r="K53" s="3" t="s">
        <v>1</v>
      </c>
      <c r="L53" s="21" t="s">
        <v>4</v>
      </c>
      <c r="M53"/>
      <c r="N53" s="5" t="s">
        <v>3</v>
      </c>
      <c r="O53" s="6"/>
      <c r="P53" s="6"/>
    </row>
    <row r="54" spans="1:16" ht="15" customHeight="1" x14ac:dyDescent="0.25">
      <c r="I54" s="26"/>
    </row>
    <row r="55" spans="1:16" ht="15" customHeight="1" x14ac:dyDescent="0.25">
      <c r="A55" s="1"/>
      <c r="B55" s="7" t="s">
        <v>10</v>
      </c>
      <c r="C55" s="8"/>
      <c r="D55" s="8"/>
      <c r="E55"/>
      <c r="F55" s="9" t="s">
        <v>38</v>
      </c>
      <c r="G55" s="9"/>
      <c r="H55" s="10"/>
      <c r="I55" s="26"/>
      <c r="J55" s="7" t="s">
        <v>10</v>
      </c>
      <c r="K55" s="8"/>
      <c r="L55" s="8"/>
      <c r="M55"/>
      <c r="N55" s="9" t="s">
        <v>38</v>
      </c>
      <c r="O55" s="9"/>
      <c r="P55" s="10"/>
    </row>
    <row r="56" spans="1:16" ht="15" customHeight="1" x14ac:dyDescent="0.25">
      <c r="B56" s="4" t="s">
        <v>20</v>
      </c>
      <c r="C56" s="4">
        <f>5/16</f>
        <v>0.3125</v>
      </c>
      <c r="D56" s="4" t="str">
        <f>IF(D53="English","in", "mm")</f>
        <v>in</v>
      </c>
      <c r="E56"/>
      <c r="F56" s="6" t="s">
        <v>15</v>
      </c>
      <c r="G56" s="13">
        <f>0.5*SQRT(2)*C56</f>
        <v>0.22097086912079611</v>
      </c>
      <c r="H56" s="6" t="str">
        <f>IF(D53="English","in", "mm")</f>
        <v>in</v>
      </c>
      <c r="I56" s="26"/>
      <c r="J56" s="4" t="s">
        <v>20</v>
      </c>
      <c r="K56" s="4">
        <f>5/16</f>
        <v>0.3125</v>
      </c>
      <c r="L56" s="4" t="str">
        <f>IF(L53="English","in", "mm")</f>
        <v>in</v>
      </c>
      <c r="M56"/>
      <c r="N56" s="6" t="s">
        <v>15</v>
      </c>
      <c r="O56" s="13">
        <f>0.5*SQRT(2)*K56</f>
        <v>0.22097086912079611</v>
      </c>
      <c r="P56" s="6" t="str">
        <f>IF(L53="English","in", "mm")</f>
        <v>in</v>
      </c>
    </row>
    <row r="57" spans="1:16" ht="15" customHeight="1" x14ac:dyDescent="0.25">
      <c r="B57" s="4" t="s">
        <v>6</v>
      </c>
      <c r="C57" s="4">
        <v>2</v>
      </c>
      <c r="D57" s="4" t="str">
        <f>IF(D53="English","in", "mm")</f>
        <v>in</v>
      </c>
      <c r="E57"/>
      <c r="F57" s="6" t="s">
        <v>61</v>
      </c>
      <c r="G57" s="13">
        <f>0.5*SQRT(2)*C56*(C58+C57)</f>
        <v>0.88388347648318444</v>
      </c>
      <c r="H57" s="12" t="str">
        <f>IF(D53="English","in^2","mm^2")</f>
        <v>in^2</v>
      </c>
      <c r="I57" s="26"/>
      <c r="J57" s="4" t="s">
        <v>6</v>
      </c>
      <c r="K57" s="4">
        <v>2</v>
      </c>
      <c r="L57" s="4" t="str">
        <f>IF(L53="English","in", "mm")</f>
        <v>in</v>
      </c>
      <c r="M57"/>
      <c r="N57" s="6" t="s">
        <v>61</v>
      </c>
      <c r="O57" s="13">
        <f>0.5*SQRT(2)*K56*(2*K58+K57)</f>
        <v>1.3258252147247767</v>
      </c>
      <c r="P57" s="12" t="str">
        <f>IF(L53="English","in^2","mm^2")</f>
        <v>in^2</v>
      </c>
    </row>
    <row r="58" spans="1:16" ht="15" customHeight="1" x14ac:dyDescent="0.25">
      <c r="B58" s="4" t="s">
        <v>5</v>
      </c>
      <c r="C58" s="4">
        <v>2</v>
      </c>
      <c r="D58" s="4" t="str">
        <f>IF(D53="English","in", "mm")</f>
        <v>in</v>
      </c>
      <c r="E58"/>
      <c r="F58" s="6" t="s">
        <v>12</v>
      </c>
      <c r="G58" s="18">
        <f>(C58^2)/(2*(C58+C57))</f>
        <v>0.5</v>
      </c>
      <c r="H58" s="6" t="str">
        <f>IF(D53="English","in", "mm")</f>
        <v>in</v>
      </c>
      <c r="I58" s="26"/>
      <c r="J58" s="4" t="s">
        <v>5</v>
      </c>
      <c r="K58" s="4">
        <v>2</v>
      </c>
      <c r="L58" s="4" t="str">
        <f>IF(L53="English","in", "mm")</f>
        <v>in</v>
      </c>
      <c r="M58"/>
      <c r="N58" s="6" t="s">
        <v>12</v>
      </c>
      <c r="O58" s="18">
        <f>(K58^2)/(2*(K58+K57))</f>
        <v>0.5</v>
      </c>
      <c r="P58" s="6" t="str">
        <f>IF(L53="English","in", "mm")</f>
        <v>in</v>
      </c>
    </row>
    <row r="59" spans="1:16" ht="15" customHeight="1" x14ac:dyDescent="0.25">
      <c r="B59" s="6" t="s">
        <v>59</v>
      </c>
      <c r="C59" s="6">
        <f>SQRT((C58-G58)^2 + (G59)^2)</f>
        <v>1.5811388300841898</v>
      </c>
      <c r="D59" s="6" t="str">
        <f>IF(D53="English","in", "mm")</f>
        <v>in</v>
      </c>
      <c r="E59"/>
      <c r="F59" s="6" t="s">
        <v>13</v>
      </c>
      <c r="G59" s="18">
        <f>(C57^2)/(2*(C58+C57))</f>
        <v>0.5</v>
      </c>
      <c r="H59" s="6" t="str">
        <f>IF(D53="English","in", "mm")</f>
        <v>in</v>
      </c>
      <c r="I59" s="26"/>
      <c r="J59" s="6" t="s">
        <v>59</v>
      </c>
      <c r="K59" s="6">
        <f>SQRT((K58-O58)^2 + (O59)^2)</f>
        <v>1.8027756377319946</v>
      </c>
      <c r="L59" s="6" t="str">
        <f>IF(L53="English","in", "mm")</f>
        <v>in</v>
      </c>
      <c r="M59"/>
      <c r="N59" s="6" t="s">
        <v>13</v>
      </c>
      <c r="O59" s="18">
        <f>K57/2</f>
        <v>1</v>
      </c>
      <c r="P59" s="6" t="str">
        <f>IF(L53="English","in", "mm")</f>
        <v>in</v>
      </c>
    </row>
    <row r="60" spans="1:16" ht="15" customHeight="1" x14ac:dyDescent="0.25">
      <c r="B60" s="6" t="s">
        <v>60</v>
      </c>
      <c r="C60" s="6">
        <f>SQRT((G58)^2 + (C57-G59)^2)</f>
        <v>1.5811388300841898</v>
      </c>
      <c r="D60" s="6" t="str">
        <f>IF(D53="English","in", "mm")</f>
        <v>in</v>
      </c>
      <c r="F60" s="6" t="s">
        <v>14</v>
      </c>
      <c r="G60" s="25">
        <f>((C58+C57)^4 - 6*(C58^2)*(C57^2))/(12*(C58+C57))</f>
        <v>3.3333333333333335</v>
      </c>
      <c r="H60" s="6" t="str">
        <f>IF(D53="English","in^3", "mm^3")</f>
        <v>in^3</v>
      </c>
      <c r="I60" s="26"/>
      <c r="J60" s="6" t="s">
        <v>60</v>
      </c>
      <c r="K60" s="6">
        <f>SQRT((O58)^2 + (K57-O59)^2)</f>
        <v>1.1180339887498949</v>
      </c>
      <c r="L60" s="6" t="str">
        <f>IF(L53="English","in", "mm")</f>
        <v>in</v>
      </c>
      <c r="N60" s="6" t="s">
        <v>14</v>
      </c>
      <c r="O60" s="25">
        <f>(8*K58^3 + 6*K58*K57^2 + K57^3)/(12) - (K58^4)/(2*K58+K57)</f>
        <v>7.3333333333333339</v>
      </c>
      <c r="P60" s="6" t="str">
        <f>IF(L53="English","in^3", "mm^3")</f>
        <v>in^3</v>
      </c>
    </row>
    <row r="61" spans="1:16" ht="15" customHeight="1" x14ac:dyDescent="0.25">
      <c r="B61" s="6" t="s">
        <v>58</v>
      </c>
      <c r="C61" s="6">
        <f>MAX(C59:C60)</f>
        <v>1.5811388300841898</v>
      </c>
      <c r="D61" s="6" t="str">
        <f>IF(D53="English","in", "mm")</f>
        <v>in</v>
      </c>
      <c r="F61" s="6" t="s">
        <v>16</v>
      </c>
      <c r="G61" s="25">
        <f>G56*G60</f>
        <v>0.73656956373598703</v>
      </c>
      <c r="H61" s="6" t="str">
        <f>IF(D53="English","in^4", "mm^4")</f>
        <v>in^4</v>
      </c>
      <c r="I61" s="26"/>
      <c r="J61" s="6" t="s">
        <v>58</v>
      </c>
      <c r="K61" s="6">
        <f>MAX(K59:K60)</f>
        <v>1.8027756377319946</v>
      </c>
      <c r="L61" s="6" t="str">
        <f>IF(L53="English","in", "mm")</f>
        <v>in</v>
      </c>
      <c r="N61" s="6" t="s">
        <v>16</v>
      </c>
      <c r="O61" s="25">
        <f>O56*O60</f>
        <v>1.6204530402191717</v>
      </c>
      <c r="P61" s="6" t="str">
        <f>IF(L53="English","in^4", "mm^4")</f>
        <v>in^4</v>
      </c>
    </row>
    <row r="62" spans="1:16" ht="15" customHeight="1" x14ac:dyDescent="0.25">
      <c r="F62" s="14" t="s">
        <v>27</v>
      </c>
      <c r="G62" s="29"/>
      <c r="H62" s="29"/>
      <c r="I62" s="26"/>
      <c r="N62" s="6" t="s">
        <v>76</v>
      </c>
      <c r="O62" s="25">
        <f>IF(K63,((K57^2)*(6*K58+K57))/(12), ((2*K58^3)/3) - 2*(K58^2)*O58 + (2*K58+K57)*O58^2)</f>
        <v>4.666666666666667</v>
      </c>
      <c r="P62" s="6" t="str">
        <f>IF(L53="English","in^3", "mm^3")</f>
        <v>in^3</v>
      </c>
    </row>
    <row r="63" spans="1:16" ht="15" customHeight="1" x14ac:dyDescent="0.25">
      <c r="B63" s="7" t="s">
        <v>50</v>
      </c>
      <c r="C63" s="8"/>
      <c r="D63" s="8"/>
      <c r="I63" s="26"/>
      <c r="J63" s="4" t="s">
        <v>25</v>
      </c>
      <c r="K63" s="17" t="b">
        <v>1</v>
      </c>
      <c r="N63" s="6" t="s">
        <v>74</v>
      </c>
      <c r="O63" s="25">
        <f>O56*O62</f>
        <v>1.0311973892303818</v>
      </c>
      <c r="P63" s="6" t="str">
        <f>IF(L53="English","in^4", "mm^4")</f>
        <v>in^4</v>
      </c>
    </row>
    <row r="64" spans="1:16" ht="15" customHeight="1" x14ac:dyDescent="0.25">
      <c r="B64" s="4" t="s">
        <v>8</v>
      </c>
      <c r="C64" s="32">
        <v>7</v>
      </c>
      <c r="D64" s="4" t="str">
        <f>IF(D53="English","psi","Pa")</f>
        <v>psi</v>
      </c>
      <c r="I64" s="26"/>
      <c r="J64" s="4" t="s">
        <v>26</v>
      </c>
      <c r="K64" s="20" t="b">
        <f>NOT(K63)</f>
        <v>0</v>
      </c>
      <c r="N64" s="6" t="s">
        <v>77</v>
      </c>
      <c r="O64" s="35">
        <f>IF(K63, ((2*K58^3)/3) - 2*(K58^2)*O58 + (2*K58+K57)*O58^2, ((K57^2)*(6*K58+K57))/(12))</f>
        <v>2.833333333333333</v>
      </c>
      <c r="P64" s="6" t="str">
        <f>IF(L53="English","in^3", "mm^3")</f>
        <v>in^3</v>
      </c>
    </row>
    <row r="65" spans="2:16" ht="15" customHeight="1" x14ac:dyDescent="0.25">
      <c r="B65" s="6" t="s">
        <v>18</v>
      </c>
      <c r="C65" s="16">
        <f>IF(D53="English",C64*G57, C64*(G57*10^-6))</f>
        <v>6.1871843353822911</v>
      </c>
      <c r="D65" s="6" t="str">
        <f>IF(D53="English","lbf", "N")</f>
        <v>lbf</v>
      </c>
      <c r="G65" s="1"/>
      <c r="H65" s="1"/>
      <c r="I65" s="26"/>
      <c r="N65" s="6" t="s">
        <v>75</v>
      </c>
      <c r="O65" s="25">
        <f>O56*O64</f>
        <v>0.62608412917558887</v>
      </c>
      <c r="P65" s="6" t="str">
        <f>IF(L53="English","in^4", "mm^4")</f>
        <v>in^4</v>
      </c>
    </row>
    <row r="66" spans="2:16" ht="15" customHeight="1" x14ac:dyDescent="0.25">
      <c r="G66" s="1"/>
      <c r="H66" s="1"/>
      <c r="I66" s="26"/>
    </row>
    <row r="67" spans="2:16" ht="15" customHeight="1" x14ac:dyDescent="0.25">
      <c r="G67" s="1"/>
      <c r="H67" s="1"/>
      <c r="I67" s="26"/>
      <c r="J67" s="7" t="s">
        <v>44</v>
      </c>
      <c r="K67" s="8"/>
      <c r="L67" s="8"/>
      <c r="N67" s="9" t="s">
        <v>39</v>
      </c>
      <c r="O67" s="9"/>
      <c r="P67" s="10"/>
    </row>
    <row r="68" spans="2:16" ht="15" customHeight="1" x14ac:dyDescent="0.25">
      <c r="G68" s="1"/>
      <c r="H68" s="1"/>
      <c r="I68" s="26"/>
      <c r="J68" s="4" t="s">
        <v>34</v>
      </c>
      <c r="K68" s="32">
        <v>7</v>
      </c>
      <c r="L68" s="4" t="str">
        <f>IF(L53="English","lbf", "N")</f>
        <v>lbf</v>
      </c>
      <c r="N68" s="6" t="s">
        <v>36</v>
      </c>
      <c r="O68" s="36">
        <f>K68/O57</f>
        <v>5.2797306328595548</v>
      </c>
      <c r="P68" s="6" t="str">
        <f>IF(L53="English","psi","Pa")</f>
        <v>psi</v>
      </c>
    </row>
    <row r="69" spans="2:16" ht="15" customHeight="1" x14ac:dyDescent="0.25">
      <c r="G69" s="1"/>
      <c r="H69" s="1"/>
      <c r="I69" s="26"/>
      <c r="J69" s="4" t="s">
        <v>35</v>
      </c>
      <c r="K69" s="32">
        <v>7</v>
      </c>
      <c r="L69" s="4" t="str">
        <f>IF(L53="English","lbf", "N")</f>
        <v>lbf</v>
      </c>
      <c r="N69" s="6" t="s">
        <v>37</v>
      </c>
      <c r="O69" s="36">
        <f>K69/O57</f>
        <v>5.2797306328595548</v>
      </c>
      <c r="P69" s="6" t="str">
        <f>IF(L53="English","psi","Pa")</f>
        <v>psi</v>
      </c>
    </row>
    <row r="70" spans="2:16" ht="15" customHeight="1" x14ac:dyDescent="0.25">
      <c r="G70" s="1"/>
      <c r="H70" s="1"/>
      <c r="I70" s="26"/>
      <c r="J70" s="4" t="s">
        <v>42</v>
      </c>
      <c r="K70" s="32">
        <v>7</v>
      </c>
      <c r="L70" s="4" t="str">
        <f>IF(L53="English","in-lbf", "Nm")</f>
        <v>in-lbf</v>
      </c>
      <c r="N70" s="6" t="s">
        <v>31</v>
      </c>
      <c r="O70" s="36">
        <f>((K70*K61)/O61)</f>
        <v>7.7875934389417063</v>
      </c>
      <c r="P70" s="6" t="str">
        <f>IF(L53="English","psi","Pa")</f>
        <v>psi</v>
      </c>
    </row>
    <row r="71" spans="2:16" ht="15" customHeight="1" x14ac:dyDescent="0.25">
      <c r="G71" s="1"/>
      <c r="H71" s="1"/>
      <c r="I71" s="26"/>
      <c r="J71" s="4" t="s">
        <v>41</v>
      </c>
      <c r="K71" s="32">
        <v>7</v>
      </c>
      <c r="L71" s="4" t="str">
        <f>IF(L53="English","in-lbf", "Nm")</f>
        <v>in-lbf</v>
      </c>
      <c r="N71" s="6" t="s">
        <v>32</v>
      </c>
      <c r="O71" s="36">
        <f>O70*((K57/2)/K61)</f>
        <v>4.3197796087032714</v>
      </c>
      <c r="P71" s="6" t="str">
        <f>IF(L53="English","psi","Pa")</f>
        <v>psi</v>
      </c>
    </row>
    <row r="72" spans="2:16" ht="15" customHeight="1" x14ac:dyDescent="0.25">
      <c r="G72" s="1"/>
      <c r="H72" s="1"/>
      <c r="I72" s="26"/>
      <c r="J72" s="4" t="s">
        <v>43</v>
      </c>
      <c r="K72" s="32">
        <v>7</v>
      </c>
      <c r="L72" s="4" t="str">
        <f>IF(L53="English","in-lbf", "Nm")</f>
        <v>in-lbf</v>
      </c>
      <c r="N72" s="6" t="s">
        <v>33</v>
      </c>
      <c r="O72" s="36">
        <f>O70*((K58/2)/K61)</f>
        <v>4.3197796087032714</v>
      </c>
      <c r="P72" s="6" t="str">
        <f>IF(L53="English","psi","Pa")</f>
        <v>psi</v>
      </c>
    </row>
    <row r="73" spans="2:16" ht="15" customHeight="1" x14ac:dyDescent="0.25">
      <c r="G73" s="1"/>
      <c r="H73" s="1"/>
      <c r="I73" s="26"/>
      <c r="N73" s="6" t="s">
        <v>51</v>
      </c>
      <c r="O73" s="36">
        <f>O68+O71</f>
        <v>9.5995102415628253</v>
      </c>
      <c r="P73" s="6" t="str">
        <f>IF(L53="English","psi","Pa")</f>
        <v>psi</v>
      </c>
    </row>
    <row r="74" spans="2:16" ht="15" customHeight="1" x14ac:dyDescent="0.25">
      <c r="G74" s="1"/>
      <c r="H74" s="1"/>
      <c r="I74" s="26"/>
      <c r="J74" s="7" t="s">
        <v>50</v>
      </c>
      <c r="K74" s="8"/>
      <c r="L74" s="8"/>
      <c r="N74" s="6" t="s">
        <v>52</v>
      </c>
      <c r="O74" s="36">
        <f>O68-O71</f>
        <v>0.95995102415628342</v>
      </c>
      <c r="P74" s="6" t="str">
        <f>IF(L53="English","psi","Pa")</f>
        <v>psi</v>
      </c>
    </row>
    <row r="75" spans="2:16" ht="15" customHeight="1" x14ac:dyDescent="0.25">
      <c r="G75" s="1"/>
      <c r="H75" s="1"/>
      <c r="I75" s="26"/>
      <c r="J75" s="4" t="s">
        <v>8</v>
      </c>
      <c r="K75" s="32">
        <v>7</v>
      </c>
      <c r="L75" s="4" t="str">
        <f>IF(L53="English","psi","Pa")</f>
        <v>psi</v>
      </c>
      <c r="N75" s="6" t="s">
        <v>53</v>
      </c>
      <c r="O75" s="36">
        <f>O69+O72</f>
        <v>9.5995102415628253</v>
      </c>
      <c r="P75" s="6" t="str">
        <f>IF(L53="English","psi","Pa")</f>
        <v>psi</v>
      </c>
    </row>
    <row r="76" spans="2:16" ht="15" customHeight="1" x14ac:dyDescent="0.25">
      <c r="G76" s="1"/>
      <c r="H76" s="1"/>
      <c r="I76" s="26"/>
      <c r="J76" s="6" t="s">
        <v>18</v>
      </c>
      <c r="K76" s="16">
        <f>IF(L53="English",K75*O57, K75*(O57*10^-6))</f>
        <v>9.2807765030734366</v>
      </c>
      <c r="L76" s="6" t="str">
        <f>IF(L53="English","lbf", "N")</f>
        <v>lbf</v>
      </c>
      <c r="N76" s="6" t="s">
        <v>54</v>
      </c>
      <c r="O76" s="36">
        <f>O69-O72</f>
        <v>0.95995102415628342</v>
      </c>
      <c r="P76" s="6" t="str">
        <f>IF(L53="English","psi","Pa")</f>
        <v>psi</v>
      </c>
    </row>
    <row r="77" spans="2:16" ht="15" customHeight="1" x14ac:dyDescent="0.25">
      <c r="G77" s="1"/>
      <c r="H77" s="1"/>
      <c r="I77" s="26"/>
      <c r="N77" s="6" t="s">
        <v>55</v>
      </c>
      <c r="O77" s="36">
        <f>MAX(ABS(O73),ABS(O74))</f>
        <v>9.5995102415628253</v>
      </c>
      <c r="P77" s="6" t="str">
        <f>IF(L53="English","psi","Pa")</f>
        <v>psi</v>
      </c>
    </row>
    <row r="78" spans="2:16" ht="15" customHeight="1" x14ac:dyDescent="0.25">
      <c r="F78"/>
      <c r="I78" s="26"/>
      <c r="N78" s="6" t="s">
        <v>56</v>
      </c>
      <c r="O78" s="36">
        <f>MAX(ABS(O75),ABS(O76))</f>
        <v>9.5995102415628253</v>
      </c>
      <c r="P78" s="6" t="str">
        <f>IF(L53="English","psi","Pa")</f>
        <v>psi</v>
      </c>
    </row>
    <row r="79" spans="2:16" ht="15" customHeight="1" x14ac:dyDescent="0.25">
      <c r="G79" s="1"/>
      <c r="H79" s="1"/>
      <c r="I79" s="26"/>
      <c r="N79" s="6" t="s">
        <v>47</v>
      </c>
      <c r="O79" s="36" cm="1">
        <f t="array" ref="O79">SQRT(SUM(O77:O78^2))</f>
        <v>13.575757575757574</v>
      </c>
      <c r="P79" s="6" t="str">
        <f>IF(L53="English","psi","Pa")</f>
        <v>psi</v>
      </c>
    </row>
    <row r="80" spans="2:16" ht="15" customHeight="1" x14ac:dyDescent="0.25">
      <c r="G80" s="1"/>
      <c r="H80" s="1"/>
      <c r="I80" s="26"/>
      <c r="N80"/>
    </row>
    <row r="81" spans="7:16" ht="15" customHeight="1" x14ac:dyDescent="0.25">
      <c r="G81" s="1"/>
      <c r="H81" s="1"/>
      <c r="I81" s="26"/>
      <c r="N81" s="9" t="s">
        <v>48</v>
      </c>
      <c r="O81" s="9"/>
      <c r="P81" s="10"/>
    </row>
    <row r="82" spans="7:16" ht="15" customHeight="1" x14ac:dyDescent="0.25">
      <c r="G82" s="1"/>
      <c r="H82" s="1"/>
      <c r="I82" s="26"/>
      <c r="N82" s="6" t="s">
        <v>45</v>
      </c>
      <c r="O82" s="36">
        <f>(K71*(K57-O59))/O63</f>
        <v>6.7882250993908562</v>
      </c>
      <c r="P82" s="6" t="str">
        <f>IF(L53="English","psi","Pa")</f>
        <v>psi</v>
      </c>
    </row>
    <row r="83" spans="7:16" ht="15" customHeight="1" x14ac:dyDescent="0.25">
      <c r="G83" s="1"/>
      <c r="H83" s="1"/>
      <c r="I83" s="26"/>
      <c r="N83" s="6" t="s">
        <v>46</v>
      </c>
      <c r="O83" s="36">
        <f>(K72*(K58-O58))/O65</f>
        <v>16.770909069083295</v>
      </c>
      <c r="P83" s="6" t="str">
        <f>IF(L53="English","psi","Pa")</f>
        <v>psi</v>
      </c>
    </row>
    <row r="84" spans="7:16" ht="15" customHeight="1" x14ac:dyDescent="0.25">
      <c r="G84" s="1"/>
      <c r="H84" s="1"/>
      <c r="I84" s="26"/>
      <c r="N84" s="6" t="s">
        <v>30</v>
      </c>
      <c r="O84" s="36" cm="1">
        <f t="array" ref="O84">SQRT(SUM(O82:O83^2))</f>
        <v>18.092633611596192</v>
      </c>
      <c r="P84" s="6" t="str">
        <f>IF(L53="English","psi","Pa")</f>
        <v>psi</v>
      </c>
    </row>
    <row r="85" spans="7:16" ht="15" customHeight="1" x14ac:dyDescent="0.25">
      <c r="G85" s="1"/>
      <c r="H85" s="1"/>
      <c r="I85" s="26"/>
    </row>
    <row r="86" spans="7:16" ht="15" customHeight="1" x14ac:dyDescent="0.25">
      <c r="I86" s="26"/>
      <c r="N86" s="9" t="s">
        <v>49</v>
      </c>
      <c r="O86" s="9"/>
      <c r="P86" s="10"/>
    </row>
    <row r="87" spans="7:16" ht="15" customHeight="1" x14ac:dyDescent="0.25">
      <c r="I87" s="26"/>
      <c r="N87" s="6" t="s">
        <v>40</v>
      </c>
      <c r="O87" s="36">
        <f>SQRT(SUM(O79^2,O84^2))</f>
        <v>22.619561993089064</v>
      </c>
      <c r="P87" s="6" t="str">
        <f>IF(L53="English","psi","Pa")</f>
        <v>psi</v>
      </c>
    </row>
    <row r="88" spans="7:16" ht="15" customHeight="1" x14ac:dyDescent="0.25">
      <c r="I88" s="26"/>
    </row>
    <row r="89" spans="7:16" ht="15" customHeight="1" x14ac:dyDescent="0.25">
      <c r="I89" s="26"/>
    </row>
    <row r="90" spans="7:16" ht="15" customHeight="1" x14ac:dyDescent="0.25">
      <c r="I90" s="26"/>
    </row>
    <row r="91" spans="7:16" ht="15" customHeight="1" x14ac:dyDescent="0.25">
      <c r="I91" s="26"/>
    </row>
    <row r="92" spans="7:16" ht="15" customHeight="1" x14ac:dyDescent="0.25">
      <c r="I92" s="26"/>
    </row>
    <row r="93" spans="7:16" ht="15" customHeight="1" x14ac:dyDescent="0.25">
      <c r="I93" s="26"/>
    </row>
    <row r="94" spans="7:16" ht="15" customHeight="1" x14ac:dyDescent="0.25">
      <c r="I94" s="26"/>
    </row>
    <row r="95" spans="7:16" ht="15" customHeight="1" x14ac:dyDescent="0.25">
      <c r="I95" s="26"/>
    </row>
    <row r="96" spans="7:16" ht="15" customHeight="1" x14ac:dyDescent="0.25">
      <c r="I96" s="26"/>
    </row>
    <row r="97" spans="2:16" ht="15" customHeight="1" x14ac:dyDescent="0.25">
      <c r="I97" s="26"/>
    </row>
    <row r="98" spans="2:16" ht="15" customHeight="1" x14ac:dyDescent="0.25">
      <c r="I98" s="26"/>
    </row>
    <row r="99" spans="2:16" ht="15" customHeight="1" x14ac:dyDescent="0.25">
      <c r="I99" s="26"/>
    </row>
    <row r="100" spans="2:16" ht="15" customHeight="1" x14ac:dyDescent="0.25">
      <c r="F100"/>
      <c r="I100" s="26"/>
      <c r="N100"/>
    </row>
    <row r="101" spans="2:16" ht="15" customHeight="1" x14ac:dyDescent="0.25">
      <c r="F101"/>
      <c r="I101" s="26"/>
      <c r="M101"/>
      <c r="N101"/>
    </row>
    <row r="102" spans="2:16" ht="15" customHeight="1" x14ac:dyDescent="0.25">
      <c r="B102" s="11"/>
      <c r="C102" s="11"/>
      <c r="D102" s="11"/>
      <c r="E102" s="11"/>
      <c r="F102" s="11"/>
      <c r="G102" s="26"/>
      <c r="H102" s="26"/>
      <c r="I102" s="26"/>
      <c r="J102" s="11"/>
      <c r="K102" s="11"/>
      <c r="L102" s="11"/>
      <c r="M102" s="11"/>
      <c r="N102" s="11"/>
      <c r="O102" s="26"/>
      <c r="P102" s="26"/>
    </row>
    <row r="103" spans="2:16" ht="15" customHeight="1" x14ac:dyDescent="0.25">
      <c r="B103" s="23" t="s">
        <v>28</v>
      </c>
      <c r="C103" s="24">
        <v>5</v>
      </c>
      <c r="D103" s="22"/>
      <c r="E103" s="22"/>
      <c r="F103" s="22"/>
      <c r="G103" s="22"/>
      <c r="H103" s="22"/>
      <c r="I103" s="26"/>
      <c r="J103" s="23" t="s">
        <v>28</v>
      </c>
      <c r="K103" s="24">
        <v>6</v>
      </c>
      <c r="L103" s="22"/>
      <c r="M103" s="22"/>
      <c r="N103" s="22"/>
      <c r="O103" s="22"/>
      <c r="P103" s="22"/>
    </row>
    <row r="104" spans="2:16" ht="15" customHeight="1" x14ac:dyDescent="0.25">
      <c r="B104" s="2" t="s">
        <v>0</v>
      </c>
      <c r="C104" s="3" t="s">
        <v>1</v>
      </c>
      <c r="D104" s="21" t="s">
        <v>4</v>
      </c>
      <c r="E104"/>
      <c r="F104" s="5" t="s">
        <v>3</v>
      </c>
      <c r="G104" s="6"/>
      <c r="H104" s="6"/>
      <c r="I104" s="26"/>
      <c r="J104" s="2" t="s">
        <v>0</v>
      </c>
      <c r="K104" s="3" t="s">
        <v>1</v>
      </c>
      <c r="L104" s="21" t="s">
        <v>4</v>
      </c>
      <c r="M104"/>
      <c r="N104" s="5" t="s">
        <v>3</v>
      </c>
      <c r="O104" s="6"/>
      <c r="P104" s="6"/>
    </row>
    <row r="105" spans="2:16" ht="15" customHeight="1" x14ac:dyDescent="0.25">
      <c r="I105" s="26"/>
    </row>
    <row r="106" spans="2:16" ht="15" customHeight="1" x14ac:dyDescent="0.25">
      <c r="B106" s="7" t="s">
        <v>10</v>
      </c>
      <c r="C106" s="8"/>
      <c r="D106" s="8"/>
      <c r="E106"/>
      <c r="F106" s="9" t="s">
        <v>38</v>
      </c>
      <c r="G106" s="9"/>
      <c r="H106" s="10"/>
      <c r="I106" s="26"/>
      <c r="J106" s="7" t="s">
        <v>10</v>
      </c>
      <c r="K106" s="8"/>
      <c r="L106" s="8"/>
      <c r="M106"/>
      <c r="N106" s="9" t="s">
        <v>38</v>
      </c>
      <c r="O106" s="9"/>
      <c r="P106" s="10"/>
    </row>
    <row r="107" spans="2:16" ht="15" customHeight="1" x14ac:dyDescent="0.25">
      <c r="B107" s="4" t="s">
        <v>20</v>
      </c>
      <c r="C107" s="4">
        <f>5/16</f>
        <v>0.3125</v>
      </c>
      <c r="D107" s="4" t="str">
        <f>IF(D104="English","in", "mm")</f>
        <v>in</v>
      </c>
      <c r="E107"/>
      <c r="F107" s="6" t="s">
        <v>15</v>
      </c>
      <c r="G107" s="13">
        <f>0.5*SQRT(2)*C107</f>
        <v>0.22097086912079611</v>
      </c>
      <c r="H107" s="6" t="str">
        <f>IF(D104="English","in", "mm")</f>
        <v>in</v>
      </c>
      <c r="I107" s="26"/>
      <c r="J107" s="4" t="s">
        <v>20</v>
      </c>
      <c r="K107" s="4">
        <v>0.25</v>
      </c>
      <c r="L107" s="4" t="str">
        <f>IF(L104="English","in", "mm")</f>
        <v>in</v>
      </c>
      <c r="M107"/>
      <c r="N107" s="6" t="s">
        <v>15</v>
      </c>
      <c r="O107" s="13">
        <f>0.5*SQRT(2)*K107</f>
        <v>0.17677669529663689</v>
      </c>
      <c r="P107" s="6" t="str">
        <f>IF(L104="English","in", "mm")</f>
        <v>in</v>
      </c>
    </row>
    <row r="108" spans="2:16" ht="15" customHeight="1" x14ac:dyDescent="0.25">
      <c r="B108" s="4" t="s">
        <v>6</v>
      </c>
      <c r="C108" s="4">
        <v>2</v>
      </c>
      <c r="D108" s="4" t="str">
        <f>IF(D104="English","in", "mm")</f>
        <v>in</v>
      </c>
      <c r="E108"/>
      <c r="F108" s="6" t="s">
        <v>61</v>
      </c>
      <c r="G108" s="13">
        <f>SQRT(2)*C107*(C109+C108)</f>
        <v>1.7677669529663689</v>
      </c>
      <c r="H108" s="12" t="str">
        <f>IF(D104="English","in^2","mm^2")</f>
        <v>in^2</v>
      </c>
      <c r="I108" s="26"/>
      <c r="J108" s="4" t="s">
        <v>62</v>
      </c>
      <c r="K108" s="4">
        <f>2/2</f>
        <v>1</v>
      </c>
      <c r="L108" s="4" t="str">
        <f>IF(L104="English","in", "mm")</f>
        <v>in</v>
      </c>
      <c r="M108"/>
      <c r="N108" s="6" t="s">
        <v>61</v>
      </c>
      <c r="O108" s="13">
        <f>SQRT(2)*PI()*K107*K108</f>
        <v>1.1107207345395915</v>
      </c>
      <c r="P108" s="12" t="str">
        <f>IF(L104="English","in^2","mm^2")</f>
        <v>in^2</v>
      </c>
    </row>
    <row r="109" spans="2:16" ht="15" customHeight="1" x14ac:dyDescent="0.25">
      <c r="B109" s="4" t="s">
        <v>5</v>
      </c>
      <c r="C109" s="4">
        <v>2</v>
      </c>
      <c r="D109" s="4" t="str">
        <f>IF(D104="English","in", "mm")</f>
        <v>in</v>
      </c>
      <c r="E109"/>
      <c r="F109" s="6" t="s">
        <v>12</v>
      </c>
      <c r="G109" s="18">
        <f>C109/2</f>
        <v>1</v>
      </c>
      <c r="H109" s="6" t="str">
        <f>IF(D104="English","in", "mm")</f>
        <v>in</v>
      </c>
      <c r="I109" s="26"/>
      <c r="M109"/>
      <c r="N109" s="6" t="s">
        <v>12</v>
      </c>
      <c r="O109" s="18"/>
      <c r="P109" s="6" t="str">
        <f>IF(L104="English","in", "mm")</f>
        <v>in</v>
      </c>
    </row>
    <row r="110" spans="2:16" ht="15" customHeight="1" x14ac:dyDescent="0.25">
      <c r="B110" s="6" t="s">
        <v>57</v>
      </c>
      <c r="C110" s="6">
        <f>SQRT((C109-G109)^2 + (C108-G110)^2)</f>
        <v>1.4142135623730951</v>
      </c>
      <c r="D110" s="6" t="str">
        <f>IF(D104="English","in", "mm")</f>
        <v>in</v>
      </c>
      <c r="E110"/>
      <c r="F110" s="6" t="s">
        <v>13</v>
      </c>
      <c r="G110" s="18">
        <f>C108/2</f>
        <v>1</v>
      </c>
      <c r="H110" s="6" t="str">
        <f>IF(D104="English","in", "mm")</f>
        <v>in</v>
      </c>
      <c r="I110" s="26"/>
      <c r="M110"/>
      <c r="N110" s="6" t="s">
        <v>13</v>
      </c>
      <c r="O110" s="18"/>
      <c r="P110" s="6" t="str">
        <f>IF(L104="English","in", "mm")</f>
        <v>in</v>
      </c>
    </row>
    <row r="111" spans="2:16" ht="15" customHeight="1" x14ac:dyDescent="0.25">
      <c r="F111" s="6" t="s">
        <v>14</v>
      </c>
      <c r="G111" s="25">
        <f>((C109+C108)^3)/(6)</f>
        <v>10.666666666666666</v>
      </c>
      <c r="H111" s="6" t="str">
        <f>IF(D104="English","in^3", "mm^3")</f>
        <v>in^3</v>
      </c>
      <c r="I111" s="26"/>
      <c r="N111" s="6" t="s">
        <v>14</v>
      </c>
      <c r="O111" s="25">
        <f>2*PI()*(K108^3)</f>
        <v>6.2831853071795862</v>
      </c>
      <c r="P111" s="6" t="str">
        <f>IF(L104="English","in^3", "mm^3")</f>
        <v>in^3</v>
      </c>
    </row>
    <row r="112" spans="2:16" ht="15" customHeight="1" x14ac:dyDescent="0.25">
      <c r="F112" s="6" t="s">
        <v>16</v>
      </c>
      <c r="G112" s="25">
        <f>G107*G111</f>
        <v>2.3570226039551585</v>
      </c>
      <c r="H112" s="6" t="str">
        <f>IF(D104="English","in^4", "mm^4")</f>
        <v>in^4</v>
      </c>
      <c r="I112" s="26"/>
      <c r="N112" s="6" t="s">
        <v>16</v>
      </c>
      <c r="O112" s="25">
        <f>O107*O111</f>
        <v>1.1107207345395915</v>
      </c>
      <c r="P112" s="6" t="str">
        <f>IF(L104="English","in^4", "mm^4")</f>
        <v>in^4</v>
      </c>
    </row>
    <row r="113" spans="2:19" ht="15" customHeight="1" x14ac:dyDescent="0.25">
      <c r="F113" s="6" t="s">
        <v>76</v>
      </c>
      <c r="G113" s="25">
        <f>IF(C114,((C108^2)*(3*C109+C108))/6, ((C109^2)*(3*C108+C109))/6)</f>
        <v>5.333333333333333</v>
      </c>
      <c r="H113" s="6" t="str">
        <f>IF(D104="English","in^3", "mm^3")</f>
        <v>in^3</v>
      </c>
      <c r="I113" s="26"/>
      <c r="N113" s="6" t="s">
        <v>21</v>
      </c>
      <c r="O113" s="25">
        <f>PI()*(K108)^3</f>
        <v>3.1415926535897931</v>
      </c>
      <c r="P113" s="6" t="str">
        <f>IF(L104="English","in^3", "mm^3")</f>
        <v>in^3</v>
      </c>
    </row>
    <row r="114" spans="2:19" ht="15" customHeight="1" x14ac:dyDescent="0.25">
      <c r="B114" s="4" t="s">
        <v>78</v>
      </c>
      <c r="C114" s="17" t="b">
        <v>1</v>
      </c>
      <c r="F114" s="6" t="s">
        <v>74</v>
      </c>
      <c r="G114" s="25">
        <f>G107*G113</f>
        <v>1.1785113019775793</v>
      </c>
      <c r="H114" s="6" t="str">
        <f>IF(D104="English","in^4", "mm^4")</f>
        <v>in^4</v>
      </c>
      <c r="I114" s="26"/>
      <c r="N114" s="6" t="s">
        <v>22</v>
      </c>
      <c r="O114" s="25">
        <f>O107*O113</f>
        <v>0.55536036726979576</v>
      </c>
      <c r="P114" s="6" t="str">
        <f>IF(L104="English","in^4", "mm^4")</f>
        <v>in^4</v>
      </c>
    </row>
    <row r="115" spans="2:19" ht="15" customHeight="1" x14ac:dyDescent="0.25">
      <c r="B115" s="4" t="s">
        <v>79</v>
      </c>
      <c r="C115" s="20" t="b">
        <f>NOT(C114)</f>
        <v>0</v>
      </c>
      <c r="F115" s="6" t="s">
        <v>77</v>
      </c>
      <c r="G115" s="25">
        <f>IF(C114, ((C109^2)*(3*C108+C109))/6, ((C108^2)*(3*C109+C108))/6)</f>
        <v>5.333333333333333</v>
      </c>
      <c r="H115" s="6" t="str">
        <f>IF(D104="English","in^3", "mm^3")</f>
        <v>in^3</v>
      </c>
      <c r="I115" s="26"/>
    </row>
    <row r="116" spans="2:19" ht="15" customHeight="1" x14ac:dyDescent="0.25">
      <c r="F116" s="6" t="s">
        <v>75</v>
      </c>
      <c r="G116" s="25">
        <f>G107*G115</f>
        <v>1.1785113019775793</v>
      </c>
      <c r="H116" s="6" t="str">
        <f>IF(D104="English","in^4", "mm^4")</f>
        <v>in^4</v>
      </c>
      <c r="I116" s="26"/>
      <c r="J116" s="7" t="s">
        <v>44</v>
      </c>
      <c r="K116" s="8"/>
      <c r="L116" s="8"/>
      <c r="N116" s="9" t="s">
        <v>39</v>
      </c>
      <c r="O116" s="9"/>
      <c r="P116" s="10"/>
    </row>
    <row r="117" spans="2:19" ht="15" customHeight="1" x14ac:dyDescent="0.25">
      <c r="I117" s="26"/>
      <c r="J117" s="4" t="s">
        <v>34</v>
      </c>
      <c r="K117" s="32"/>
      <c r="L117" s="4" t="str">
        <f>IF(L104="English","lbf", "N")</f>
        <v>lbf</v>
      </c>
      <c r="N117" s="6" t="s">
        <v>36</v>
      </c>
      <c r="O117" s="36">
        <f>K117/O108</f>
        <v>0</v>
      </c>
      <c r="P117" s="6" t="str">
        <f>IF(L104="English","psi","Pa")</f>
        <v>psi</v>
      </c>
    </row>
    <row r="118" spans="2:19" ht="15" customHeight="1" x14ac:dyDescent="0.25">
      <c r="B118" s="7" t="s">
        <v>44</v>
      </c>
      <c r="C118" s="8"/>
      <c r="D118" s="8"/>
      <c r="F118" s="9" t="s">
        <v>39</v>
      </c>
      <c r="G118" s="9"/>
      <c r="H118" s="10"/>
      <c r="I118" s="26"/>
      <c r="J118" s="4" t="s">
        <v>35</v>
      </c>
      <c r="K118" s="32">
        <v>-2000</v>
      </c>
      <c r="L118" s="4" t="str">
        <f>IF(L104="English","lbf", "N")</f>
        <v>lbf</v>
      </c>
      <c r="N118" s="6" t="s">
        <v>37</v>
      </c>
      <c r="O118" s="36">
        <f>K118/O108</f>
        <v>-1800.6326323142123</v>
      </c>
      <c r="P118" s="6" t="str">
        <f>IF(L104="English","psi","Pa")</f>
        <v>psi</v>
      </c>
    </row>
    <row r="119" spans="2:19" ht="15" customHeight="1" x14ac:dyDescent="0.25">
      <c r="B119" s="4" t="s">
        <v>34</v>
      </c>
      <c r="C119" s="32">
        <v>7</v>
      </c>
      <c r="D119" s="4" t="str">
        <f>IF(D104="English","lbf", "N")</f>
        <v>lbf</v>
      </c>
      <c r="F119" s="6" t="s">
        <v>36</v>
      </c>
      <c r="G119" s="36">
        <f>C119/G108</f>
        <v>3.9597979746446659</v>
      </c>
      <c r="H119" s="6" t="str">
        <f>IF(D104="English","psi","Pa")</f>
        <v>psi</v>
      </c>
      <c r="I119" s="26"/>
      <c r="J119" s="4" t="s">
        <v>42</v>
      </c>
      <c r="K119" s="32">
        <v>-15000</v>
      </c>
      <c r="L119" s="4" t="str">
        <f>IF(L104="English","in-lbf", "Nm")</f>
        <v>in-lbf</v>
      </c>
      <c r="N119" s="6" t="s">
        <v>31</v>
      </c>
      <c r="O119" s="36">
        <f>((K119*K108)/O112)</f>
        <v>-13504.744742356592</v>
      </c>
      <c r="P119" s="6" t="str">
        <f>IF(L104="English","psi","Pa")</f>
        <v>psi</v>
      </c>
    </row>
    <row r="120" spans="2:19" ht="15" customHeight="1" x14ac:dyDescent="0.25">
      <c r="B120" s="4" t="s">
        <v>35</v>
      </c>
      <c r="C120" s="32">
        <v>7</v>
      </c>
      <c r="D120" s="4" t="str">
        <f>IF(D104="English","lbf", "N")</f>
        <v>lbf</v>
      </c>
      <c r="F120" s="6" t="s">
        <v>37</v>
      </c>
      <c r="G120" s="36">
        <f>C120/G108</f>
        <v>3.9597979746446659</v>
      </c>
      <c r="H120" s="6" t="str">
        <f>IF(D104="English","psi","Pa")</f>
        <v>psi</v>
      </c>
      <c r="I120" s="26"/>
      <c r="J120" s="4" t="s">
        <v>41</v>
      </c>
      <c r="K120" s="32">
        <f>K118*6</f>
        <v>-12000</v>
      </c>
      <c r="L120" s="4" t="str">
        <f>IF(L104="English","in-lbf", "Nm")</f>
        <v>in-lbf</v>
      </c>
    </row>
    <row r="121" spans="2:19" ht="18" x14ac:dyDescent="0.25">
      <c r="B121" s="4" t="s">
        <v>42</v>
      </c>
      <c r="C121" s="32">
        <v>7</v>
      </c>
      <c r="D121" s="4" t="str">
        <f>IF(D104="English","in-lbf", "Nm")</f>
        <v>in-lbf</v>
      </c>
      <c r="F121" s="6" t="s">
        <v>31</v>
      </c>
      <c r="G121" s="36">
        <f>((C121*C110)/G112)</f>
        <v>4.2</v>
      </c>
      <c r="H121" s="6" t="str">
        <f>IF(D104="English","psi","Pa")</f>
        <v>psi</v>
      </c>
      <c r="I121" s="26"/>
      <c r="J121" s="4" t="s">
        <v>43</v>
      </c>
      <c r="K121" s="32"/>
      <c r="L121" s="4" t="str">
        <f>IF(L104="English","in-lbf", "Nm")</f>
        <v>in-lbf</v>
      </c>
      <c r="N121" s="9" t="s">
        <v>82</v>
      </c>
      <c r="O121" s="9"/>
      <c r="P121" s="10"/>
    </row>
    <row r="122" spans="2:19" ht="15" customHeight="1" x14ac:dyDescent="0.25">
      <c r="B122" s="4" t="s">
        <v>41</v>
      </c>
      <c r="C122" s="32">
        <v>7</v>
      </c>
      <c r="D122" s="4" t="str">
        <f>IF(D104="English","in-lbf", "Nm")</f>
        <v>in-lbf</v>
      </c>
      <c r="F122" s="6" t="s">
        <v>32</v>
      </c>
      <c r="G122" s="36">
        <f>G121*((C108/2)/C110)</f>
        <v>2.9698484809834995</v>
      </c>
      <c r="H122" s="6" t="str">
        <f>IF(D104="English","psi","Pa")</f>
        <v>psi</v>
      </c>
      <c r="I122" s="26"/>
      <c r="N122" s="6" t="s">
        <v>64</v>
      </c>
      <c r="O122" s="36">
        <f>O119</f>
        <v>-13504.744742356592</v>
      </c>
      <c r="P122" s="6" t="str">
        <f>IF(L104="English","psi","Pa")</f>
        <v>psi</v>
      </c>
    </row>
    <row r="123" spans="2:19" ht="15" customHeight="1" x14ac:dyDescent="0.25">
      <c r="B123" s="4" t="s">
        <v>43</v>
      </c>
      <c r="C123" s="32">
        <v>7</v>
      </c>
      <c r="D123" s="4" t="str">
        <f>IF(D104="English","in-lbf", "Nm")</f>
        <v>in-lbf</v>
      </c>
      <c r="F123" s="6" t="s">
        <v>33</v>
      </c>
      <c r="G123" s="36">
        <f>G121*((C109/2)/C110)</f>
        <v>2.9698484809834995</v>
      </c>
      <c r="H123" s="6" t="str">
        <f>IF(D104="English","psi","Pa")</f>
        <v>psi</v>
      </c>
      <c r="I123" s="26"/>
      <c r="J123" s="7" t="s">
        <v>50</v>
      </c>
      <c r="K123" s="8"/>
      <c r="L123" s="8"/>
      <c r="N123" s="6" t="s">
        <v>65</v>
      </c>
      <c r="O123" s="36">
        <v>0</v>
      </c>
      <c r="P123" s="6" t="str">
        <f>IF(L104="English","psi","Pa")</f>
        <v>psi</v>
      </c>
    </row>
    <row r="124" spans="2:19" ht="15" customHeight="1" x14ac:dyDescent="0.25">
      <c r="F124" s="6" t="s">
        <v>51</v>
      </c>
      <c r="G124" s="36">
        <f>G119+G122</f>
        <v>6.9296464556281654</v>
      </c>
      <c r="H124" s="6" t="str">
        <f>IF(D104="English","psi","Pa")</f>
        <v>psi</v>
      </c>
      <c r="I124" s="26"/>
      <c r="J124" s="4" t="s">
        <v>8</v>
      </c>
      <c r="K124" s="32">
        <v>7</v>
      </c>
      <c r="L124" s="4" t="str">
        <f>IF(L104="English","psi","Pa")</f>
        <v>psi</v>
      </c>
      <c r="N124" s="6" t="s">
        <v>66</v>
      </c>
      <c r="O124" s="36">
        <f>O117+O122</f>
        <v>-13504.744742356592</v>
      </c>
      <c r="P124" s="6" t="str">
        <f>IF(L104="English","psi","Pa")</f>
        <v>psi</v>
      </c>
    </row>
    <row r="125" spans="2:19" ht="15" customHeight="1" x14ac:dyDescent="0.25">
      <c r="B125" s="7" t="s">
        <v>50</v>
      </c>
      <c r="C125" s="8"/>
      <c r="D125" s="8"/>
      <c r="F125" s="6" t="s">
        <v>52</v>
      </c>
      <c r="G125" s="36">
        <f>G119-G122</f>
        <v>0.98994949366116636</v>
      </c>
      <c r="H125" s="6" t="str">
        <f>IF(D104="English","psi","Pa")</f>
        <v>psi</v>
      </c>
      <c r="I125" s="26"/>
      <c r="J125" s="6" t="s">
        <v>18</v>
      </c>
      <c r="K125" s="16">
        <f>IF(L104="English",K124*O108, K124*(O108*10^-6))</f>
        <v>7.7750451417771407</v>
      </c>
      <c r="L125" s="6" t="str">
        <f>IF(L104="English","lbf", "N")</f>
        <v>lbf</v>
      </c>
      <c r="N125" s="6" t="s">
        <v>80</v>
      </c>
      <c r="O125" s="36">
        <f>O117-O122</f>
        <v>13504.744742356592</v>
      </c>
      <c r="P125" s="6" t="str">
        <f>IF(L104="English","psi","Pa")</f>
        <v>psi</v>
      </c>
    </row>
    <row r="126" spans="2:19" ht="18" x14ac:dyDescent="0.25">
      <c r="B126" s="4" t="s">
        <v>8</v>
      </c>
      <c r="C126" s="32">
        <v>7</v>
      </c>
      <c r="D126" s="4" t="str">
        <f>IF(D104="English","psi","Pa")</f>
        <v>psi</v>
      </c>
      <c r="F126" s="6" t="s">
        <v>53</v>
      </c>
      <c r="G126" s="36">
        <f>G120+G123</f>
        <v>6.9296464556281654</v>
      </c>
      <c r="H126" s="6" t="str">
        <f>IF(D104="English","psi","Pa")</f>
        <v>psi</v>
      </c>
      <c r="I126" s="26"/>
      <c r="N126" s="6" t="s">
        <v>67</v>
      </c>
      <c r="O126" s="36">
        <f>O118+O123</f>
        <v>-1800.6326323142123</v>
      </c>
      <c r="P126" s="6" t="str">
        <f>IF(L104="English","psi","Pa")</f>
        <v>psi</v>
      </c>
    </row>
    <row r="127" spans="2:19" ht="15" customHeight="1" x14ac:dyDescent="0.25">
      <c r="B127" s="6" t="s">
        <v>18</v>
      </c>
      <c r="C127" s="16">
        <f>IF(D104="English",C126*G108, C126*(G108*10^-6))</f>
        <v>12.374368670764582</v>
      </c>
      <c r="D127" s="6" t="str">
        <f>IF(D104="English","lbf", "N")</f>
        <v>lbf</v>
      </c>
      <c r="F127" s="6" t="s">
        <v>54</v>
      </c>
      <c r="G127" s="36">
        <f>G120-G123</f>
        <v>0.98994949366116636</v>
      </c>
      <c r="H127" s="6" t="str">
        <f>IF(D104="English","psi","Pa")</f>
        <v>psi</v>
      </c>
      <c r="I127" s="26"/>
      <c r="N127" s="6" t="s">
        <v>81</v>
      </c>
      <c r="O127" s="36">
        <f>O118-O123</f>
        <v>-1800.6326323142123</v>
      </c>
      <c r="P127" s="6" t="str">
        <f>IF(L104="English","psi","Pa")</f>
        <v>psi</v>
      </c>
    </row>
    <row r="128" spans="2:19" ht="15" customHeight="1" x14ac:dyDescent="0.25">
      <c r="F128" s="6" t="s">
        <v>55</v>
      </c>
      <c r="G128" s="36">
        <f>MAX(ABS(G124),ABS(G125))</f>
        <v>6.9296464556281654</v>
      </c>
      <c r="H128" s="6" t="str">
        <f>IF(D104="English","psi","Pa")</f>
        <v>psi</v>
      </c>
      <c r="I128" s="26"/>
      <c r="N128" s="6" t="s">
        <v>98</v>
      </c>
      <c r="O128" s="36">
        <f>MAX(SQRT(O124^2 + O126^2),SQRT(O125^2 + O127^2))</f>
        <v>13624.258087424902</v>
      </c>
      <c r="P128" s="6" t="str">
        <f>IF(L104="English","psi","Pa")</f>
        <v>psi</v>
      </c>
      <c r="Q128" s="33" t="s">
        <v>97</v>
      </c>
      <c r="R128" s="33"/>
      <c r="S128" s="33"/>
    </row>
    <row r="129" spans="6:19" ht="15" customHeight="1" x14ac:dyDescent="0.25">
      <c r="F129" s="6" t="s">
        <v>56</v>
      </c>
      <c r="G129" s="36">
        <f>MAX(ABS(G126),ABS(G127))</f>
        <v>6.9296464556281654</v>
      </c>
      <c r="H129" s="6" t="str">
        <f>IF(D104="English","psi","Pa")</f>
        <v>psi</v>
      </c>
      <c r="I129" s="26"/>
      <c r="N129"/>
      <c r="Q129" s="33" t="s">
        <v>99</v>
      </c>
      <c r="R129" s="33"/>
      <c r="S129" s="33"/>
    </row>
    <row r="130" spans="6:19" ht="15" customHeight="1" x14ac:dyDescent="0.25">
      <c r="F130" s="6" t="s">
        <v>47</v>
      </c>
      <c r="G130" s="36" cm="1">
        <f t="array" ref="G130">SQRT(SUM(G128:G129^2))</f>
        <v>9.7999999999999989</v>
      </c>
      <c r="H130" s="6" t="str">
        <f>IF(D104="English","psi","Pa")</f>
        <v>psi</v>
      </c>
      <c r="I130" s="26"/>
      <c r="N130" s="9" t="s">
        <v>93</v>
      </c>
      <c r="O130" s="9"/>
      <c r="P130" s="10"/>
      <c r="Q130" s="33" t="s">
        <v>100</v>
      </c>
      <c r="R130" s="33"/>
      <c r="S130" s="33"/>
    </row>
    <row r="131" spans="6:19" ht="15" customHeight="1" x14ac:dyDescent="0.25">
      <c r="F131"/>
      <c r="I131" s="26"/>
      <c r="N131" s="6" t="s">
        <v>87</v>
      </c>
      <c r="O131" s="36">
        <v>0</v>
      </c>
      <c r="P131" s="6" t="str">
        <f>IF(L104="English","psi","Pa")</f>
        <v>psi</v>
      </c>
    </row>
    <row r="132" spans="6:19" ht="15" customHeight="1" x14ac:dyDescent="0.25">
      <c r="F132" s="9" t="s">
        <v>48</v>
      </c>
      <c r="G132" s="9"/>
      <c r="H132" s="10"/>
      <c r="I132" s="26"/>
      <c r="N132" s="6" t="s">
        <v>88</v>
      </c>
      <c r="O132" s="36">
        <f>O119</f>
        <v>-13504.744742356592</v>
      </c>
      <c r="P132" s="6" t="str">
        <f>IF(L104="English","psi","Pa")</f>
        <v>psi</v>
      </c>
    </row>
    <row r="133" spans="6:19" ht="15" customHeight="1" x14ac:dyDescent="0.25">
      <c r="F133" s="6" t="s">
        <v>45</v>
      </c>
      <c r="G133" s="36">
        <f>(C122*(C108-G110))/G114</f>
        <v>5.939696961966999</v>
      </c>
      <c r="H133" s="6" t="str">
        <f>IF(D104="English","psi","Pa")</f>
        <v>psi</v>
      </c>
      <c r="I133" s="26"/>
      <c r="N133" s="6" t="s">
        <v>83</v>
      </c>
      <c r="O133" s="36">
        <f>O117+O131</f>
        <v>0</v>
      </c>
      <c r="P133" s="6" t="str">
        <f>IF(L104="English","psi","Pa")</f>
        <v>psi</v>
      </c>
    </row>
    <row r="134" spans="6:19" ht="15" customHeight="1" x14ac:dyDescent="0.25">
      <c r="F134" s="6" t="s">
        <v>46</v>
      </c>
      <c r="G134" s="36">
        <f>(C123*(C109-G109))/G116</f>
        <v>5.939696961966999</v>
      </c>
      <c r="H134" s="6" t="str">
        <f>IF(D104="English","psi","Pa")</f>
        <v>psi</v>
      </c>
      <c r="I134" s="26"/>
      <c r="N134" s="6" t="s">
        <v>84</v>
      </c>
      <c r="O134" s="36">
        <f>O117-O131</f>
        <v>0</v>
      </c>
      <c r="P134" s="6" t="str">
        <f>IF(L104="English","psi","Pa")</f>
        <v>psi</v>
      </c>
    </row>
    <row r="135" spans="6:19" ht="15" customHeight="1" x14ac:dyDescent="0.25">
      <c r="F135" s="6" t="s">
        <v>30</v>
      </c>
      <c r="G135" s="36" cm="1">
        <f t="array" ref="G135">SQRT(SUM(G133:G134^2))</f>
        <v>8.4</v>
      </c>
      <c r="H135" s="6" t="str">
        <f>IF(D104="English","psi","Pa")</f>
        <v>psi</v>
      </c>
      <c r="I135" s="26"/>
      <c r="N135" s="6" t="s">
        <v>85</v>
      </c>
      <c r="O135" s="36">
        <f>O118+O132</f>
        <v>-15305.377374670805</v>
      </c>
      <c r="P135" s="6" t="str">
        <f>IF(L104="English","psi","Pa")</f>
        <v>psi</v>
      </c>
    </row>
    <row r="136" spans="6:19" ht="15" customHeight="1" x14ac:dyDescent="0.25">
      <c r="I136" s="26"/>
      <c r="N136" s="6" t="s">
        <v>86</v>
      </c>
      <c r="O136" s="36">
        <f>O118-O132</f>
        <v>11704.112110042379</v>
      </c>
      <c r="P136" s="6" t="str">
        <f>IF(L104="English","psi","Pa")</f>
        <v>psi</v>
      </c>
    </row>
    <row r="137" spans="6:19" ht="15" customHeight="1" x14ac:dyDescent="0.25">
      <c r="F137" s="9" t="s">
        <v>49</v>
      </c>
      <c r="G137" s="9"/>
      <c r="H137" s="10"/>
      <c r="I137" s="26"/>
      <c r="N137" s="6" t="s">
        <v>94</v>
      </c>
      <c r="O137" s="36">
        <f>MAX(SQRT(O133^2 + O135^2),SQRT(O134^2 + O136^2))</f>
        <v>15305.377374670805</v>
      </c>
      <c r="P137" s="6" t="str">
        <f>IF(L104="English","psi","Pa")</f>
        <v>psi</v>
      </c>
      <c r="Q137" s="33" t="s">
        <v>97</v>
      </c>
      <c r="R137" s="33"/>
      <c r="S137" s="33"/>
    </row>
    <row r="138" spans="6:19" ht="15" customHeight="1" x14ac:dyDescent="0.25">
      <c r="F138" s="6" t="s">
        <v>40</v>
      </c>
      <c r="G138" s="36">
        <f>SQRT(SUM(G130^2,G135^2))</f>
        <v>12.907362240210041</v>
      </c>
      <c r="H138" s="6" t="str">
        <f>IF(D104="English","psi","Pa")</f>
        <v>psi</v>
      </c>
      <c r="I138" s="26"/>
      <c r="O138" s="1"/>
      <c r="P138" s="1"/>
      <c r="Q138" s="33" t="s">
        <v>101</v>
      </c>
      <c r="R138" s="33"/>
      <c r="S138" s="33"/>
    </row>
    <row r="139" spans="6:19" ht="15" customHeight="1" x14ac:dyDescent="0.25">
      <c r="I139" s="26"/>
      <c r="N139" s="9" t="s">
        <v>63</v>
      </c>
      <c r="O139" s="9"/>
      <c r="P139" s="10"/>
      <c r="Q139" s="33" t="s">
        <v>102</v>
      </c>
      <c r="R139" s="33"/>
      <c r="S139" s="33"/>
    </row>
    <row r="140" spans="6:19" ht="15" customHeight="1" x14ac:dyDescent="0.25">
      <c r="I140" s="26"/>
      <c r="N140" s="6" t="s">
        <v>68</v>
      </c>
      <c r="O140" s="36">
        <f>(K120*K108)/O114</f>
        <v>-21607.591587770545</v>
      </c>
      <c r="P140" s="6" t="str">
        <f>IF(L104="English","psi","Pa")</f>
        <v>psi</v>
      </c>
      <c r="Q140" s="37" t="s">
        <v>103</v>
      </c>
      <c r="R140" s="37"/>
      <c r="S140" s="37"/>
    </row>
    <row r="141" spans="6:19" ht="15" customHeight="1" x14ac:dyDescent="0.25">
      <c r="I141" s="26"/>
      <c r="J141" s="34" t="s">
        <v>69</v>
      </c>
      <c r="K141" s="34"/>
      <c r="L141" s="34"/>
      <c r="Q141" s="37" t="s">
        <v>104</v>
      </c>
      <c r="R141" s="37"/>
      <c r="S141" s="37"/>
    </row>
    <row r="142" spans="6:19" ht="15" customHeight="1" x14ac:dyDescent="0.25">
      <c r="I142" s="26"/>
      <c r="J142" s="34" t="s">
        <v>70</v>
      </c>
      <c r="K142" s="34"/>
      <c r="L142" s="34"/>
      <c r="N142" s="9" t="s">
        <v>89</v>
      </c>
      <c r="O142" s="9"/>
      <c r="P142" s="10"/>
      <c r="Q142" s="37" t="s">
        <v>105</v>
      </c>
      <c r="R142" s="37"/>
      <c r="S142" s="37"/>
    </row>
    <row r="143" spans="6:19" ht="15" customHeight="1" x14ac:dyDescent="0.25">
      <c r="I143" s="26"/>
      <c r="J143" s="34" t="s">
        <v>71</v>
      </c>
      <c r="K143" s="34"/>
      <c r="L143" s="34"/>
      <c r="N143" s="6" t="s">
        <v>90</v>
      </c>
      <c r="O143" s="36">
        <f>(K121*K108)/O114</f>
        <v>0</v>
      </c>
      <c r="P143" s="6" t="str">
        <f>IF(L104="English","psi","Pa")</f>
        <v>psi</v>
      </c>
      <c r="Q143" s="33" t="s">
        <v>106</v>
      </c>
      <c r="R143" s="33"/>
      <c r="S143" s="33"/>
    </row>
    <row r="144" spans="6:19" ht="15" customHeight="1" x14ac:dyDescent="0.25">
      <c r="I144" s="26"/>
      <c r="J144" s="34" t="s">
        <v>72</v>
      </c>
      <c r="K144" s="34"/>
      <c r="L144" s="34"/>
      <c r="N144"/>
      <c r="Q144" s="33" t="s">
        <v>104</v>
      </c>
      <c r="R144" s="33"/>
      <c r="S144" s="33"/>
    </row>
    <row r="145" spans="9:19" ht="15" customHeight="1" x14ac:dyDescent="0.25">
      <c r="I145" s="26"/>
      <c r="J145" s="34" t="s">
        <v>73</v>
      </c>
      <c r="K145" s="34"/>
      <c r="L145" s="34"/>
      <c r="N145" s="9" t="s">
        <v>92</v>
      </c>
      <c r="O145" s="9"/>
      <c r="P145" s="10"/>
      <c r="Q145" s="33" t="s">
        <v>105</v>
      </c>
      <c r="R145" s="33"/>
      <c r="S145" s="33"/>
    </row>
    <row r="146" spans="9:19" ht="15" customHeight="1" x14ac:dyDescent="0.25">
      <c r="I146" s="26"/>
      <c r="N146" s="6" t="s">
        <v>91</v>
      </c>
      <c r="O146" s="36">
        <f>SQRT(SUM(O128^2,O140^2))</f>
        <v>25544.244413500572</v>
      </c>
      <c r="P146" s="6" t="str">
        <f>IF(L104="English","psi","Pa")</f>
        <v>psi</v>
      </c>
    </row>
    <row r="147" spans="9:19" ht="15" customHeight="1" x14ac:dyDescent="0.25">
      <c r="I147" s="26"/>
    </row>
    <row r="148" spans="9:19" ht="15" customHeight="1" x14ac:dyDescent="0.25">
      <c r="I148" s="26"/>
      <c r="N148" s="9" t="s">
        <v>95</v>
      </c>
      <c r="O148" s="9"/>
      <c r="P148" s="10"/>
    </row>
    <row r="149" spans="9:19" ht="15" customHeight="1" x14ac:dyDescent="0.25">
      <c r="I149" s="26"/>
      <c r="N149" s="6" t="s">
        <v>96</v>
      </c>
      <c r="O149" s="36">
        <f>SQRT(SUM(O137^2,O143^2))</f>
        <v>15305.377374670805</v>
      </c>
      <c r="P149" s="6" t="str">
        <f>IF(L104="English","psi","Pa")</f>
        <v>psi</v>
      </c>
    </row>
    <row r="150" spans="9:19" ht="15" customHeight="1" x14ac:dyDescent="0.25">
      <c r="I150" s="26"/>
    </row>
    <row r="151" spans="9:19" ht="15" customHeight="1" x14ac:dyDescent="0.25">
      <c r="I151" s="26"/>
    </row>
    <row r="152" spans="9:19" ht="15" customHeight="1" x14ac:dyDescent="0.25">
      <c r="I152" s="26"/>
    </row>
    <row r="153" spans="9:19" ht="15" customHeight="1" x14ac:dyDescent="0.25">
      <c r="I153" s="26"/>
    </row>
    <row r="154" spans="9:19" ht="15" customHeight="1" x14ac:dyDescent="0.25">
      <c r="I154" s="26"/>
    </row>
    <row r="155" spans="9:19" ht="15" customHeight="1" x14ac:dyDescent="0.25">
      <c r="I155" s="26"/>
    </row>
    <row r="156" spans="9:19" ht="15" customHeight="1" x14ac:dyDescent="0.25">
      <c r="I156" s="26"/>
    </row>
    <row r="157" spans="9:19" ht="15" customHeight="1" x14ac:dyDescent="0.25">
      <c r="I157" s="26"/>
    </row>
    <row r="158" spans="9:19" ht="15" customHeight="1" x14ac:dyDescent="0.25">
      <c r="I158" s="26"/>
    </row>
    <row r="159" spans="9:19" ht="15" customHeight="1" x14ac:dyDescent="0.25">
      <c r="I159" s="26"/>
    </row>
    <row r="160" spans="9:19" ht="15" customHeight="1" x14ac:dyDescent="0.25">
      <c r="I160" s="26"/>
    </row>
    <row r="161" spans="7:10" ht="15" customHeight="1" x14ac:dyDescent="0.25">
      <c r="I161" s="26"/>
    </row>
    <row r="162" spans="7:10" ht="15" customHeight="1" x14ac:dyDescent="0.25">
      <c r="I162" s="26"/>
    </row>
    <row r="165" spans="7:10" ht="15" customHeight="1" x14ac:dyDescent="0.25">
      <c r="G165" s="30"/>
      <c r="H165" s="30"/>
      <c r="I165" s="31" t="s">
        <v>29</v>
      </c>
      <c r="J165" s="19"/>
    </row>
  </sheetData>
  <dataValidations count="1">
    <dataValidation type="list" allowBlank="1" showInputMessage="1" showErrorMessage="1" sqref="D3 L3 D53 L53 D104 L104" xr:uid="{F1269B14-2A6E-45B0-A0A7-69285297ACFC}">
      <formula1>"English, Metric"</formula1>
    </dataValidation>
  </dataValidations>
  <pageMargins left="0.7" right="0.7" top="0.75" bottom="0.75" header="0.3" footer="0.3"/>
  <pageSetup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72F8C-1289-41D2-B082-E2397809A406}">
  <sheetPr>
    <tabColor rgb="FF00B050"/>
  </sheetPr>
  <dimension ref="A2:P75"/>
  <sheetViews>
    <sheetView topLeftCell="D19" zoomScale="85" zoomScaleNormal="85" workbookViewId="0">
      <selection activeCell="N56" sqref="N56"/>
    </sheetView>
  </sheetViews>
  <sheetFormatPr defaultRowHeight="15" customHeight="1" x14ac:dyDescent="0.25"/>
  <cols>
    <col min="2" max="2" width="30.7109375" style="1" customWidth="1"/>
    <col min="3" max="3" width="13" style="1" customWidth="1"/>
    <col min="4" max="4" width="10.140625" style="1" customWidth="1"/>
    <col min="5" max="5" width="9.140625" style="1" customWidth="1"/>
    <col min="6" max="6" width="34" style="1" bestFit="1" customWidth="1"/>
    <col min="7" max="7" width="13" customWidth="1"/>
    <col min="8" max="8" width="10.140625" customWidth="1"/>
    <col min="9" max="9" width="2.7109375" customWidth="1"/>
    <col min="10" max="10" width="30.7109375" style="1" customWidth="1"/>
    <col min="11" max="11" width="13" style="1" customWidth="1"/>
    <col min="12" max="12" width="10.140625" style="1" customWidth="1"/>
    <col min="13" max="13" width="9.140625" style="1"/>
    <col min="14" max="14" width="34" style="1" bestFit="1" customWidth="1"/>
    <col min="15" max="15" width="13" customWidth="1"/>
    <col min="16" max="16" width="10.140625" customWidth="1"/>
  </cols>
  <sheetData>
    <row r="2" spans="2:16" ht="15" customHeight="1" x14ac:dyDescent="0.25">
      <c r="B2" s="23" t="s">
        <v>9</v>
      </c>
      <c r="C2" s="24">
        <v>1</v>
      </c>
      <c r="D2" s="22"/>
      <c r="E2" s="22"/>
      <c r="F2" s="22"/>
      <c r="G2" s="22"/>
      <c r="H2" s="22"/>
      <c r="I2" s="26"/>
      <c r="J2" s="23" t="s">
        <v>9</v>
      </c>
      <c r="K2" s="24">
        <v>2</v>
      </c>
      <c r="L2" s="22"/>
      <c r="M2" s="22"/>
      <c r="N2" s="22"/>
      <c r="O2" s="22"/>
      <c r="P2" s="22"/>
    </row>
    <row r="3" spans="2:16" ht="15" customHeight="1" x14ac:dyDescent="0.25">
      <c r="B3" s="2" t="s">
        <v>0</v>
      </c>
      <c r="C3" s="3" t="s">
        <v>1</v>
      </c>
      <c r="D3" s="21" t="s">
        <v>4</v>
      </c>
      <c r="E3"/>
      <c r="F3" s="5" t="s">
        <v>3</v>
      </c>
      <c r="G3" s="6"/>
      <c r="H3" s="6"/>
      <c r="I3" s="26"/>
      <c r="J3" s="2" t="s">
        <v>0</v>
      </c>
      <c r="K3" s="3" t="s">
        <v>1</v>
      </c>
      <c r="L3" s="21" t="s">
        <v>2</v>
      </c>
      <c r="M3"/>
      <c r="N3" s="5" t="s">
        <v>3</v>
      </c>
      <c r="O3" s="6"/>
      <c r="P3" s="6"/>
    </row>
    <row r="4" spans="2:16" ht="15" customHeight="1" x14ac:dyDescent="0.25">
      <c r="I4" s="26"/>
    </row>
    <row r="5" spans="2:16" ht="15" customHeight="1" x14ac:dyDescent="0.25">
      <c r="B5" s="7" t="s">
        <v>10</v>
      </c>
      <c r="C5" s="8"/>
      <c r="D5" s="8"/>
      <c r="E5"/>
      <c r="F5" s="9" t="s">
        <v>38</v>
      </c>
      <c r="G5" s="9"/>
      <c r="H5" s="10"/>
      <c r="I5" s="26"/>
      <c r="J5" s="7" t="s">
        <v>10</v>
      </c>
      <c r="K5" s="8"/>
      <c r="L5" s="8"/>
      <c r="M5"/>
      <c r="N5" s="9" t="s">
        <v>38</v>
      </c>
      <c r="O5" s="9"/>
      <c r="P5" s="10"/>
    </row>
    <row r="6" spans="2:16" ht="15" customHeight="1" x14ac:dyDescent="0.25">
      <c r="B6" s="4" t="s">
        <v>7</v>
      </c>
      <c r="C6" s="4"/>
      <c r="D6" s="4" t="str">
        <f>IF(D3="English","in", "mm")</f>
        <v>in</v>
      </c>
      <c r="E6"/>
      <c r="F6" s="6" t="s">
        <v>15</v>
      </c>
      <c r="G6" s="13">
        <f>0.5*SQRT(2)*C6</f>
        <v>0</v>
      </c>
      <c r="H6" s="6" t="str">
        <f>IF(D3="English","in", "mm")</f>
        <v>in</v>
      </c>
      <c r="I6" s="26"/>
      <c r="J6" s="4" t="s">
        <v>7</v>
      </c>
      <c r="K6" s="4">
        <v>5</v>
      </c>
      <c r="L6" s="4" t="str">
        <f>IF(L3="English","in", "mm")</f>
        <v>mm</v>
      </c>
      <c r="M6"/>
      <c r="N6" s="6" t="s">
        <v>15</v>
      </c>
      <c r="O6" s="13">
        <f>0.5*SQRT(2)*K6</f>
        <v>3.5355339059327378</v>
      </c>
      <c r="P6" s="6" t="str">
        <f>IF(L3="English","in", "mm")</f>
        <v>mm</v>
      </c>
    </row>
    <row r="7" spans="2:16" ht="15" customHeight="1" x14ac:dyDescent="0.25">
      <c r="B7" s="4" t="s">
        <v>6</v>
      </c>
      <c r="C7" s="4"/>
      <c r="D7" s="4" t="str">
        <f>IF(D3="English","in", "mm")</f>
        <v>in</v>
      </c>
      <c r="E7"/>
      <c r="F7" s="6" t="s">
        <v>11</v>
      </c>
      <c r="G7" s="13">
        <f>0.5*SQRT(2)*C6*C7</f>
        <v>0</v>
      </c>
      <c r="H7" s="12" t="str">
        <f>IF(D3="English","in^2","mm^2")</f>
        <v>in^2</v>
      </c>
      <c r="I7" s="26"/>
      <c r="J7" s="4" t="s">
        <v>6</v>
      </c>
      <c r="K7" s="4">
        <v>50</v>
      </c>
      <c r="L7" s="4" t="str">
        <f>IF(L3="English","in", "mm")</f>
        <v>mm</v>
      </c>
      <c r="M7"/>
      <c r="N7" s="6" t="s">
        <v>11</v>
      </c>
      <c r="O7" s="13">
        <f>SQRT(2)*K6*K7</f>
        <v>353.55339059327378</v>
      </c>
      <c r="P7" s="12" t="str">
        <f>IF(L3="English","in^2","mm^2")</f>
        <v>mm^2</v>
      </c>
    </row>
    <row r="8" spans="2:16" ht="15" customHeight="1" x14ac:dyDescent="0.25">
      <c r="B8" s="4" t="s">
        <v>8</v>
      </c>
      <c r="C8" s="15"/>
      <c r="D8" s="4" t="str">
        <f>IF(D3="English","psi","Pa")</f>
        <v>psi</v>
      </c>
      <c r="E8"/>
      <c r="F8" s="6" t="s">
        <v>12</v>
      </c>
      <c r="G8" s="18">
        <v>0</v>
      </c>
      <c r="H8" s="6" t="str">
        <f>IF(D3="English","in", "mm")</f>
        <v>in</v>
      </c>
      <c r="I8" s="26"/>
      <c r="J8" s="4" t="s">
        <v>5</v>
      </c>
      <c r="K8" s="4">
        <v>50</v>
      </c>
      <c r="L8" s="4" t="str">
        <f>IF(L3="English","in", "mm")</f>
        <v>mm</v>
      </c>
      <c r="M8"/>
      <c r="N8" s="6" t="s">
        <v>12</v>
      </c>
      <c r="O8" s="18">
        <f>K8/2</f>
        <v>25</v>
      </c>
      <c r="P8" s="6" t="str">
        <f>IF(L3="English","in", "mm")</f>
        <v>mm</v>
      </c>
    </row>
    <row r="9" spans="2:16" ht="15" customHeight="1" x14ac:dyDescent="0.25">
      <c r="E9"/>
      <c r="F9" s="6" t="s">
        <v>13</v>
      </c>
      <c r="G9" s="18">
        <f>C7/2</f>
        <v>0</v>
      </c>
      <c r="H9" s="6" t="str">
        <f>IF(D3="English","in", "mm")</f>
        <v>in</v>
      </c>
      <c r="I9" s="26"/>
      <c r="J9" s="4" t="s">
        <v>8</v>
      </c>
      <c r="K9" s="15">
        <f>140*10^6</f>
        <v>140000000</v>
      </c>
      <c r="L9" s="4" t="str">
        <f>IF(L3="English","psi","Pa")</f>
        <v>Pa</v>
      </c>
      <c r="M9"/>
      <c r="N9" s="6" t="s">
        <v>13</v>
      </c>
      <c r="O9" s="18">
        <f>K7/2</f>
        <v>25</v>
      </c>
      <c r="P9" s="6" t="str">
        <f>IF(L3="English","in", "mm")</f>
        <v>mm</v>
      </c>
    </row>
    <row r="10" spans="2:16" ht="15" customHeight="1" x14ac:dyDescent="0.25">
      <c r="F10" s="6" t="s">
        <v>14</v>
      </c>
      <c r="G10" s="25">
        <f>(C7^3)/12</f>
        <v>0</v>
      </c>
      <c r="H10" s="27" t="s">
        <v>19</v>
      </c>
      <c r="I10" s="26"/>
      <c r="N10" s="6" t="s">
        <v>14</v>
      </c>
      <c r="O10" s="25">
        <f>(K7*(3*(K8^2)+(K7^2)))/(6)</f>
        <v>83333.333333333328</v>
      </c>
      <c r="P10" s="27" t="s">
        <v>19</v>
      </c>
    </row>
    <row r="11" spans="2:16" ht="15" customHeight="1" x14ac:dyDescent="0.25">
      <c r="F11" s="6" t="s">
        <v>16</v>
      </c>
      <c r="G11" s="25">
        <f>G6*G10</f>
        <v>0</v>
      </c>
      <c r="H11" s="6" t="str">
        <f>IF(D3="English","in^4", "mm^4")</f>
        <v>in^4</v>
      </c>
      <c r="I11" s="26"/>
      <c r="N11" s="6" t="s">
        <v>16</v>
      </c>
      <c r="O11" s="25">
        <f>O6*O10</f>
        <v>294627.82549439481</v>
      </c>
      <c r="P11" s="6" t="str">
        <f>IF(L3="English","in^4", "mm^4")</f>
        <v>mm^4</v>
      </c>
    </row>
    <row r="12" spans="2:16" ht="15" customHeight="1" x14ac:dyDescent="0.25">
      <c r="F12" s="6" t="s">
        <v>18</v>
      </c>
      <c r="G12" s="16">
        <f>IF(D3="English",C8*G7, C8*(G7*10^-6))</f>
        <v>0</v>
      </c>
      <c r="H12" s="6" t="str">
        <f>IF(D3="English","lbf", "N")</f>
        <v>lbf</v>
      </c>
      <c r="I12" s="26"/>
      <c r="N12" s="6" t="s">
        <v>18</v>
      </c>
      <c r="O12" s="16">
        <f>IF(L3="English",K9*O7, K9*(O7*10^-6))</f>
        <v>49497.474683058324</v>
      </c>
      <c r="P12" s="6" t="str">
        <f>IF(L3="English","lbf", "N")</f>
        <v>N</v>
      </c>
    </row>
    <row r="13" spans="2:16" ht="15" customHeight="1" x14ac:dyDescent="0.25">
      <c r="I13" s="26"/>
    </row>
    <row r="14" spans="2:16" ht="15" customHeight="1" x14ac:dyDescent="0.25">
      <c r="I14" s="26"/>
    </row>
    <row r="15" spans="2:16" ht="15" customHeight="1" x14ac:dyDescent="0.25">
      <c r="I15" s="26"/>
    </row>
    <row r="16" spans="2:16" ht="15" customHeight="1" x14ac:dyDescent="0.25">
      <c r="I16" s="26"/>
    </row>
    <row r="17" spans="2:16" ht="15" customHeight="1" x14ac:dyDescent="0.25">
      <c r="I17" s="26"/>
    </row>
    <row r="18" spans="2:16" ht="15" customHeight="1" x14ac:dyDescent="0.25">
      <c r="I18" s="26"/>
    </row>
    <row r="19" spans="2:16" ht="15" customHeight="1" x14ac:dyDescent="0.25">
      <c r="I19" s="26"/>
    </row>
    <row r="20" spans="2:16" ht="15" customHeight="1" x14ac:dyDescent="0.25">
      <c r="I20" s="26"/>
    </row>
    <row r="21" spans="2:16" ht="15" customHeight="1" x14ac:dyDescent="0.25">
      <c r="I21" s="26"/>
    </row>
    <row r="22" spans="2:16" ht="15" customHeight="1" x14ac:dyDescent="0.25">
      <c r="I22" s="26"/>
    </row>
    <row r="23" spans="2:16" ht="15" customHeight="1" x14ac:dyDescent="0.25">
      <c r="I23" s="26"/>
    </row>
    <row r="24" spans="2:16" ht="15" customHeight="1" x14ac:dyDescent="0.25">
      <c r="I24" s="26"/>
    </row>
    <row r="25" spans="2:16" ht="15" customHeight="1" x14ac:dyDescent="0.25">
      <c r="I25" s="26"/>
      <c r="N25"/>
    </row>
    <row r="26" spans="2:16" ht="15" customHeight="1" x14ac:dyDescent="0.25">
      <c r="B26" s="11"/>
      <c r="C26" s="11"/>
      <c r="D26" s="11"/>
      <c r="E26" s="11"/>
      <c r="F26" s="11"/>
      <c r="G26" s="26"/>
      <c r="H26" s="26"/>
      <c r="I26" s="26"/>
      <c r="J26" s="11"/>
      <c r="K26" s="11"/>
      <c r="L26" s="11"/>
      <c r="M26" s="11"/>
      <c r="N26" s="26"/>
      <c r="O26" s="26"/>
      <c r="P26" s="26"/>
    </row>
    <row r="27" spans="2:16" ht="15" customHeight="1" x14ac:dyDescent="0.25">
      <c r="B27" s="23" t="s">
        <v>9</v>
      </c>
      <c r="C27" s="24">
        <v>3</v>
      </c>
      <c r="D27" s="22"/>
      <c r="E27" s="22"/>
      <c r="F27" s="22"/>
      <c r="G27" s="22"/>
      <c r="H27" s="22"/>
      <c r="I27" s="26"/>
      <c r="J27" s="23" t="s">
        <v>9</v>
      </c>
      <c r="K27" s="24">
        <v>4</v>
      </c>
      <c r="L27" s="22"/>
      <c r="M27" s="22"/>
      <c r="N27" s="22"/>
      <c r="O27" s="22"/>
      <c r="P27" s="22"/>
    </row>
    <row r="28" spans="2:16" ht="15" customHeight="1" x14ac:dyDescent="0.25">
      <c r="B28" s="2" t="s">
        <v>0</v>
      </c>
      <c r="C28" s="3" t="s">
        <v>1</v>
      </c>
      <c r="D28" s="21" t="s">
        <v>4</v>
      </c>
      <c r="E28"/>
      <c r="F28" s="5" t="s">
        <v>3</v>
      </c>
      <c r="G28" s="6"/>
      <c r="H28" s="6"/>
      <c r="I28" s="26"/>
      <c r="J28" s="2" t="s">
        <v>0</v>
      </c>
      <c r="K28" s="3" t="s">
        <v>1</v>
      </c>
      <c r="L28" s="21" t="s">
        <v>2</v>
      </c>
      <c r="M28"/>
      <c r="N28" s="5" t="s">
        <v>3</v>
      </c>
      <c r="O28" s="6"/>
      <c r="P28" s="6"/>
    </row>
    <row r="29" spans="2:16" ht="15" customHeight="1" x14ac:dyDescent="0.25">
      <c r="I29" s="26"/>
    </row>
    <row r="30" spans="2:16" ht="15" customHeight="1" x14ac:dyDescent="0.25">
      <c r="B30" s="7" t="s">
        <v>10</v>
      </c>
      <c r="C30" s="8"/>
      <c r="D30" s="8"/>
      <c r="E30"/>
      <c r="F30" s="9" t="s">
        <v>38</v>
      </c>
      <c r="G30" s="9"/>
      <c r="H30" s="10"/>
      <c r="I30" s="26"/>
      <c r="J30" s="7" t="s">
        <v>10</v>
      </c>
      <c r="K30" s="8"/>
      <c r="L30" s="8"/>
      <c r="M30"/>
      <c r="N30" s="9" t="s">
        <v>38</v>
      </c>
      <c r="O30" s="9"/>
      <c r="P30" s="10"/>
    </row>
    <row r="31" spans="2:16" ht="15" customHeight="1" x14ac:dyDescent="0.25">
      <c r="B31" s="4" t="s">
        <v>7</v>
      </c>
      <c r="C31" s="4"/>
      <c r="D31" s="4" t="str">
        <f>IF(D28="English","in", "mm")</f>
        <v>in</v>
      </c>
      <c r="E31"/>
      <c r="F31" s="6" t="s">
        <v>15</v>
      </c>
      <c r="G31" s="13">
        <f>0.5*SQRT(2)*C31</f>
        <v>0</v>
      </c>
      <c r="H31" s="6" t="str">
        <f>IF(D28="English","in", "mm")</f>
        <v>in</v>
      </c>
      <c r="I31" s="26"/>
      <c r="J31" s="4" t="s">
        <v>7</v>
      </c>
      <c r="K31" s="4">
        <v>5</v>
      </c>
      <c r="L31" s="4" t="str">
        <f>IF(L28="English","in", "mm")</f>
        <v>mm</v>
      </c>
      <c r="M31"/>
      <c r="N31" s="6" t="s">
        <v>15</v>
      </c>
      <c r="O31" s="13">
        <f>0.5*SQRT(2)*K31</f>
        <v>3.5355339059327378</v>
      </c>
      <c r="P31" s="6" t="str">
        <f>IF(L28="English","in", "mm")</f>
        <v>mm</v>
      </c>
    </row>
    <row r="32" spans="2:16" ht="15" customHeight="1" x14ac:dyDescent="0.25">
      <c r="B32" s="4" t="s">
        <v>6</v>
      </c>
      <c r="C32" s="4"/>
      <c r="D32" s="4" t="str">
        <f>IF(D28="English","in", "mm")</f>
        <v>in</v>
      </c>
      <c r="E32"/>
      <c r="F32" s="6" t="s">
        <v>11</v>
      </c>
      <c r="G32" s="13">
        <f>0.5*SQRT(2)*C31*(C33+C32)</f>
        <v>0</v>
      </c>
      <c r="H32" s="12" t="str">
        <f>IF(D28="English","in^2","mm^2")</f>
        <v>in^2</v>
      </c>
      <c r="I32" s="26"/>
      <c r="J32" s="4" t="s">
        <v>6</v>
      </c>
      <c r="K32" s="4">
        <v>50</v>
      </c>
      <c r="L32" s="4" t="str">
        <f>IF(L28="English","in", "mm")</f>
        <v>mm</v>
      </c>
      <c r="M32"/>
      <c r="N32" s="6" t="s">
        <v>11</v>
      </c>
      <c r="O32" s="13">
        <f>0.5*SQRT(2)*K31*(2*K33+K32)</f>
        <v>530.33008588991061</v>
      </c>
      <c r="P32" s="12" t="str">
        <f>IF(L28="English","in^2","mm^2")</f>
        <v>mm^2</v>
      </c>
    </row>
    <row r="33" spans="2:16" ht="15" customHeight="1" x14ac:dyDescent="0.25">
      <c r="B33" s="4" t="s">
        <v>5</v>
      </c>
      <c r="C33" s="4"/>
      <c r="D33" s="4" t="str">
        <f>IF(D28="English","in", "mm")</f>
        <v>in</v>
      </c>
      <c r="E33"/>
      <c r="F33" s="6" t="s">
        <v>12</v>
      </c>
      <c r="G33" s="18" t="e">
        <f>(C33^2)/(2*(C33+C32))</f>
        <v>#DIV/0!</v>
      </c>
      <c r="H33" s="6" t="str">
        <f>IF(D28="English","in", "mm")</f>
        <v>in</v>
      </c>
      <c r="I33" s="26"/>
      <c r="J33" s="4" t="s">
        <v>5</v>
      </c>
      <c r="K33" s="4">
        <v>50</v>
      </c>
      <c r="L33" s="4" t="str">
        <f>IF(L28="English","in", "mm")</f>
        <v>mm</v>
      </c>
      <c r="M33"/>
      <c r="N33" s="6" t="s">
        <v>12</v>
      </c>
      <c r="O33" s="18">
        <f>(K33^2)/(2*(K33+K32))</f>
        <v>12.5</v>
      </c>
      <c r="P33" s="6" t="str">
        <f>IF(L28="English","in", "mm")</f>
        <v>mm</v>
      </c>
    </row>
    <row r="34" spans="2:16" ht="15" customHeight="1" x14ac:dyDescent="0.25">
      <c r="B34" s="4" t="s">
        <v>8</v>
      </c>
      <c r="C34" s="15"/>
      <c r="D34" s="4" t="str">
        <f>IF(D28="English","psi","Pa")</f>
        <v>psi</v>
      </c>
      <c r="E34"/>
      <c r="F34" s="6" t="s">
        <v>13</v>
      </c>
      <c r="G34" s="18" t="e">
        <f>(C32^2)/(2*(C33+C32))</f>
        <v>#DIV/0!</v>
      </c>
      <c r="H34" s="6" t="str">
        <f>IF(D28="English","in", "mm")</f>
        <v>in</v>
      </c>
      <c r="I34" s="26"/>
      <c r="J34" s="4" t="s">
        <v>8</v>
      </c>
      <c r="K34" s="15">
        <f>140*10^6</f>
        <v>140000000</v>
      </c>
      <c r="L34" s="4" t="str">
        <f>IF(L28="English","psi","Pa")</f>
        <v>Pa</v>
      </c>
      <c r="M34"/>
      <c r="N34" s="6" t="s">
        <v>13</v>
      </c>
      <c r="O34" s="18">
        <f>K32/2</f>
        <v>25</v>
      </c>
      <c r="P34" s="6" t="str">
        <f>IF(L28="English","in", "mm")</f>
        <v>mm</v>
      </c>
    </row>
    <row r="35" spans="2:16" ht="15" customHeight="1" x14ac:dyDescent="0.25">
      <c r="F35" s="6" t="s">
        <v>14</v>
      </c>
      <c r="G35" s="25" t="e">
        <f>((C33+C32)^4 - 6*(C33^2)*(C32^2))/(12*(C33+C32))</f>
        <v>#DIV/0!</v>
      </c>
      <c r="H35" s="27" t="s">
        <v>19</v>
      </c>
      <c r="I35" s="26"/>
      <c r="N35" s="6" t="s">
        <v>14</v>
      </c>
      <c r="O35" s="25">
        <f>(8*K33^3 + 6*K33*K32^2 + K32^3)/(12) - (K33^4)/(2*K33+K32)</f>
        <v>114583.33333333334</v>
      </c>
      <c r="P35" s="27" t="s">
        <v>19</v>
      </c>
    </row>
    <row r="36" spans="2:16" ht="15" customHeight="1" x14ac:dyDescent="0.25">
      <c r="F36" s="6" t="s">
        <v>16</v>
      </c>
      <c r="G36" s="25" t="e">
        <f>G31*G35</f>
        <v>#DIV/0!</v>
      </c>
      <c r="H36" s="6" t="str">
        <f>IF(D28="English","in^4", "mm^4")</f>
        <v>in^4</v>
      </c>
      <c r="I36" s="26"/>
      <c r="N36" s="6" t="s">
        <v>16</v>
      </c>
      <c r="O36" s="25">
        <f>O31*O35</f>
        <v>405113.26005479292</v>
      </c>
      <c r="P36" s="6" t="str">
        <f>IF(L28="English","in^4", "mm^4")</f>
        <v>mm^4</v>
      </c>
    </row>
    <row r="37" spans="2:16" ht="15" customHeight="1" x14ac:dyDescent="0.25">
      <c r="F37" s="6" t="s">
        <v>18</v>
      </c>
      <c r="G37" s="16">
        <f>IF(D28="English",C34*G32, C34*(G32*10^-6))</f>
        <v>0</v>
      </c>
      <c r="H37" s="6" t="str">
        <f>IF(D28="English","lbf", "N")</f>
        <v>lbf</v>
      </c>
      <c r="I37" s="26"/>
      <c r="N37" s="6" t="s">
        <v>18</v>
      </c>
      <c r="O37" s="16">
        <f>IF(L28="English",K34*O32, K34*(O32*10^-6))</f>
        <v>74246.212024587483</v>
      </c>
      <c r="P37" s="6" t="str">
        <f>IF(L28="English","lbf", "N")</f>
        <v>N</v>
      </c>
    </row>
    <row r="38" spans="2:16" ht="15" customHeight="1" x14ac:dyDescent="0.25">
      <c r="I38" s="26"/>
    </row>
    <row r="39" spans="2:16" ht="15" customHeight="1" x14ac:dyDescent="0.25">
      <c r="I39" s="26"/>
    </row>
    <row r="40" spans="2:16" ht="15" customHeight="1" x14ac:dyDescent="0.25">
      <c r="I40" s="26"/>
    </row>
    <row r="41" spans="2:16" ht="15" customHeight="1" x14ac:dyDescent="0.25">
      <c r="I41" s="26"/>
    </row>
    <row r="42" spans="2:16" ht="15" customHeight="1" x14ac:dyDescent="0.25">
      <c r="I42" s="26"/>
    </row>
    <row r="43" spans="2:16" ht="15" customHeight="1" x14ac:dyDescent="0.25">
      <c r="I43" s="26"/>
    </row>
    <row r="44" spans="2:16" ht="15" customHeight="1" x14ac:dyDescent="0.25">
      <c r="I44" s="26"/>
    </row>
    <row r="45" spans="2:16" ht="15" customHeight="1" x14ac:dyDescent="0.25">
      <c r="I45" s="26"/>
    </row>
    <row r="46" spans="2:16" ht="15" customHeight="1" x14ac:dyDescent="0.25">
      <c r="I46" s="26"/>
    </row>
    <row r="47" spans="2:16" ht="15" customHeight="1" x14ac:dyDescent="0.25">
      <c r="I47" s="26"/>
    </row>
    <row r="48" spans="2:16" ht="15" customHeight="1" x14ac:dyDescent="0.25">
      <c r="I48" s="26"/>
    </row>
    <row r="49" spans="1:16" ht="15" customHeight="1" x14ac:dyDescent="0.25">
      <c r="I49" s="26"/>
    </row>
    <row r="50" spans="1:16" ht="15" customHeight="1" x14ac:dyDescent="0.25">
      <c r="A50" s="1"/>
      <c r="F50"/>
      <c r="I50" s="26"/>
      <c r="N50"/>
    </row>
    <row r="51" spans="1:16" ht="15" customHeight="1" x14ac:dyDescent="0.25">
      <c r="A51" s="1"/>
      <c r="F51"/>
      <c r="I51" s="26"/>
      <c r="M51"/>
      <c r="N51"/>
    </row>
    <row r="52" spans="1:16" ht="15" customHeight="1" x14ac:dyDescent="0.25">
      <c r="B52" s="11"/>
      <c r="C52" s="11"/>
      <c r="D52" s="11"/>
      <c r="E52" s="11"/>
      <c r="F52" s="11"/>
      <c r="G52" s="26"/>
      <c r="H52" s="26"/>
      <c r="I52" s="26"/>
      <c r="J52" s="11"/>
      <c r="K52" s="11"/>
      <c r="L52" s="11"/>
      <c r="M52" s="11"/>
      <c r="N52" s="11"/>
      <c r="O52" s="26"/>
      <c r="P52" s="26"/>
    </row>
    <row r="53" spans="1:16" ht="15" customHeight="1" x14ac:dyDescent="0.25">
      <c r="B53" s="23" t="s">
        <v>9</v>
      </c>
      <c r="C53" s="24">
        <v>5</v>
      </c>
      <c r="D53" s="22"/>
      <c r="E53" s="22"/>
      <c r="F53" s="22"/>
      <c r="G53" s="22"/>
      <c r="H53" s="22"/>
      <c r="I53" s="26"/>
      <c r="J53" s="23" t="s">
        <v>9</v>
      </c>
      <c r="K53" s="24">
        <v>6</v>
      </c>
      <c r="L53" s="22"/>
      <c r="M53" s="22"/>
      <c r="N53" s="22"/>
      <c r="O53" s="22"/>
      <c r="P53" s="22"/>
    </row>
    <row r="54" spans="1:16" ht="15" customHeight="1" x14ac:dyDescent="0.25">
      <c r="B54" s="2" t="s">
        <v>0</v>
      </c>
      <c r="C54" s="3" t="s">
        <v>1</v>
      </c>
      <c r="D54" s="21" t="s">
        <v>4</v>
      </c>
      <c r="E54"/>
      <c r="F54" s="5" t="s">
        <v>3</v>
      </c>
      <c r="G54" s="6"/>
      <c r="H54" s="6"/>
      <c r="I54" s="26"/>
      <c r="J54" s="2" t="s">
        <v>0</v>
      </c>
      <c r="K54" s="3" t="s">
        <v>1</v>
      </c>
      <c r="L54" s="21" t="s">
        <v>4</v>
      </c>
      <c r="M54"/>
      <c r="N54" s="5" t="s">
        <v>3</v>
      </c>
      <c r="O54" s="6"/>
      <c r="P54" s="6"/>
    </row>
    <row r="55" spans="1:16" ht="15" customHeight="1" x14ac:dyDescent="0.25">
      <c r="I55" s="26"/>
    </row>
    <row r="56" spans="1:16" ht="15" customHeight="1" x14ac:dyDescent="0.25">
      <c r="B56" s="7" t="s">
        <v>10</v>
      </c>
      <c r="C56" s="8"/>
      <c r="D56" s="8"/>
      <c r="E56"/>
      <c r="F56" s="9" t="s">
        <v>38</v>
      </c>
      <c r="G56" s="9"/>
      <c r="H56" s="10"/>
      <c r="I56" s="26"/>
      <c r="J56" s="7" t="s">
        <v>10</v>
      </c>
      <c r="K56" s="8"/>
      <c r="L56" s="8"/>
      <c r="M56"/>
      <c r="N56" s="9" t="s">
        <v>38</v>
      </c>
      <c r="O56" s="9"/>
      <c r="P56" s="10"/>
    </row>
    <row r="57" spans="1:16" ht="15" customHeight="1" x14ac:dyDescent="0.25">
      <c r="B57" s="4" t="s">
        <v>7</v>
      </c>
      <c r="C57" s="4"/>
      <c r="D57" s="4" t="str">
        <f>IF(D54="English","in", "mm")</f>
        <v>in</v>
      </c>
      <c r="E57"/>
      <c r="F57" s="6" t="s">
        <v>15</v>
      </c>
      <c r="G57" s="13">
        <f>0.5*SQRT(2)*C57</f>
        <v>0</v>
      </c>
      <c r="H57" s="6" t="str">
        <f>IF(D54="English","in", "mm")</f>
        <v>in</v>
      </c>
      <c r="I57" s="26"/>
      <c r="J57" s="4" t="s">
        <v>7</v>
      </c>
      <c r="K57" s="4"/>
      <c r="L57" s="4" t="str">
        <f>IF(L54="English","in", "mm")</f>
        <v>in</v>
      </c>
      <c r="M57"/>
      <c r="N57" s="6" t="s">
        <v>15</v>
      </c>
      <c r="O57" s="13">
        <f>0.5*SQRT(2)*K57</f>
        <v>0</v>
      </c>
      <c r="P57" s="6" t="str">
        <f>IF(L54="English","in", "mm")</f>
        <v>in</v>
      </c>
    </row>
    <row r="58" spans="1:16" ht="15" customHeight="1" x14ac:dyDescent="0.25">
      <c r="B58" s="4" t="s">
        <v>6</v>
      </c>
      <c r="C58" s="4"/>
      <c r="D58" s="4" t="str">
        <f>IF(D54="English","in", "mm")</f>
        <v>in</v>
      </c>
      <c r="E58"/>
      <c r="F58" s="6" t="s">
        <v>11</v>
      </c>
      <c r="G58" s="13">
        <f>SQRT(2)*C57*(C59+C58)</f>
        <v>0</v>
      </c>
      <c r="H58" s="12" t="str">
        <f>IF(D54="English","in^2","mm^2")</f>
        <v>in^2</v>
      </c>
      <c r="I58" s="26"/>
      <c r="J58" s="4" t="s">
        <v>17</v>
      </c>
      <c r="K58" s="4"/>
      <c r="L58" s="4" t="str">
        <f>IF(L54="English","in", "mm")</f>
        <v>in</v>
      </c>
      <c r="M58"/>
      <c r="N58" s="6" t="s">
        <v>11</v>
      </c>
      <c r="O58" s="13">
        <f>SQRT(2)*PI()*K57*K58</f>
        <v>0</v>
      </c>
      <c r="P58" s="12" t="str">
        <f>IF(L54="English","in^2","mm^2")</f>
        <v>in^2</v>
      </c>
    </row>
    <row r="59" spans="1:16" ht="15" customHeight="1" x14ac:dyDescent="0.25">
      <c r="B59" s="4" t="s">
        <v>5</v>
      </c>
      <c r="C59" s="4"/>
      <c r="D59" s="4" t="str">
        <f>IF(D54="English","in", "mm")</f>
        <v>in</v>
      </c>
      <c r="E59"/>
      <c r="F59" s="6" t="s">
        <v>12</v>
      </c>
      <c r="G59" s="18">
        <f>C59/2</f>
        <v>0</v>
      </c>
      <c r="H59" s="6" t="str">
        <f>IF(D54="English","in", "mm")</f>
        <v>in</v>
      </c>
      <c r="I59" s="26"/>
      <c r="J59" s="4" t="s">
        <v>8</v>
      </c>
      <c r="K59" s="15"/>
      <c r="L59" s="4" t="str">
        <f>IF(L54="English","psi","Pa")</f>
        <v>psi</v>
      </c>
      <c r="M59"/>
      <c r="N59" s="6" t="s">
        <v>12</v>
      </c>
      <c r="O59" s="18"/>
      <c r="P59" s="6" t="str">
        <f>IF(L54="English","in", "mm")</f>
        <v>in</v>
      </c>
    </row>
    <row r="60" spans="1:16" ht="15" customHeight="1" x14ac:dyDescent="0.25">
      <c r="B60" s="4" t="s">
        <v>8</v>
      </c>
      <c r="C60" s="15"/>
      <c r="D60" s="4" t="str">
        <f>IF(D54="English","psi","Pa")</f>
        <v>psi</v>
      </c>
      <c r="E60"/>
      <c r="F60" s="6" t="s">
        <v>13</v>
      </c>
      <c r="G60" s="18">
        <f>C58/2</f>
        <v>0</v>
      </c>
      <c r="H60" s="6" t="str">
        <f>IF(D54="English","in", "mm")</f>
        <v>in</v>
      </c>
      <c r="I60" s="26"/>
      <c r="M60"/>
      <c r="N60" s="6" t="s">
        <v>13</v>
      </c>
      <c r="O60" s="18"/>
      <c r="P60" s="6" t="str">
        <f>IF(L54="English","in", "mm")</f>
        <v>in</v>
      </c>
    </row>
    <row r="61" spans="1:16" ht="15" customHeight="1" x14ac:dyDescent="0.25">
      <c r="F61" s="6" t="s">
        <v>14</v>
      </c>
      <c r="G61" s="25">
        <f>((C59+C58)^3)/(6)</f>
        <v>0</v>
      </c>
      <c r="H61" s="27" t="s">
        <v>19</v>
      </c>
      <c r="I61" s="26"/>
      <c r="N61" s="6" t="s">
        <v>14</v>
      </c>
      <c r="O61" s="25">
        <f>2*PI()*(K58^3)</f>
        <v>0</v>
      </c>
      <c r="P61" s="27" t="s">
        <v>19</v>
      </c>
    </row>
    <row r="62" spans="1:16" ht="15" customHeight="1" x14ac:dyDescent="0.25">
      <c r="F62" s="6" t="s">
        <v>16</v>
      </c>
      <c r="G62" s="25">
        <f>G57*G61</f>
        <v>0</v>
      </c>
      <c r="H62" s="6" t="str">
        <f>IF(D54="English","in^4", "mm^4")</f>
        <v>in^4</v>
      </c>
      <c r="I62" s="26"/>
      <c r="N62" s="6" t="s">
        <v>16</v>
      </c>
      <c r="O62" s="25">
        <f>O57*O61</f>
        <v>0</v>
      </c>
      <c r="P62" s="6" t="str">
        <f>IF(L54="English","in^4", "mm^4")</f>
        <v>in^4</v>
      </c>
    </row>
    <row r="63" spans="1:16" ht="15" customHeight="1" x14ac:dyDescent="0.25">
      <c r="F63" s="6" t="s">
        <v>18</v>
      </c>
      <c r="G63" s="16">
        <f>IF(D54="English",C60*G58, C60*(G58*10^-6))</f>
        <v>0</v>
      </c>
      <c r="H63" s="6" t="str">
        <f>IF(D54="English","lbf", "N")</f>
        <v>lbf</v>
      </c>
      <c r="I63" s="26"/>
      <c r="N63" s="6" t="s">
        <v>18</v>
      </c>
      <c r="O63" s="16">
        <f>IF(L54="English",K59*O58, K59*(O58*10^-6))</f>
        <v>0</v>
      </c>
      <c r="P63" s="6" t="str">
        <f>IF(L54="English","lbf", "N")</f>
        <v>lbf</v>
      </c>
    </row>
    <row r="64" spans="1:16" ht="15" customHeight="1" x14ac:dyDescent="0.25">
      <c r="I64" s="26"/>
    </row>
    <row r="65" spans="9:9" ht="15" customHeight="1" x14ac:dyDescent="0.25">
      <c r="I65" s="26"/>
    </row>
    <row r="66" spans="9:9" ht="15" customHeight="1" x14ac:dyDescent="0.25">
      <c r="I66" s="26"/>
    </row>
    <row r="67" spans="9:9" ht="15" customHeight="1" x14ac:dyDescent="0.25">
      <c r="I67" s="26"/>
    </row>
    <row r="68" spans="9:9" ht="15" customHeight="1" x14ac:dyDescent="0.25">
      <c r="I68" s="26"/>
    </row>
    <row r="69" spans="9:9" ht="15" customHeight="1" x14ac:dyDescent="0.25">
      <c r="I69" s="26"/>
    </row>
    <row r="70" spans="9:9" ht="15" customHeight="1" x14ac:dyDescent="0.25">
      <c r="I70" s="26"/>
    </row>
    <row r="71" spans="9:9" ht="15" customHeight="1" x14ac:dyDescent="0.25">
      <c r="I71" s="26"/>
    </row>
    <row r="72" spans="9:9" ht="15" customHeight="1" x14ac:dyDescent="0.25">
      <c r="I72" s="26"/>
    </row>
    <row r="73" spans="9:9" ht="15" customHeight="1" x14ac:dyDescent="0.25">
      <c r="I73" s="26"/>
    </row>
    <row r="74" spans="9:9" ht="15" customHeight="1" x14ac:dyDescent="0.25">
      <c r="I74" s="26"/>
    </row>
    <row r="75" spans="9:9" ht="15" customHeight="1" x14ac:dyDescent="0.25">
      <c r="I75" s="26"/>
    </row>
  </sheetData>
  <dataValidations count="1">
    <dataValidation type="list" allowBlank="1" showInputMessage="1" showErrorMessage="1" sqref="D3 L3 D28 L28 D54 L54" xr:uid="{35BCB0D6-6E66-41F6-873B-AA30DFC20BA4}">
      <formula1>"English, Metric"</formula1>
    </dataValidation>
  </dataValidations>
  <pageMargins left="0.7" right="0.7" top="0.75" bottom="0.75" header="0.3" footer="0.3"/>
  <pageSetup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006D61-406C-4381-ADFA-442C2C8A311A}">
  <sheetPr>
    <tabColor rgb="FF00B050"/>
  </sheetPr>
  <dimension ref="A2:P75"/>
  <sheetViews>
    <sheetView topLeftCell="D1" zoomScale="85" zoomScaleNormal="85" workbookViewId="0">
      <selection activeCell="N56" sqref="N56"/>
    </sheetView>
  </sheetViews>
  <sheetFormatPr defaultRowHeight="15" customHeight="1" x14ac:dyDescent="0.25"/>
  <cols>
    <col min="2" max="2" width="30.7109375" style="1" customWidth="1"/>
    <col min="3" max="3" width="13" style="1" customWidth="1"/>
    <col min="4" max="4" width="10.140625" style="1" customWidth="1"/>
    <col min="5" max="5" width="9.140625" style="1" customWidth="1"/>
    <col min="6" max="6" width="34" style="1" bestFit="1" customWidth="1"/>
    <col min="7" max="7" width="13" customWidth="1"/>
    <col min="8" max="8" width="10.140625" customWidth="1"/>
    <col min="9" max="9" width="2.7109375" customWidth="1"/>
    <col min="10" max="10" width="30.7109375" style="1" customWidth="1"/>
    <col min="11" max="11" width="13" style="1" customWidth="1"/>
    <col min="12" max="12" width="10.140625" style="1" customWidth="1"/>
    <col min="13" max="13" width="9.140625" style="1"/>
    <col min="14" max="14" width="34" style="1" bestFit="1" customWidth="1"/>
    <col min="15" max="15" width="13" customWidth="1"/>
    <col min="16" max="16" width="10.140625" customWidth="1"/>
  </cols>
  <sheetData>
    <row r="2" spans="2:16" ht="15" customHeight="1" x14ac:dyDescent="0.25">
      <c r="B2" s="23" t="s">
        <v>9</v>
      </c>
      <c r="C2" s="24">
        <v>1</v>
      </c>
      <c r="D2" s="22"/>
      <c r="E2" s="22"/>
      <c r="F2" s="22"/>
      <c r="G2" s="22"/>
      <c r="H2" s="22"/>
      <c r="I2" s="26"/>
      <c r="J2" s="23" t="s">
        <v>9</v>
      </c>
      <c r="K2" s="24">
        <v>2</v>
      </c>
      <c r="L2" s="22"/>
      <c r="M2" s="22"/>
      <c r="N2" s="22"/>
      <c r="O2" s="22"/>
      <c r="P2" s="22"/>
    </row>
    <row r="3" spans="2:16" ht="15" customHeight="1" x14ac:dyDescent="0.25">
      <c r="B3" s="2" t="s">
        <v>0</v>
      </c>
      <c r="C3" s="3" t="s">
        <v>1</v>
      </c>
      <c r="D3" s="21" t="s">
        <v>4</v>
      </c>
      <c r="E3"/>
      <c r="F3" s="5" t="s">
        <v>3</v>
      </c>
      <c r="G3" s="6"/>
      <c r="H3" s="6"/>
      <c r="I3" s="26"/>
      <c r="J3" s="2" t="s">
        <v>0</v>
      </c>
      <c r="K3" s="3" t="s">
        <v>1</v>
      </c>
      <c r="L3" s="21" t="s">
        <v>4</v>
      </c>
      <c r="M3"/>
      <c r="N3" s="5" t="s">
        <v>3</v>
      </c>
      <c r="O3" s="6"/>
      <c r="P3" s="6"/>
    </row>
    <row r="4" spans="2:16" ht="15" customHeight="1" x14ac:dyDescent="0.25">
      <c r="I4" s="26"/>
    </row>
    <row r="5" spans="2:16" ht="15" customHeight="1" x14ac:dyDescent="0.25">
      <c r="B5" s="7" t="s">
        <v>10</v>
      </c>
      <c r="C5" s="8"/>
      <c r="D5" s="8"/>
      <c r="E5"/>
      <c r="F5" s="9" t="s">
        <v>38</v>
      </c>
      <c r="G5" s="9"/>
      <c r="H5" s="10"/>
      <c r="I5" s="26"/>
      <c r="J5" s="7" t="s">
        <v>10</v>
      </c>
      <c r="K5" s="8"/>
      <c r="L5" s="8"/>
      <c r="M5"/>
      <c r="N5" s="9" t="s">
        <v>38</v>
      </c>
      <c r="O5" s="9"/>
      <c r="P5" s="10"/>
    </row>
    <row r="6" spans="2:16" ht="15" customHeight="1" x14ac:dyDescent="0.25">
      <c r="B6" s="4" t="s">
        <v>7</v>
      </c>
      <c r="C6" s="4"/>
      <c r="D6" s="4" t="str">
        <f>IF(D3="English","in", "mm")</f>
        <v>in</v>
      </c>
      <c r="E6"/>
      <c r="F6" s="6" t="s">
        <v>15</v>
      </c>
      <c r="G6" s="13">
        <f>0.5*SQRT(2)*C6</f>
        <v>0</v>
      </c>
      <c r="H6" s="6" t="str">
        <f>IF(D3="English","in", "mm")</f>
        <v>in</v>
      </c>
      <c r="I6" s="26"/>
      <c r="J6" s="4" t="s">
        <v>7</v>
      </c>
      <c r="K6" s="4">
        <f>5/16</f>
        <v>0.3125</v>
      </c>
      <c r="L6" s="4" t="str">
        <f>IF(L3="English","in", "mm")</f>
        <v>in</v>
      </c>
      <c r="M6"/>
      <c r="N6" s="6" t="s">
        <v>15</v>
      </c>
      <c r="O6" s="13">
        <f>0.5*SQRT(2)*K6</f>
        <v>0.22097086912079611</v>
      </c>
      <c r="P6" s="6" t="str">
        <f>IF(L3="English","in", "mm")</f>
        <v>in</v>
      </c>
    </row>
    <row r="7" spans="2:16" ht="15" customHeight="1" x14ac:dyDescent="0.25">
      <c r="B7" s="4" t="s">
        <v>6</v>
      </c>
      <c r="C7" s="4"/>
      <c r="D7" s="4" t="str">
        <f>IF(D3="English","in", "mm")</f>
        <v>in</v>
      </c>
      <c r="E7"/>
      <c r="F7" s="6" t="s">
        <v>11</v>
      </c>
      <c r="G7" s="13">
        <f>0.5*SQRT(2)*C6*C7</f>
        <v>0</v>
      </c>
      <c r="H7" s="12" t="str">
        <f>IF(D3="English","in^2","mm^2")</f>
        <v>in^2</v>
      </c>
      <c r="I7" s="26"/>
      <c r="J7" s="4" t="s">
        <v>6</v>
      </c>
      <c r="K7" s="4">
        <v>2</v>
      </c>
      <c r="L7" s="4" t="str">
        <f>IF(L3="English","in", "mm")</f>
        <v>in</v>
      </c>
      <c r="M7"/>
      <c r="N7" s="6" t="s">
        <v>11</v>
      </c>
      <c r="O7" s="13">
        <f>SQRT(2)*K6*K7</f>
        <v>0.88388347648318444</v>
      </c>
      <c r="P7" s="12" t="str">
        <f>IF(L3="English","in^2","mm^2")</f>
        <v>in^2</v>
      </c>
    </row>
    <row r="8" spans="2:16" ht="15" customHeight="1" x14ac:dyDescent="0.25">
      <c r="B8" s="4" t="s">
        <v>8</v>
      </c>
      <c r="C8" s="15"/>
      <c r="D8" s="4" t="str">
        <f>IF(D3="English","psi","Pa")</f>
        <v>psi</v>
      </c>
      <c r="E8"/>
      <c r="F8" s="6" t="s">
        <v>12</v>
      </c>
      <c r="G8" s="18">
        <v>0</v>
      </c>
      <c r="H8" s="6" t="str">
        <f>IF(D3="English","in", "mm")</f>
        <v>in</v>
      </c>
      <c r="I8" s="26"/>
      <c r="J8" s="4" t="s">
        <v>5</v>
      </c>
      <c r="K8" s="4">
        <v>2</v>
      </c>
      <c r="L8" s="4" t="str">
        <f>IF(L3="English","in", "mm")</f>
        <v>in</v>
      </c>
      <c r="M8"/>
      <c r="N8" s="6" t="s">
        <v>12</v>
      </c>
      <c r="O8" s="18">
        <f>K8/2</f>
        <v>1</v>
      </c>
      <c r="P8" s="6" t="str">
        <f>IF(L3="English","in", "mm")</f>
        <v>in</v>
      </c>
    </row>
    <row r="9" spans="2:16" ht="15" customHeight="1" x14ac:dyDescent="0.25">
      <c r="E9"/>
      <c r="F9" s="6" t="s">
        <v>13</v>
      </c>
      <c r="G9" s="18">
        <f>C7/2</f>
        <v>0</v>
      </c>
      <c r="H9" s="6" t="str">
        <f>IF(D3="English","in", "mm")</f>
        <v>in</v>
      </c>
      <c r="I9" s="26"/>
      <c r="J9" s="4" t="s">
        <v>8</v>
      </c>
      <c r="K9" s="15">
        <f>25*10^3</f>
        <v>25000</v>
      </c>
      <c r="L9" s="4" t="str">
        <f>IF(L3="English","psi","Pa")</f>
        <v>psi</v>
      </c>
      <c r="M9"/>
      <c r="N9" s="6" t="s">
        <v>13</v>
      </c>
      <c r="O9" s="18">
        <f>K7/2</f>
        <v>1</v>
      </c>
      <c r="P9" s="6" t="str">
        <f>IF(L3="English","in", "mm")</f>
        <v>in</v>
      </c>
    </row>
    <row r="10" spans="2:16" ht="15" customHeight="1" x14ac:dyDescent="0.25">
      <c r="F10" s="6" t="s">
        <v>14</v>
      </c>
      <c r="G10" s="25">
        <f>(C7^3)/12</f>
        <v>0</v>
      </c>
      <c r="H10" s="6" t="str">
        <f>IF(D3="English","in^4", "mm^4")</f>
        <v>in^4</v>
      </c>
      <c r="I10" s="26"/>
      <c r="N10" s="6" t="s">
        <v>14</v>
      </c>
      <c r="O10" s="25">
        <f>(K7*(3*(K8^2)+(K7^2)))/(6)</f>
        <v>5.333333333333333</v>
      </c>
      <c r="P10" s="6" t="str">
        <f>IF(L3="English","in^4", "mm^4")</f>
        <v>in^4</v>
      </c>
    </row>
    <row r="11" spans="2:16" ht="15" customHeight="1" x14ac:dyDescent="0.25">
      <c r="F11" s="6" t="s">
        <v>16</v>
      </c>
      <c r="G11" s="25">
        <f>G6*G10</f>
        <v>0</v>
      </c>
      <c r="H11" s="6" t="str">
        <f>IF(D3="English","in^4", "mm^4")</f>
        <v>in^4</v>
      </c>
      <c r="I11" s="26"/>
      <c r="N11" s="6" t="s">
        <v>16</v>
      </c>
      <c r="O11" s="25">
        <f>O6*O10</f>
        <v>1.1785113019775793</v>
      </c>
      <c r="P11" s="6" t="str">
        <f>IF(L3="English","in^4", "mm^4")</f>
        <v>in^4</v>
      </c>
    </row>
    <row r="12" spans="2:16" ht="15" customHeight="1" x14ac:dyDescent="0.25">
      <c r="F12" s="6" t="s">
        <v>18</v>
      </c>
      <c r="G12" s="16">
        <f>IF(D3="English",C8*G7, C8*(G7*10^-6))</f>
        <v>0</v>
      </c>
      <c r="H12" s="6" t="str">
        <f>IF(D3="English","lbf", "N")</f>
        <v>lbf</v>
      </c>
      <c r="I12" s="26"/>
      <c r="N12" s="6" t="s">
        <v>18</v>
      </c>
      <c r="O12" s="16">
        <f>IF(L3="English",K9*O7, K9*(O7*10^-6))</f>
        <v>22097.086912079612</v>
      </c>
      <c r="P12" s="6" t="str">
        <f>IF(L3="English","lbf", "N")</f>
        <v>lbf</v>
      </c>
    </row>
    <row r="13" spans="2:16" ht="15" customHeight="1" x14ac:dyDescent="0.25">
      <c r="I13" s="26"/>
    </row>
    <row r="14" spans="2:16" ht="15" customHeight="1" x14ac:dyDescent="0.25">
      <c r="I14" s="26"/>
    </row>
    <row r="15" spans="2:16" ht="15" customHeight="1" x14ac:dyDescent="0.25">
      <c r="I15" s="26"/>
    </row>
    <row r="16" spans="2:16" ht="15" customHeight="1" x14ac:dyDescent="0.25">
      <c r="I16" s="26"/>
    </row>
    <row r="17" spans="2:16" ht="15" customHeight="1" x14ac:dyDescent="0.25">
      <c r="I17" s="26"/>
    </row>
    <row r="18" spans="2:16" ht="15" customHeight="1" x14ac:dyDescent="0.25">
      <c r="I18" s="26"/>
    </row>
    <row r="19" spans="2:16" ht="15" customHeight="1" x14ac:dyDescent="0.25">
      <c r="I19" s="26"/>
    </row>
    <row r="20" spans="2:16" ht="15" customHeight="1" x14ac:dyDescent="0.25">
      <c r="I20" s="26"/>
    </row>
    <row r="21" spans="2:16" ht="15" customHeight="1" x14ac:dyDescent="0.25">
      <c r="I21" s="26"/>
    </row>
    <row r="22" spans="2:16" ht="15" customHeight="1" x14ac:dyDescent="0.25">
      <c r="I22" s="26"/>
    </row>
    <row r="23" spans="2:16" ht="15" customHeight="1" x14ac:dyDescent="0.25">
      <c r="I23" s="26"/>
    </row>
    <row r="24" spans="2:16" ht="15" customHeight="1" x14ac:dyDescent="0.25">
      <c r="I24" s="26"/>
    </row>
    <row r="25" spans="2:16" ht="15" customHeight="1" x14ac:dyDescent="0.25">
      <c r="I25" s="26"/>
      <c r="N25"/>
    </row>
    <row r="26" spans="2:16" ht="15" customHeight="1" x14ac:dyDescent="0.25">
      <c r="B26" s="11"/>
      <c r="C26" s="11"/>
      <c r="D26" s="11"/>
      <c r="E26" s="11"/>
      <c r="F26" s="11"/>
      <c r="G26" s="26"/>
      <c r="H26" s="26"/>
      <c r="I26" s="26"/>
      <c r="J26" s="11"/>
      <c r="K26" s="11"/>
      <c r="L26" s="11"/>
      <c r="M26" s="11"/>
      <c r="N26" s="26"/>
      <c r="O26" s="26"/>
      <c r="P26" s="26"/>
    </row>
    <row r="27" spans="2:16" ht="15" customHeight="1" x14ac:dyDescent="0.25">
      <c r="B27" s="23" t="s">
        <v>9</v>
      </c>
      <c r="C27" s="24">
        <v>3</v>
      </c>
      <c r="D27" s="22"/>
      <c r="E27" s="22"/>
      <c r="F27" s="22"/>
      <c r="G27" s="22"/>
      <c r="H27" s="22"/>
      <c r="I27" s="26"/>
      <c r="J27" s="23" t="s">
        <v>9</v>
      </c>
      <c r="K27" s="24">
        <v>4</v>
      </c>
      <c r="L27" s="22"/>
      <c r="M27" s="22"/>
      <c r="N27" s="22"/>
      <c r="O27" s="22"/>
      <c r="P27" s="22"/>
    </row>
    <row r="28" spans="2:16" ht="15" customHeight="1" x14ac:dyDescent="0.25">
      <c r="B28" s="2" t="s">
        <v>0</v>
      </c>
      <c r="C28" s="3" t="s">
        <v>1</v>
      </c>
      <c r="D28" s="21" t="s">
        <v>4</v>
      </c>
      <c r="E28"/>
      <c r="F28" s="5" t="s">
        <v>3</v>
      </c>
      <c r="G28" s="6"/>
      <c r="H28" s="6"/>
      <c r="I28" s="26"/>
      <c r="J28" s="2" t="s">
        <v>0</v>
      </c>
      <c r="K28" s="3" t="s">
        <v>1</v>
      </c>
      <c r="L28" s="21" t="s">
        <v>4</v>
      </c>
      <c r="M28"/>
      <c r="N28" s="5" t="s">
        <v>3</v>
      </c>
      <c r="O28" s="6"/>
      <c r="P28" s="6"/>
    </row>
    <row r="29" spans="2:16" ht="15" customHeight="1" x14ac:dyDescent="0.25">
      <c r="I29" s="26"/>
    </row>
    <row r="30" spans="2:16" ht="15" customHeight="1" x14ac:dyDescent="0.25">
      <c r="B30" s="7" t="s">
        <v>10</v>
      </c>
      <c r="C30" s="8"/>
      <c r="D30" s="8"/>
      <c r="E30"/>
      <c r="F30" s="9" t="s">
        <v>38</v>
      </c>
      <c r="G30" s="9"/>
      <c r="H30" s="10"/>
      <c r="I30" s="26"/>
      <c r="J30" s="7" t="s">
        <v>10</v>
      </c>
      <c r="K30" s="8"/>
      <c r="L30" s="8"/>
      <c r="M30"/>
      <c r="N30" s="9" t="s">
        <v>38</v>
      </c>
      <c r="O30" s="9"/>
      <c r="P30" s="10"/>
    </row>
    <row r="31" spans="2:16" ht="15" customHeight="1" x14ac:dyDescent="0.25">
      <c r="B31" s="4" t="s">
        <v>7</v>
      </c>
      <c r="C31" s="4"/>
      <c r="D31" s="4" t="str">
        <f>IF(D28="English","in", "mm")</f>
        <v>in</v>
      </c>
      <c r="E31"/>
      <c r="F31" s="6" t="s">
        <v>15</v>
      </c>
      <c r="G31" s="13">
        <f>0.5*SQRT(2)*C31</f>
        <v>0</v>
      </c>
      <c r="H31" s="6" t="str">
        <f>IF(D28="English","in", "mm")</f>
        <v>in</v>
      </c>
      <c r="I31" s="26"/>
      <c r="J31" s="4" t="s">
        <v>7</v>
      </c>
      <c r="K31" s="4">
        <f>5/16</f>
        <v>0.3125</v>
      </c>
      <c r="L31" s="4" t="str">
        <f>IF(L28="English","in", "mm")</f>
        <v>in</v>
      </c>
      <c r="M31"/>
      <c r="N31" s="6" t="s">
        <v>15</v>
      </c>
      <c r="O31" s="13">
        <f>0.5*SQRT(2)*K31</f>
        <v>0.22097086912079611</v>
      </c>
      <c r="P31" s="6" t="str">
        <f>IF(L28="English","in", "mm")</f>
        <v>in</v>
      </c>
    </row>
    <row r="32" spans="2:16" ht="15" customHeight="1" x14ac:dyDescent="0.25">
      <c r="B32" s="4" t="s">
        <v>6</v>
      </c>
      <c r="C32" s="4"/>
      <c r="D32" s="4" t="str">
        <f>IF(D28="English","in", "mm")</f>
        <v>in</v>
      </c>
      <c r="E32"/>
      <c r="F32" s="6" t="s">
        <v>11</v>
      </c>
      <c r="G32" s="13">
        <f>0.5*SQRT(2)*C31*(C33+C32)</f>
        <v>0</v>
      </c>
      <c r="H32" s="12" t="str">
        <f>IF(D28="English","in^2","mm^2")</f>
        <v>in^2</v>
      </c>
      <c r="I32" s="26"/>
      <c r="J32" s="4" t="s">
        <v>6</v>
      </c>
      <c r="K32" s="4">
        <v>2</v>
      </c>
      <c r="L32" s="4" t="str">
        <f>IF(L28="English","in", "mm")</f>
        <v>in</v>
      </c>
      <c r="M32"/>
      <c r="N32" s="6" t="s">
        <v>11</v>
      </c>
      <c r="O32" s="13">
        <f>0.5*SQRT(2)*K31*(2*K33+K32)</f>
        <v>1.3258252147247767</v>
      </c>
      <c r="P32" s="12" t="str">
        <f>IF(L28="English","in^2","mm^2")</f>
        <v>in^2</v>
      </c>
    </row>
    <row r="33" spans="2:16" ht="15" customHeight="1" x14ac:dyDescent="0.25">
      <c r="B33" s="4" t="s">
        <v>5</v>
      </c>
      <c r="C33" s="4"/>
      <c r="D33" s="4" t="str">
        <f>IF(D28="English","in", "mm")</f>
        <v>in</v>
      </c>
      <c r="E33"/>
      <c r="F33" s="6" t="s">
        <v>12</v>
      </c>
      <c r="G33" s="18" t="e">
        <f>(C33^2)/(2*(C33+C32))</f>
        <v>#DIV/0!</v>
      </c>
      <c r="H33" s="6" t="str">
        <f>IF(D28="English","in", "mm")</f>
        <v>in</v>
      </c>
      <c r="I33" s="26"/>
      <c r="J33" s="4" t="s">
        <v>5</v>
      </c>
      <c r="K33" s="4">
        <v>2</v>
      </c>
      <c r="L33" s="4" t="str">
        <f>IF(L28="English","in", "mm")</f>
        <v>in</v>
      </c>
      <c r="M33"/>
      <c r="N33" s="6" t="s">
        <v>12</v>
      </c>
      <c r="O33" s="18">
        <f>(K33^2)/(2*(K33+K32))</f>
        <v>0.5</v>
      </c>
      <c r="P33" s="6" t="str">
        <f>IF(L28="English","in", "mm")</f>
        <v>in</v>
      </c>
    </row>
    <row r="34" spans="2:16" ht="15" customHeight="1" x14ac:dyDescent="0.25">
      <c r="B34" s="4" t="s">
        <v>8</v>
      </c>
      <c r="C34" s="15"/>
      <c r="D34" s="4" t="str">
        <f>IF(D28="English","psi","Pa")</f>
        <v>psi</v>
      </c>
      <c r="E34"/>
      <c r="F34" s="6" t="s">
        <v>13</v>
      </c>
      <c r="G34" s="18" t="e">
        <f>(C32^2)/(2*(C33+C32))</f>
        <v>#DIV/0!</v>
      </c>
      <c r="H34" s="6" t="str">
        <f>IF(D28="English","in", "mm")</f>
        <v>in</v>
      </c>
      <c r="I34" s="26"/>
      <c r="J34" s="4" t="s">
        <v>8</v>
      </c>
      <c r="K34" s="15">
        <f>25*10^3</f>
        <v>25000</v>
      </c>
      <c r="L34" s="4" t="str">
        <f>IF(L28="English","psi","Pa")</f>
        <v>psi</v>
      </c>
      <c r="M34"/>
      <c r="N34" s="6" t="s">
        <v>13</v>
      </c>
      <c r="O34" s="18">
        <f>K32/2</f>
        <v>1</v>
      </c>
      <c r="P34" s="6" t="str">
        <f>IF(L28="English","in", "mm")</f>
        <v>in</v>
      </c>
    </row>
    <row r="35" spans="2:16" ht="15" customHeight="1" x14ac:dyDescent="0.25">
      <c r="F35" s="6" t="s">
        <v>14</v>
      </c>
      <c r="G35" s="25" t="e">
        <f>((C33+C32)^4 - 6*(C33^2)*(C32^2))/(12*(C33+C32))</f>
        <v>#DIV/0!</v>
      </c>
      <c r="H35" s="6" t="str">
        <f>IF(D28="English","in^4", "mm^4")</f>
        <v>in^4</v>
      </c>
      <c r="I35" s="26"/>
      <c r="N35" s="6" t="s">
        <v>14</v>
      </c>
      <c r="O35" s="25">
        <f>(8*K33^3 + 6*K33*K32^2 + K32^3)/(12) - (K33^4)/(2*K33+K32)</f>
        <v>7.3333333333333339</v>
      </c>
      <c r="P35" s="6" t="str">
        <f>IF(L28="English","in^4", "mm^4")</f>
        <v>in^4</v>
      </c>
    </row>
    <row r="36" spans="2:16" ht="15" customHeight="1" x14ac:dyDescent="0.25">
      <c r="F36" s="6" t="s">
        <v>16</v>
      </c>
      <c r="G36" s="25" t="e">
        <f>G31*G35</f>
        <v>#DIV/0!</v>
      </c>
      <c r="H36" s="6" t="str">
        <f>IF(D28="English","in^4", "mm^4")</f>
        <v>in^4</v>
      </c>
      <c r="I36" s="26"/>
      <c r="N36" s="6" t="s">
        <v>16</v>
      </c>
      <c r="O36" s="25">
        <f>O31*O35</f>
        <v>1.6204530402191717</v>
      </c>
      <c r="P36" s="6" t="str">
        <f>IF(L28="English","in^4", "mm^4")</f>
        <v>in^4</v>
      </c>
    </row>
    <row r="37" spans="2:16" ht="15" customHeight="1" x14ac:dyDescent="0.25">
      <c r="F37" s="6" t="s">
        <v>18</v>
      </c>
      <c r="G37" s="16">
        <f>IF(D28="English",C34*G32, C34*(G32*10^-6))</f>
        <v>0</v>
      </c>
      <c r="H37" s="6" t="str">
        <f>IF(D28="English","lbf", "N")</f>
        <v>lbf</v>
      </c>
      <c r="I37" s="26"/>
      <c r="N37" s="6" t="s">
        <v>18</v>
      </c>
      <c r="O37" s="16">
        <f>IF(L28="English",K34*O32, K34*(O32*10^-6))</f>
        <v>33145.630368119419</v>
      </c>
      <c r="P37" s="6" t="str">
        <f>IF(L28="English","lbf", "N")</f>
        <v>lbf</v>
      </c>
    </row>
    <row r="38" spans="2:16" ht="15" customHeight="1" x14ac:dyDescent="0.25">
      <c r="I38" s="26"/>
    </row>
    <row r="39" spans="2:16" ht="15" customHeight="1" x14ac:dyDescent="0.25">
      <c r="I39" s="26"/>
    </row>
    <row r="40" spans="2:16" ht="15" customHeight="1" x14ac:dyDescent="0.25">
      <c r="I40" s="26"/>
    </row>
    <row r="41" spans="2:16" ht="15" customHeight="1" x14ac:dyDescent="0.25">
      <c r="I41" s="26"/>
    </row>
    <row r="42" spans="2:16" ht="15" customHeight="1" x14ac:dyDescent="0.25">
      <c r="I42" s="26"/>
    </row>
    <row r="43" spans="2:16" ht="15" customHeight="1" x14ac:dyDescent="0.25">
      <c r="I43" s="26"/>
    </row>
    <row r="44" spans="2:16" ht="15" customHeight="1" x14ac:dyDescent="0.25">
      <c r="I44" s="26"/>
    </row>
    <row r="45" spans="2:16" ht="15" customHeight="1" x14ac:dyDescent="0.25">
      <c r="I45" s="26"/>
    </row>
    <row r="46" spans="2:16" ht="15" customHeight="1" x14ac:dyDescent="0.25">
      <c r="I46" s="26"/>
    </row>
    <row r="47" spans="2:16" ht="15" customHeight="1" x14ac:dyDescent="0.25">
      <c r="I47" s="26"/>
    </row>
    <row r="48" spans="2:16" ht="15" customHeight="1" x14ac:dyDescent="0.25">
      <c r="I48" s="26"/>
    </row>
    <row r="49" spans="1:16" ht="15" customHeight="1" x14ac:dyDescent="0.25">
      <c r="I49" s="26"/>
    </row>
    <row r="50" spans="1:16" ht="15" customHeight="1" x14ac:dyDescent="0.25">
      <c r="A50" s="1"/>
      <c r="F50"/>
      <c r="I50" s="26"/>
      <c r="N50"/>
    </row>
    <row r="51" spans="1:16" ht="15" customHeight="1" x14ac:dyDescent="0.25">
      <c r="A51" s="1"/>
      <c r="F51"/>
      <c r="I51" s="26"/>
      <c r="M51"/>
      <c r="N51"/>
    </row>
    <row r="52" spans="1:16" ht="15" customHeight="1" x14ac:dyDescent="0.25">
      <c r="B52" s="11"/>
      <c r="C52" s="11"/>
      <c r="D52" s="11"/>
      <c r="E52" s="11"/>
      <c r="F52" s="11"/>
      <c r="G52" s="26"/>
      <c r="H52" s="26"/>
      <c r="I52" s="26"/>
      <c r="J52" s="11"/>
      <c r="K52" s="11"/>
      <c r="L52" s="11"/>
      <c r="M52" s="11"/>
      <c r="N52" s="11"/>
      <c r="O52" s="26"/>
      <c r="P52" s="26"/>
    </row>
    <row r="53" spans="1:16" ht="15" customHeight="1" x14ac:dyDescent="0.25">
      <c r="B53" s="23" t="s">
        <v>9</v>
      </c>
      <c r="C53" s="24">
        <v>5</v>
      </c>
      <c r="D53" s="22"/>
      <c r="E53" s="22"/>
      <c r="F53" s="22"/>
      <c r="G53" s="22"/>
      <c r="H53" s="22"/>
      <c r="I53" s="26"/>
      <c r="J53" s="23" t="s">
        <v>9</v>
      </c>
      <c r="K53" s="24">
        <v>6</v>
      </c>
      <c r="L53" s="22"/>
      <c r="M53" s="22"/>
      <c r="N53" s="22"/>
      <c r="O53" s="22"/>
      <c r="P53" s="22"/>
    </row>
    <row r="54" spans="1:16" ht="15" customHeight="1" x14ac:dyDescent="0.25">
      <c r="B54" s="2" t="s">
        <v>0</v>
      </c>
      <c r="C54" s="3" t="s">
        <v>1</v>
      </c>
      <c r="D54" s="21" t="s">
        <v>4</v>
      </c>
      <c r="E54"/>
      <c r="F54" s="5" t="s">
        <v>3</v>
      </c>
      <c r="G54" s="6"/>
      <c r="H54" s="6"/>
      <c r="I54" s="26"/>
      <c r="J54" s="2" t="s">
        <v>0</v>
      </c>
      <c r="K54" s="3" t="s">
        <v>1</v>
      </c>
      <c r="L54" s="21" t="s">
        <v>4</v>
      </c>
      <c r="M54"/>
      <c r="N54" s="5" t="s">
        <v>3</v>
      </c>
      <c r="O54" s="6"/>
      <c r="P54" s="6"/>
    </row>
    <row r="55" spans="1:16" ht="15" customHeight="1" x14ac:dyDescent="0.25">
      <c r="I55" s="26"/>
    </row>
    <row r="56" spans="1:16" ht="15" customHeight="1" x14ac:dyDescent="0.25">
      <c r="B56" s="7" t="s">
        <v>10</v>
      </c>
      <c r="C56" s="8"/>
      <c r="D56" s="8"/>
      <c r="E56"/>
      <c r="F56" s="9" t="s">
        <v>38</v>
      </c>
      <c r="G56" s="9"/>
      <c r="H56" s="10"/>
      <c r="I56" s="26"/>
      <c r="J56" s="7" t="s">
        <v>10</v>
      </c>
      <c r="K56" s="8"/>
      <c r="L56" s="8"/>
      <c r="M56"/>
      <c r="N56" s="9" t="s">
        <v>38</v>
      </c>
      <c r="O56" s="9"/>
      <c r="P56" s="10"/>
    </row>
    <row r="57" spans="1:16" ht="15" customHeight="1" x14ac:dyDescent="0.25">
      <c r="B57" s="4" t="s">
        <v>7</v>
      </c>
      <c r="C57" s="4"/>
      <c r="D57" s="4" t="str">
        <f>IF(D54="English","in", "mm")</f>
        <v>in</v>
      </c>
      <c r="E57"/>
      <c r="F57" s="6" t="s">
        <v>15</v>
      </c>
      <c r="G57" s="13">
        <f>0.5*SQRT(2)*C57</f>
        <v>0</v>
      </c>
      <c r="H57" s="6" t="str">
        <f>IF(D54="English","in", "mm")</f>
        <v>in</v>
      </c>
      <c r="I57" s="26"/>
      <c r="J57" s="4" t="s">
        <v>7</v>
      </c>
      <c r="K57" s="4"/>
      <c r="L57" s="4" t="str">
        <f>IF(L54="English","in", "mm")</f>
        <v>in</v>
      </c>
      <c r="M57"/>
      <c r="N57" s="6" t="s">
        <v>15</v>
      </c>
      <c r="O57" s="13">
        <f>0.5*SQRT(2)*K57</f>
        <v>0</v>
      </c>
      <c r="P57" s="6" t="str">
        <f>IF(L54="English","in", "mm")</f>
        <v>in</v>
      </c>
    </row>
    <row r="58" spans="1:16" ht="15" customHeight="1" x14ac:dyDescent="0.25">
      <c r="B58" s="4" t="s">
        <v>6</v>
      </c>
      <c r="C58" s="4"/>
      <c r="D58" s="4" t="str">
        <f>IF(D54="English","in", "mm")</f>
        <v>in</v>
      </c>
      <c r="E58"/>
      <c r="F58" s="6" t="s">
        <v>11</v>
      </c>
      <c r="G58" s="13">
        <f>SQRT(2)*C57*(C59+C58)</f>
        <v>0</v>
      </c>
      <c r="H58" s="12" t="str">
        <f>IF(D54="English","in^2","mm^2")</f>
        <v>in^2</v>
      </c>
      <c r="I58" s="26"/>
      <c r="J58" s="4" t="s">
        <v>17</v>
      </c>
      <c r="K58" s="4"/>
      <c r="L58" s="4" t="str">
        <f>IF(L54="English","in", "mm")</f>
        <v>in</v>
      </c>
      <c r="M58"/>
      <c r="N58" s="6" t="s">
        <v>11</v>
      </c>
      <c r="O58" s="13">
        <f>SQRT(2)*PI()*K57*K58</f>
        <v>0</v>
      </c>
      <c r="P58" s="12" t="str">
        <f>IF(L54="English","in^2","mm^2")</f>
        <v>in^2</v>
      </c>
    </row>
    <row r="59" spans="1:16" ht="15" customHeight="1" x14ac:dyDescent="0.25">
      <c r="B59" s="4" t="s">
        <v>5</v>
      </c>
      <c r="C59" s="4"/>
      <c r="D59" s="4" t="str">
        <f>IF(D54="English","in", "mm")</f>
        <v>in</v>
      </c>
      <c r="E59"/>
      <c r="F59" s="6" t="s">
        <v>12</v>
      </c>
      <c r="G59" s="18">
        <f>C59/2</f>
        <v>0</v>
      </c>
      <c r="H59" s="6" t="str">
        <f>IF(D54="English","in", "mm")</f>
        <v>in</v>
      </c>
      <c r="I59" s="26"/>
      <c r="J59" s="4" t="s">
        <v>8</v>
      </c>
      <c r="K59" s="15"/>
      <c r="L59" s="4" t="str">
        <f>IF(L54="English","psi","Pa")</f>
        <v>psi</v>
      </c>
      <c r="M59"/>
      <c r="N59" s="6" t="s">
        <v>12</v>
      </c>
      <c r="O59" s="18"/>
      <c r="P59" s="6" t="str">
        <f>IF(L54="English","in", "mm")</f>
        <v>in</v>
      </c>
    </row>
    <row r="60" spans="1:16" ht="15" customHeight="1" x14ac:dyDescent="0.25">
      <c r="B60" s="4" t="s">
        <v>8</v>
      </c>
      <c r="C60" s="15"/>
      <c r="D60" s="4" t="str">
        <f>IF(D54="English","psi","Pa")</f>
        <v>psi</v>
      </c>
      <c r="E60"/>
      <c r="F60" s="6" t="s">
        <v>13</v>
      </c>
      <c r="G60" s="18">
        <f>C58/2</f>
        <v>0</v>
      </c>
      <c r="H60" s="6" t="str">
        <f>IF(D54="English","in", "mm")</f>
        <v>in</v>
      </c>
      <c r="I60" s="26"/>
      <c r="M60"/>
      <c r="N60" s="6" t="s">
        <v>13</v>
      </c>
      <c r="O60" s="18"/>
      <c r="P60" s="6" t="str">
        <f>IF(L54="English","in", "mm")</f>
        <v>in</v>
      </c>
    </row>
    <row r="61" spans="1:16" ht="15" customHeight="1" x14ac:dyDescent="0.25">
      <c r="F61" s="6" t="s">
        <v>14</v>
      </c>
      <c r="G61" s="25">
        <f>((C59+C58)^3)/(6)</f>
        <v>0</v>
      </c>
      <c r="H61" s="6" t="str">
        <f>IF(D54="English","in^4", "mm^4")</f>
        <v>in^4</v>
      </c>
      <c r="I61" s="26"/>
      <c r="N61" s="6" t="s">
        <v>14</v>
      </c>
      <c r="O61" s="25">
        <f>2*PI()*(K58^3)</f>
        <v>0</v>
      </c>
      <c r="P61" s="6" t="str">
        <f>IF(L54="English","in^4", "mm^4")</f>
        <v>in^4</v>
      </c>
    </row>
    <row r="62" spans="1:16" ht="15" customHeight="1" x14ac:dyDescent="0.25">
      <c r="F62" s="6" t="s">
        <v>16</v>
      </c>
      <c r="G62" s="25">
        <f>G57*G61</f>
        <v>0</v>
      </c>
      <c r="H62" s="6" t="str">
        <f>IF(D54="English","in^4", "mm^4")</f>
        <v>in^4</v>
      </c>
      <c r="I62" s="26"/>
      <c r="N62" s="6" t="s">
        <v>16</v>
      </c>
      <c r="O62" s="25">
        <f>O57*O61</f>
        <v>0</v>
      </c>
      <c r="P62" s="6" t="str">
        <f>IF(L54="English","in^4", "mm^4")</f>
        <v>in^4</v>
      </c>
    </row>
    <row r="63" spans="1:16" ht="15" customHeight="1" x14ac:dyDescent="0.25">
      <c r="F63" s="6" t="s">
        <v>18</v>
      </c>
      <c r="G63" s="16">
        <f>IF(D54="English",C60*G58, C60*(G58*10^-6))</f>
        <v>0</v>
      </c>
      <c r="H63" s="6" t="str">
        <f>IF(D54="English","lbf", "N")</f>
        <v>lbf</v>
      </c>
      <c r="I63" s="26"/>
      <c r="N63" s="6" t="s">
        <v>18</v>
      </c>
      <c r="O63" s="16">
        <f>IF(L54="English",K59*O58, K59*(O58*10^-6))</f>
        <v>0</v>
      </c>
      <c r="P63" s="6" t="str">
        <f>IF(L54="English","lbf", "N")</f>
        <v>lbf</v>
      </c>
    </row>
    <row r="64" spans="1:16" ht="15" customHeight="1" x14ac:dyDescent="0.25">
      <c r="I64" s="26"/>
    </row>
    <row r="65" spans="9:9" ht="15" customHeight="1" x14ac:dyDescent="0.25">
      <c r="I65" s="26"/>
    </row>
    <row r="66" spans="9:9" ht="15" customHeight="1" x14ac:dyDescent="0.25">
      <c r="I66" s="26"/>
    </row>
    <row r="67" spans="9:9" ht="15" customHeight="1" x14ac:dyDescent="0.25">
      <c r="I67" s="26"/>
    </row>
    <row r="68" spans="9:9" ht="15" customHeight="1" x14ac:dyDescent="0.25">
      <c r="I68" s="26"/>
    </row>
    <row r="69" spans="9:9" ht="15" customHeight="1" x14ac:dyDescent="0.25">
      <c r="I69" s="26"/>
    </row>
    <row r="70" spans="9:9" ht="15" customHeight="1" x14ac:dyDescent="0.25">
      <c r="I70" s="26"/>
    </row>
    <row r="71" spans="9:9" ht="15" customHeight="1" x14ac:dyDescent="0.25">
      <c r="I71" s="26"/>
    </row>
    <row r="72" spans="9:9" ht="15" customHeight="1" x14ac:dyDescent="0.25">
      <c r="I72" s="26"/>
    </row>
    <row r="73" spans="9:9" ht="15" customHeight="1" x14ac:dyDescent="0.25">
      <c r="I73" s="26"/>
    </row>
    <row r="74" spans="9:9" ht="15" customHeight="1" x14ac:dyDescent="0.25">
      <c r="I74" s="26"/>
    </row>
    <row r="75" spans="9:9" ht="15" customHeight="1" x14ac:dyDescent="0.25">
      <c r="I75" s="26"/>
    </row>
  </sheetData>
  <dataValidations count="1">
    <dataValidation type="list" allowBlank="1" showInputMessage="1" showErrorMessage="1" sqref="D3 L3 D28 L28 D54 L54" xr:uid="{16549347-C24F-47A8-9A9E-717FBAD3825F}">
      <formula1>"English, Metric"</formula1>
    </dataValidation>
  </dataValidations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L13&amp;14 Weld Design</vt:lpstr>
      <vt:lpstr>L14 Weld Design Quiz</vt:lpstr>
      <vt:lpstr>L13 Weld Design Quiz P1</vt:lpstr>
      <vt:lpstr>L13 Weld Design Quiz P2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Caiden Logan Bonney</cp:lastModifiedBy>
  <cp:revision/>
  <dcterms:created xsi:type="dcterms:W3CDTF">2025-02-03T09:45:49Z</dcterms:created>
  <dcterms:modified xsi:type="dcterms:W3CDTF">2025-02-10T22:36:49Z</dcterms:modified>
  <cp:category/>
  <cp:contentStatus/>
</cp:coreProperties>
</file>