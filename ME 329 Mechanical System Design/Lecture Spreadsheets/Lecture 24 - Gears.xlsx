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Past Classes/ME 329 Mechanical Systems Design/"/>
    </mc:Choice>
  </mc:AlternateContent>
  <xr:revisionPtr revIDLastSave="2136" documentId="8_{12CF926C-9648-418C-B514-CA5ABB870397}" xr6:coauthVersionLast="47" xr6:coauthVersionMax="47" xr10:uidLastSave="{FB638BB3-0DC1-4992-9A69-D46D88209AC6}"/>
  <bookViews>
    <workbookView xWindow="-120" yWindow="-120" windowWidth="38640" windowHeight="21120" xr2:uid="{BB8C074D-1052-4760-9334-24CC93365BEB}"/>
  </bookViews>
  <sheets>
    <sheet name="L24 Gears" sheetId="5" r:id="rId1"/>
    <sheet name="L24 Quiz P1" sheetId="4" r:id="rId2"/>
    <sheet name="L24 Quiz P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5" l="1"/>
  <c r="J7" i="5"/>
  <c r="C13" i="5"/>
  <c r="D29" i="5"/>
  <c r="F28" i="5"/>
  <c r="E28" i="5"/>
  <c r="D28" i="5"/>
  <c r="B28" i="5"/>
  <c r="D27" i="5"/>
  <c r="J26" i="5"/>
  <c r="D26" i="5"/>
  <c r="J25" i="5"/>
  <c r="H25" i="5"/>
  <c r="J24" i="5"/>
  <c r="F24" i="5"/>
  <c r="F22" i="5"/>
  <c r="C23" i="5" s="1"/>
  <c r="I22" i="5" s="1"/>
  <c r="D19" i="5"/>
  <c r="F18" i="5"/>
  <c r="C19" i="5" s="1"/>
  <c r="E18" i="5"/>
  <c r="D18" i="5"/>
  <c r="B18" i="5"/>
  <c r="D17" i="5"/>
  <c r="J16" i="5"/>
  <c r="D16" i="5"/>
  <c r="J15" i="5"/>
  <c r="H15" i="5"/>
  <c r="J14" i="5"/>
  <c r="F14" i="5"/>
  <c r="C15" i="5" s="1"/>
  <c r="I13" i="5" s="1"/>
  <c r="F12" i="5"/>
  <c r="M11" i="5" a="1"/>
  <c r="M11" i="5" s="1"/>
  <c r="J9" i="5"/>
  <c r="J6" i="5"/>
  <c r="P3" i="5"/>
  <c r="O3" i="5"/>
  <c r="I5" i="4"/>
  <c r="J26" i="3"/>
  <c r="I26" i="3"/>
  <c r="J16" i="3"/>
  <c r="I16" i="3"/>
  <c r="J26" i="4"/>
  <c r="J16" i="4"/>
  <c r="D29" i="4"/>
  <c r="F28" i="4"/>
  <c r="E28" i="4"/>
  <c r="D28" i="4"/>
  <c r="B28" i="4"/>
  <c r="D27" i="4"/>
  <c r="D26" i="4"/>
  <c r="J25" i="4"/>
  <c r="H25" i="4"/>
  <c r="J24" i="4"/>
  <c r="F24" i="4"/>
  <c r="F22" i="4"/>
  <c r="D19" i="4"/>
  <c r="F18" i="4"/>
  <c r="C19" i="4" s="1"/>
  <c r="E18" i="4"/>
  <c r="D18" i="4"/>
  <c r="B18" i="4"/>
  <c r="D17" i="4"/>
  <c r="D16" i="4"/>
  <c r="J15" i="4"/>
  <c r="H15" i="4"/>
  <c r="J14" i="4"/>
  <c r="F14" i="4"/>
  <c r="C15" i="4" s="1"/>
  <c r="I13" i="4" s="1"/>
  <c r="F12" i="4"/>
  <c r="C13" i="4" s="1"/>
  <c r="M11" i="4" a="1"/>
  <c r="J9" i="4"/>
  <c r="J8" i="4"/>
  <c r="J7" i="4"/>
  <c r="J6" i="4"/>
  <c r="P3" i="4"/>
  <c r="O3" i="4"/>
  <c r="D26" i="3"/>
  <c r="D16" i="3"/>
  <c r="J6" i="3"/>
  <c r="J9" i="3"/>
  <c r="J14" i="3"/>
  <c r="J24" i="3"/>
  <c r="D27" i="3"/>
  <c r="D17" i="3"/>
  <c r="D29" i="3"/>
  <c r="F28" i="3"/>
  <c r="E28" i="3"/>
  <c r="D28" i="3"/>
  <c r="B28" i="3"/>
  <c r="J25" i="3"/>
  <c r="H25" i="3"/>
  <c r="F24" i="3"/>
  <c r="F22" i="3"/>
  <c r="D19" i="3"/>
  <c r="F18" i="3"/>
  <c r="E18" i="3"/>
  <c r="D18" i="3"/>
  <c r="B18" i="3"/>
  <c r="J15" i="3"/>
  <c r="H15" i="3"/>
  <c r="F14" i="3"/>
  <c r="F12" i="3"/>
  <c r="M11" i="3" a="1"/>
  <c r="J8" i="3"/>
  <c r="J7" i="3"/>
  <c r="P3" i="3"/>
  <c r="O3" i="3"/>
  <c r="I12" i="5" l="1"/>
  <c r="I5" i="5"/>
  <c r="C17" i="5"/>
  <c r="I14" i="5" s="1"/>
  <c r="I15" i="5"/>
  <c r="I16" i="5" s="1"/>
  <c r="C29" i="5"/>
  <c r="I25" i="5" s="1"/>
  <c r="I26" i="5" s="1"/>
  <c r="I7" i="5"/>
  <c r="I8" i="5"/>
  <c r="C25" i="5"/>
  <c r="I23" i="5" s="1"/>
  <c r="I12" i="4"/>
  <c r="C17" i="4"/>
  <c r="I14" i="4" s="1"/>
  <c r="I15" i="4"/>
  <c r="I16" i="4" s="1"/>
  <c r="C29" i="4"/>
  <c r="I25" i="4" s="1"/>
  <c r="I26" i="4" s="1"/>
  <c r="C25" i="4"/>
  <c r="I23" i="4" s="1"/>
  <c r="I7" i="4"/>
  <c r="M11" i="4"/>
  <c r="M11" i="3"/>
  <c r="I9" i="5" l="1"/>
  <c r="C27" i="5"/>
  <c r="I24" i="5" s="1"/>
  <c r="I6" i="5" s="1"/>
  <c r="I8" i="4"/>
  <c r="I9" i="4" s="1"/>
  <c r="C27" i="4"/>
  <c r="I24" i="4" l="1"/>
  <c r="I6" i="4" s="1"/>
  <c r="C23" i="4"/>
  <c r="I22" i="4" l="1"/>
  <c r="C15" i="3" l="1"/>
  <c r="I13" i="3" s="1"/>
  <c r="C13" i="3" l="1"/>
  <c r="I12" i="3" s="1"/>
  <c r="C25" i="3"/>
  <c r="I23" i="3" s="1"/>
  <c r="C19" i="3" l="1"/>
  <c r="C17" i="3" s="1"/>
  <c r="I14" i="3" s="1"/>
  <c r="I15" i="3" l="1"/>
  <c r="C29" i="3"/>
  <c r="C27" i="3" l="1"/>
  <c r="I25" i="3"/>
  <c r="I8" i="3"/>
  <c r="I7" i="3"/>
  <c r="I9" i="3" l="1"/>
  <c r="I24" i="3"/>
  <c r="I6" i="3" s="1"/>
  <c r="C23" i="3"/>
  <c r="I5" i="3" l="1"/>
  <c r="I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<sst xmlns="http://schemas.openxmlformats.org/spreadsheetml/2006/main" count="195" uniqueCount="38">
  <si>
    <t>INPUTS</t>
  </si>
  <si>
    <t>Units:</t>
  </si>
  <si>
    <t>rev/min</t>
  </si>
  <si>
    <t>English</t>
  </si>
  <si>
    <t>Gear Inputs</t>
  </si>
  <si>
    <t>Gear Outputs</t>
  </si>
  <si>
    <t>OUTPUTS</t>
  </si>
  <si>
    <t>d known</t>
  </si>
  <si>
    <t>teeth</t>
  </si>
  <si>
    <t>Pinion Inputs</t>
  </si>
  <si>
    <r>
      <t>Rotational Speed, ω</t>
    </r>
    <r>
      <rPr>
        <vertAlign val="subscript"/>
        <sz val="11"/>
        <color theme="1"/>
        <rFont val="Aptos Narrow"/>
        <family val="2"/>
        <scheme val="minor"/>
      </rPr>
      <t>G</t>
    </r>
  </si>
  <si>
    <r>
      <t>Rotational Speed, ω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</si>
  <si>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Pitch diameter, d</t>
    </r>
    <r>
      <rPr>
        <vertAlign val="subscript"/>
        <sz val="11"/>
        <color theme="1"/>
        <rFont val="Aptos Narrow"/>
        <family val="2"/>
        <scheme val="minor"/>
      </rPr>
      <t>G</t>
    </r>
  </si>
  <si>
    <r>
      <t>Pitch diameter, d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</si>
  <si>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# teeth, N</t>
    </r>
    <r>
      <rPr>
        <vertAlign val="subscript"/>
        <sz val="11"/>
        <color theme="1"/>
        <rFont val="Aptos Narrow"/>
        <family val="2"/>
        <scheme val="minor"/>
      </rPr>
      <t>G</t>
    </r>
  </si>
  <si>
    <r>
      <t># teeth, N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</si>
  <si>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P</t>
    </r>
    <r>
      <rPr>
        <vertAlign val="subscript"/>
        <sz val="11"/>
        <color theme="1"/>
        <rFont val="Aptos Narrow (Body)"/>
      </rPr>
      <t>G</t>
    </r>
    <r>
      <rPr>
        <sz val="11"/>
        <color theme="1"/>
        <rFont val="Aptos Narrow"/>
        <family val="2"/>
        <scheme val="minor"/>
      </rPr>
      <t>=P</t>
    </r>
    <r>
      <rPr>
        <vertAlign val="subscript"/>
        <sz val="11"/>
        <color theme="1"/>
        <rFont val="Aptos Narrow (Body)"/>
      </rPr>
      <t>P</t>
    </r>
  </si>
  <si>
    <r>
      <t>ω</t>
    </r>
    <r>
      <rPr>
        <vertAlign val="subscript"/>
        <sz val="11"/>
        <color theme="1"/>
        <rFont val="Aptos Narrow"/>
        <family val="2"/>
        <scheme val="minor"/>
      </rPr>
      <t>G</t>
    </r>
    <r>
      <rPr>
        <sz val="11"/>
        <color theme="1"/>
        <rFont val="Aptos Narrow"/>
        <family val="2"/>
        <scheme val="minor"/>
      </rPr>
      <t xml:space="preserve"> known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</si>
  <si>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G</t>
    </r>
    <r>
      <rPr>
        <sz val="11"/>
        <color theme="1"/>
        <rFont val="Aptos Narrow"/>
        <family val="2"/>
        <scheme val="minor"/>
      </rPr>
      <t xml:space="preserve"> known</t>
    </r>
  </si>
  <si>
    <t>Pinion Outputs</t>
  </si>
  <si>
    <t>&lt;-- Unselect one of these if "Pitch Wrong"</t>
  </si>
  <si>
    <t>Tooth System</t>
  </si>
  <si>
    <t>Pressure Angle (ϕ) [deg]</t>
  </si>
  <si>
    <t>Full depth</t>
  </si>
  <si>
    <t>1.35/P or 1.35m</t>
  </si>
  <si>
    <t>Stub</t>
  </si>
  <si>
    <t>Pressure Angle, ϕ</t>
  </si>
  <si>
    <t>deg</t>
  </si>
  <si>
    <t>Table 13-1</t>
  </si>
  <si>
    <t>Metric</t>
  </si>
  <si>
    <t>Addendum, a</t>
  </si>
  <si>
    <t>Dedendum, b</t>
  </si>
  <si>
    <t>C-C dist. Pinion &amp; Gear</t>
  </si>
  <si>
    <t>Speed Ratio: Pinion/Gear</t>
  </si>
  <si>
    <t>-</t>
  </si>
  <si>
    <t>Tooth Clearance</t>
  </si>
  <si>
    <t>Circular pitch, p</t>
  </si>
  <si>
    <t>2nd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</si>
</sst>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Aptos Narrow (Body)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0" fillId="2" borderId="0" xfId="0" quotePrefix="1" applyFill="1" applyAlignment="1">
      <alignment vertical="center"/>
    </xf>
    <xf numFmtId="0" fontId="0" fillId="3" borderId="0" xfId="0" quotePrefix="1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" fillId="8" borderId="3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" xfId="0" applyBorder="1"/>
    <xf numFmtId="164" fontId="0" fillId="3" borderId="0" xfId="0" applyNumberFormat="1" applyFill="1" applyAlignment="1">
      <alignment vertical="center"/>
    </xf>
    <xf numFmtId="165" fontId="0" fillId="3" borderId="0" xfId="0" applyNumberFormat="1" applyFill="1" applyAlignment="1">
      <alignment vertical="center"/>
    </xf>
  </cellXfs>
  <cellStyles count="1">
    <cellStyle name="Normal" xfId="0" builtinId="0"/>
  </cellStyles>
  <dxfs count="30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571500</xdr:colOff>
      <xdr:row>15</xdr:row>
      <xdr:rowOff>123826</xdr:rowOff>
    </xdr:from>
    <xdr:to>
      <xdr:col>19</xdr:col>
      <xdr:colOff>343894</xdr:colOff>
      <xdr:row>30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F1459-6C8B-4603-8CD7-13FAE78475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6818"/>
        <a:stretch/>
      </xdr:blipFill>
      <xdr:spPr>
        <a:xfrm>
          <a:off x="10610850" y="2981326"/>
          <a:ext cx="7125694" cy="2838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7</xdr:col>
      <xdr:colOff>1401169</xdr:colOff>
      <xdr:row>65</xdr:row>
      <xdr:rowOff>96167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DB67FF-CA19-4DCE-80E9-9607AA698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905500"/>
          <a:ext cx="7125694" cy="6573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571500</xdr:colOff>
      <xdr:row>15</xdr:row>
      <xdr:rowOff>123826</xdr:rowOff>
    </xdr:from>
    <xdr:to>
      <xdr:col>19</xdr:col>
      <xdr:colOff>343894</xdr:colOff>
      <xdr:row>30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3AF8C-530B-420C-95E1-4A86BD23A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6818"/>
        <a:stretch/>
      </xdr:blipFill>
      <xdr:spPr>
        <a:xfrm>
          <a:off x="10610850" y="2981326"/>
          <a:ext cx="7125694" cy="2838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7</xdr:col>
      <xdr:colOff>1401169</xdr:colOff>
      <xdr:row>65</xdr:row>
      <xdr:rowOff>96167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6DB57B-7882-4BC3-8A56-5D0CAD2B1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905500"/>
          <a:ext cx="7125694" cy="65731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571500</xdr:colOff>
      <xdr:row>15</xdr:row>
      <xdr:rowOff>123826</xdr:rowOff>
    </xdr:from>
    <xdr:to>
      <xdr:col>19</xdr:col>
      <xdr:colOff>343894</xdr:colOff>
      <xdr:row>30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D529F-4FD5-45E9-BB2B-BAB3D6CBA0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6818"/>
        <a:stretch/>
      </xdr:blipFill>
      <xdr:spPr>
        <a:xfrm>
          <a:off x="10610850" y="2981326"/>
          <a:ext cx="7125694" cy="2838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7</xdr:col>
      <xdr:colOff>1401169</xdr:colOff>
      <xdr:row>65</xdr:row>
      <xdr:rowOff>96167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AB44E7-2B51-4810-A258-23ED8EFD1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905500"/>
          <a:ext cx="7125694" cy="657316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9110-BB32-4DEF-B585-A0BF6CE04A18}">
  <sheetPr>
    <tabColor rgb="FFC00000"/>
  </sheetPr>
  <dimension ref="B1:CC202"/>
  <sheetViews>
    <sheetView tabSelected="1" zoomScaleNormal="100" workbookViewId="0">
      <selection activeCell="J7" sqref="J7:J8"/>
    </sheetView>
  </sheetViews>
  <sheetFormatPr defaultRowHeight="15" customHeight="1"/>
  <cols>
    <col min="2" max="2" width="30.5703125" style="1" customWidth="1"/>
    <col min="3" max="3" width="13" style="1" customWidth="1"/>
    <col min="4" max="4" width="10.140625" style="1" customWidth="1"/>
    <col min="5" max="5" width="9.7109375" bestFit="1" customWidth="1"/>
    <col min="7" max="7" width="13.28515625" customWidth="1"/>
    <col min="8" max="8" width="23.28515625" style="1" bestFit="1" customWidth="1"/>
    <col min="9" max="9" width="13" style="1" customWidth="1"/>
    <col min="10" max="10" width="10.140625" style="1" customWidth="1"/>
    <col min="13" max="13" width="13.42578125" bestFit="1" customWidth="1"/>
    <col min="14" max="14" width="23.28515625" bestFit="1" customWidth="1"/>
    <col min="15" max="15" width="15.5703125" bestFit="1" customWidth="1"/>
    <col min="16" max="16" width="16" bestFit="1" customWidth="1"/>
    <col min="17" max="17" width="14.5703125" bestFit="1" customWidth="1"/>
  </cols>
  <sheetData>
    <row r="1" spans="2:81" ht="15" customHeight="1" thickBot="1">
      <c r="R1" s="18"/>
      <c r="Y1" s="18"/>
      <c r="AF1" s="18"/>
      <c r="AM1" s="18"/>
      <c r="AT1" s="18"/>
      <c r="BA1" s="18"/>
      <c r="BH1" s="18"/>
      <c r="BO1" s="18"/>
      <c r="BV1" s="18"/>
      <c r="CC1" s="18"/>
    </row>
    <row r="2" spans="2:81" ht="15" customHeight="1">
      <c r="C2"/>
      <c r="D2"/>
      <c r="H2"/>
      <c r="I2"/>
      <c r="J2"/>
      <c r="M2" s="29" t="s">
        <v>28</v>
      </c>
      <c r="N2" s="30"/>
      <c r="O2" s="30"/>
      <c r="P2" s="31"/>
      <c r="R2" s="18"/>
      <c r="Y2" s="18"/>
      <c r="AF2" s="18"/>
      <c r="AM2" s="18"/>
      <c r="AT2" s="18"/>
      <c r="BA2" s="18"/>
      <c r="BH2" s="18"/>
      <c r="BO2" s="18"/>
      <c r="BV2" s="18"/>
      <c r="CC2" s="18"/>
    </row>
    <row r="3" spans="2:81" ht="15" customHeight="1">
      <c r="B3" s="2" t="s">
        <v>0</v>
      </c>
      <c r="C3" s="3" t="s">
        <v>1</v>
      </c>
      <c r="D3" s="4" t="s">
        <v>3</v>
      </c>
      <c r="E3" s="14"/>
      <c r="F3" s="14"/>
      <c r="H3" s="5" t="s">
        <v>6</v>
      </c>
      <c r="I3" s="5"/>
      <c r="J3" s="5"/>
      <c r="M3" s="22" t="s">
        <v>21</v>
      </c>
      <c r="N3" s="23" t="s">
        <v>22</v>
      </c>
      <c r="O3" s="23" t="str">
        <f>IF($D$3="English","Addendum (a)/P", "Addendum (a)*m")</f>
        <v>Addendum (a)/P</v>
      </c>
      <c r="P3" s="24" t="str">
        <f>IF($D$3="English","Dedendum (b)/P", "Dedendum (b)*m")</f>
        <v>Dedendum (b)/P</v>
      </c>
      <c r="Q3" t="s">
        <v>37</v>
      </c>
      <c r="R3" s="18"/>
      <c r="Y3" s="18"/>
      <c r="AF3" s="18"/>
      <c r="AM3" s="18"/>
      <c r="AT3" s="18"/>
      <c r="BA3" s="18"/>
      <c r="BH3" s="18"/>
      <c r="BO3" s="18"/>
      <c r="BV3" s="18"/>
      <c r="CC3" s="18"/>
    </row>
    <row r="4" spans="2:81" ht="15" customHeight="1">
      <c r="M4" s="25" t="s">
        <v>23</v>
      </c>
      <c r="N4" s="26">
        <v>20</v>
      </c>
      <c r="O4" s="26">
        <v>1</v>
      </c>
      <c r="P4" s="32">
        <v>1.25</v>
      </c>
      <c r="Q4" t="s">
        <v>24</v>
      </c>
      <c r="R4" s="18"/>
      <c r="Y4" s="18"/>
      <c r="AF4" s="18"/>
      <c r="AM4" s="18"/>
      <c r="AT4" s="18"/>
      <c r="BA4" s="18"/>
      <c r="BH4" s="18"/>
      <c r="BO4" s="18"/>
      <c r="BV4" s="18"/>
      <c r="CC4" s="18"/>
    </row>
    <row r="5" spans="2:81" ht="15" customHeight="1">
      <c r="B5" s="10" t="s">
        <v>21</v>
      </c>
      <c r="C5" s="10" t="s">
        <v>23</v>
      </c>
      <c r="D5" s="10"/>
      <c r="H5" s="11" t="s">
        <v>33</v>
      </c>
      <c r="I5" s="41">
        <f>C13/C23</f>
        <v>2.0588235294117645</v>
      </c>
      <c r="J5" s="16" t="s">
        <v>34</v>
      </c>
      <c r="M5" s="25" t="s">
        <v>23</v>
      </c>
      <c r="N5" s="26">
        <v>22.5</v>
      </c>
      <c r="O5" s="26">
        <v>1</v>
      </c>
      <c r="P5" s="32">
        <v>1.25</v>
      </c>
      <c r="Q5" t="s">
        <v>24</v>
      </c>
      <c r="R5" s="18"/>
      <c r="Y5" s="18"/>
      <c r="AF5" s="18"/>
      <c r="AM5" s="18"/>
      <c r="AT5" s="18"/>
      <c r="BA5" s="18"/>
      <c r="BH5" s="18"/>
      <c r="BO5" s="18"/>
      <c r="BV5" s="18"/>
      <c r="CC5" s="18"/>
    </row>
    <row r="6" spans="2:81" ht="15" customHeight="1">
      <c r="B6" s="10" t="s">
        <v>26</v>
      </c>
      <c r="C6" s="10">
        <v>20</v>
      </c>
      <c r="D6" s="10" t="s">
        <v>27</v>
      </c>
      <c r="H6" s="11" t="s">
        <v>32</v>
      </c>
      <c r="I6" s="11">
        <f>I14/2 + I24/2</f>
        <v>3.25</v>
      </c>
      <c r="J6" s="11" t="str">
        <f>IF($D$3="English","in", "mm")</f>
        <v>in</v>
      </c>
      <c r="M6" s="25" t="s">
        <v>23</v>
      </c>
      <c r="N6" s="26">
        <v>25</v>
      </c>
      <c r="O6" s="26">
        <v>1</v>
      </c>
      <c r="P6" s="32">
        <v>1.25</v>
      </c>
      <c r="Q6" t="s">
        <v>24</v>
      </c>
      <c r="R6" s="18"/>
      <c r="Y6" s="18"/>
      <c r="AF6" s="18"/>
      <c r="AM6" s="18"/>
      <c r="AT6" s="18"/>
      <c r="BA6" s="18"/>
      <c r="BH6" s="18"/>
      <c r="BO6" s="18"/>
      <c r="BV6" s="18"/>
      <c r="CC6" s="18"/>
    </row>
    <row r="7" spans="2:81" ht="15" customHeight="1" thickBot="1">
      <c r="H7" s="11" t="s">
        <v>30</v>
      </c>
      <c r="I7" s="11">
        <f>IF($D$3="English",VLOOKUP($C$6,$N$11:$P$13,2,FALSE)/I15, VLOOKUP($C$6,$N$11:$P$13,2,FALSE)*I15)</f>
        <v>0.125</v>
      </c>
      <c r="J7" s="11" t="str">
        <f t="shared" ref="J7:J8" si="0">IF($D$3="English","in", "mm")</f>
        <v>in</v>
      </c>
      <c r="M7" s="27" t="s">
        <v>25</v>
      </c>
      <c r="N7" s="28">
        <v>20</v>
      </c>
      <c r="O7" s="28">
        <v>0.8</v>
      </c>
      <c r="P7" s="33">
        <v>1</v>
      </c>
      <c r="R7" s="18"/>
      <c r="Y7" s="18"/>
      <c r="AF7" s="18"/>
      <c r="AM7" s="18"/>
      <c r="AT7" s="18"/>
      <c r="BA7" s="18"/>
      <c r="BH7" s="18"/>
      <c r="BO7" s="18"/>
      <c r="BV7" s="18"/>
      <c r="CC7" s="18"/>
    </row>
    <row r="8" spans="2:81" ht="15" customHeight="1">
      <c r="H8" s="11" t="s">
        <v>31</v>
      </c>
      <c r="I8" s="11">
        <f>IF($D$3="English",VLOOKUP($C$6,$N$11:$P$13,3,FALSE)/I15, VLOOKUP($C$6,$N$11:$P$13,3,FALSE)*I15)</f>
        <v>0.15625</v>
      </c>
      <c r="J8" s="11" t="str">
        <f t="shared" si="0"/>
        <v>in</v>
      </c>
      <c r="Y8" s="18"/>
      <c r="AF8" s="18"/>
      <c r="AM8" s="18"/>
      <c r="AT8" s="18"/>
      <c r="BA8" s="18"/>
      <c r="BH8" s="18"/>
      <c r="BO8" s="18"/>
      <c r="BV8" s="18"/>
      <c r="CC8" s="18"/>
    </row>
    <row r="9" spans="2:81" ht="15" customHeight="1">
      <c r="H9" s="11" t="s">
        <v>35</v>
      </c>
      <c r="I9" s="11">
        <f>I8-I7</f>
        <v>3.125E-2</v>
      </c>
      <c r="J9" s="11" t="str">
        <f>IF($D$3="English","in", "mm")</f>
        <v>in</v>
      </c>
      <c r="Y9" s="18"/>
      <c r="AF9" s="18"/>
      <c r="AM9" s="18"/>
      <c r="AT9" s="18"/>
      <c r="BA9" s="18"/>
      <c r="BH9" s="18"/>
      <c r="BO9" s="18"/>
      <c r="BV9" s="18"/>
      <c r="CC9" s="18"/>
    </row>
    <row r="10" spans="2:81" ht="15" customHeight="1" thickBot="1">
      <c r="Y10" s="18"/>
      <c r="AF10" s="18"/>
      <c r="AM10" s="18"/>
      <c r="AT10" s="18"/>
      <c r="BA10" s="18"/>
      <c r="BH10" s="18"/>
      <c r="BO10" s="18"/>
      <c r="BV10" s="18"/>
      <c r="CC10" s="18"/>
    </row>
    <row r="11" spans="2:81" ht="15" customHeight="1">
      <c r="B11" s="6" t="s">
        <v>9</v>
      </c>
      <c r="C11" s="7"/>
      <c r="D11" s="7"/>
      <c r="E11" s="7"/>
      <c r="F11" s="7"/>
      <c r="H11" s="8" t="s">
        <v>19</v>
      </c>
      <c r="I11" s="9"/>
      <c r="J11" s="9"/>
      <c r="M11" s="39" t="str" cm="1">
        <f t="array" ref="M11:P13">_xlfn._xlws.FILTER(M4:P7,M4:M7=C5,M8:P10=NA())</f>
        <v>Full depth</v>
      </c>
      <c r="N11" s="34">
        <v>20</v>
      </c>
      <c r="O11" s="34">
        <v>1</v>
      </c>
      <c r="P11" s="36">
        <v>1.25</v>
      </c>
      <c r="Y11" s="18"/>
      <c r="AF11" s="18"/>
      <c r="AM11" s="18"/>
      <c r="AT11" s="18"/>
      <c r="BA11" s="18"/>
      <c r="BH11" s="18"/>
      <c r="BO11" s="18"/>
      <c r="BV11" s="18"/>
      <c r="CC11" s="18"/>
    </row>
    <row r="12" spans="2:81" ht="15" customHeight="1">
      <c r="B12" s="10" t="s">
        <v>11</v>
      </c>
      <c r="C12" s="10">
        <v>1120</v>
      </c>
      <c r="D12" s="10" t="s">
        <v>2</v>
      </c>
      <c r="E12" s="10" t="s">
        <v>17</v>
      </c>
      <c r="F12" s="12" t="b">
        <f>NOT(C12=0)</f>
        <v>1</v>
      </c>
      <c r="H12" s="11" t="s">
        <v>11</v>
      </c>
      <c r="I12" s="11">
        <f>C13</f>
        <v>1120</v>
      </c>
      <c r="J12" s="11" t="s">
        <v>2</v>
      </c>
      <c r="M12" s="20" t="str">
        <v>Full depth</v>
      </c>
      <c r="N12" s="1">
        <v>22.5</v>
      </c>
      <c r="O12" s="1">
        <v>1</v>
      </c>
      <c r="P12" s="37">
        <v>1.25</v>
      </c>
      <c r="Y12" s="18"/>
      <c r="AF12" s="18"/>
      <c r="AM12" s="18"/>
      <c r="AT12" s="18"/>
      <c r="BA12" s="18"/>
      <c r="BH12" s="18"/>
      <c r="BO12" s="18"/>
      <c r="BV12" s="18"/>
      <c r="CC12" s="18"/>
    </row>
    <row r="13" spans="2:81" ht="15" customHeight="1" thickBot="1">
      <c r="B13" s="11"/>
      <c r="C13" s="11">
        <f>IF(F12,C12,C23*(C27/C17))</f>
        <v>1120</v>
      </c>
      <c r="D13" s="11" t="s">
        <v>2</v>
      </c>
      <c r="H13" s="11" t="s">
        <v>15</v>
      </c>
      <c r="I13" s="11">
        <f>C15</f>
        <v>17</v>
      </c>
      <c r="J13" s="16" t="s">
        <v>8</v>
      </c>
      <c r="M13" s="21" t="str">
        <v>Full depth</v>
      </c>
      <c r="N13" s="35">
        <v>25</v>
      </c>
      <c r="O13" s="35">
        <v>1</v>
      </c>
      <c r="P13" s="38">
        <v>1.25</v>
      </c>
      <c r="Y13" s="18"/>
      <c r="AF13" s="18"/>
      <c r="AM13" s="18"/>
      <c r="AT13" s="18"/>
      <c r="BA13" s="18"/>
      <c r="BH13" s="18"/>
      <c r="BO13" s="18"/>
      <c r="BV13" s="18"/>
      <c r="CC13" s="18"/>
    </row>
    <row r="14" spans="2:81" ht="15" customHeight="1">
      <c r="B14" s="10" t="s">
        <v>15</v>
      </c>
      <c r="C14" s="10">
        <v>17</v>
      </c>
      <c r="D14" s="15" t="s">
        <v>8</v>
      </c>
      <c r="E14" s="10" t="s">
        <v>18</v>
      </c>
      <c r="F14" s="12" t="b">
        <f>NOT(C14=0)</f>
        <v>1</v>
      </c>
      <c r="H14" s="11" t="s">
        <v>13</v>
      </c>
      <c r="I14" s="11">
        <f>C17</f>
        <v>2.125</v>
      </c>
      <c r="J14" s="11" t="str">
        <f>IF($D$3="English","in", "mm")</f>
        <v>in</v>
      </c>
      <c r="M14" s="1"/>
      <c r="R14" s="18"/>
      <c r="Y14" s="18"/>
      <c r="AF14" s="18"/>
      <c r="AM14" s="18"/>
      <c r="AT14" s="18"/>
      <c r="BA14" s="18"/>
      <c r="BH14" s="18"/>
      <c r="BO14" s="18"/>
      <c r="BV14" s="18"/>
      <c r="CC14" s="18"/>
    </row>
    <row r="15" spans="2:81" ht="15" customHeight="1">
      <c r="B15" s="11"/>
      <c r="C15" s="11">
        <f>IF(F14,C14,IF($D$3="English",C19*C17,(C19^-1)*C17))</f>
        <v>17</v>
      </c>
      <c r="D15" s="16" t="s">
        <v>8</v>
      </c>
      <c r="H15" s="11" t="str">
        <f>IF($D$3="English","Diametrial Pitch, P (N/d)", "Module, m (d/N)")</f>
        <v>Diametrial Pitch, P (N/d)</v>
      </c>
      <c r="I15" s="11">
        <f>C19</f>
        <v>8</v>
      </c>
      <c r="J15" s="16" t="str">
        <f>IF($D$3="English","teeth/in", "mm/tooth")</f>
        <v>teeth/in</v>
      </c>
      <c r="M15" s="1"/>
      <c r="R15" s="18"/>
      <c r="Y15" s="18"/>
      <c r="AF15" s="18"/>
      <c r="AM15" s="18"/>
      <c r="AT15" s="18"/>
      <c r="BA15" s="18"/>
      <c r="BH15" s="18"/>
      <c r="BO15" s="18"/>
      <c r="BV15" s="18"/>
      <c r="CC15" s="18"/>
    </row>
    <row r="16" spans="2:81" ht="15" customHeight="1">
      <c r="B16" s="10" t="s">
        <v>13</v>
      </c>
      <c r="C16" s="10"/>
      <c r="D16" s="10" t="str">
        <f>IF($D$3="English","in", "mm")</f>
        <v>in</v>
      </c>
      <c r="E16" s="14" t="s">
        <v>7</v>
      </c>
      <c r="F16" s="13" t="b">
        <v>0</v>
      </c>
      <c r="H16" s="11" t="s">
        <v>36</v>
      </c>
      <c r="I16" s="40">
        <f>IF($D$3="English",PI()/I15, PI()*I15)</f>
        <v>0.39269908169872414</v>
      </c>
      <c r="J16" s="11" t="str">
        <f>IF($D$3="English","in", "mm")</f>
        <v>in</v>
      </c>
      <c r="M16" s="1"/>
      <c r="R16" s="18"/>
      <c r="Y16" s="18"/>
      <c r="AF16" s="18"/>
      <c r="AM16" s="18"/>
      <c r="AT16" s="18"/>
      <c r="BA16" s="18"/>
      <c r="BH16" s="18"/>
      <c r="BO16" s="18"/>
      <c r="BV16" s="18"/>
      <c r="CC16" s="18"/>
    </row>
    <row r="17" spans="2:81" ht="15" customHeight="1">
      <c r="B17" s="11"/>
      <c r="C17" s="11">
        <f>IF(F16,C16,IF(F14,IF($D$3="English",(C19^-1)*C14, C19*C14),C27*(C23/C13)))</f>
        <v>2.125</v>
      </c>
      <c r="D17" s="11" t="str">
        <f>IF($D$3="English","in", "mm")</f>
        <v>in</v>
      </c>
      <c r="M17" s="1"/>
      <c r="R17" s="18"/>
      <c r="Y17" s="18"/>
      <c r="AF17" s="18"/>
      <c r="AM17" s="18"/>
      <c r="AT17" s="18"/>
      <c r="BA17" s="18"/>
      <c r="BH17" s="18"/>
      <c r="BO17" s="18"/>
      <c r="BV17" s="18"/>
      <c r="CC17" s="18"/>
    </row>
    <row r="18" spans="2:81" ht="15" customHeight="1">
      <c r="B18" s="10" t="str">
        <f>IF($D$3="English","Diametrial Pitch, P (N/d)", "Module, m (d/N)")</f>
        <v>Diametrial Pitch, P (N/d)</v>
      </c>
      <c r="C18" s="10">
        <v>8</v>
      </c>
      <c r="D18" s="15" t="str">
        <f>IF($D$3="English","teeth/in", "mm/tooth")</f>
        <v>teeth/in</v>
      </c>
      <c r="E18" s="14" t="str">
        <f>IF($D$3="English","P known", "m known")</f>
        <v>P known</v>
      </c>
      <c r="F18" s="12" t="b">
        <f>NOT(F16)</f>
        <v>1</v>
      </c>
      <c r="M18" s="1"/>
      <c r="R18" s="18"/>
      <c r="Y18" s="18"/>
      <c r="AF18" s="18"/>
      <c r="AM18" s="18"/>
      <c r="AT18" s="18"/>
      <c r="BA18" s="18"/>
      <c r="BH18" s="18"/>
      <c r="BO18" s="18"/>
      <c r="BV18" s="18"/>
      <c r="CC18" s="18"/>
    </row>
    <row r="19" spans="2:81" ht="15" customHeight="1">
      <c r="B19" s="11"/>
      <c r="C19" s="11">
        <f>IF(F18,IF(F19,IF(F29,"Pitch Wrong",C29),C18),IF($D$3="English",C14/C17, C17/C14))</f>
        <v>8</v>
      </c>
      <c r="D19" s="16" t="str">
        <f>IF($D$3="English","teeth/in", "mm/tooth")</f>
        <v>teeth/in</v>
      </c>
      <c r="E19" s="14" t="s">
        <v>16</v>
      </c>
      <c r="F19" s="19" t="b">
        <v>0</v>
      </c>
      <c r="G19" s="17" t="s">
        <v>20</v>
      </c>
      <c r="H19" s="17"/>
      <c r="M19" s="1"/>
      <c r="R19" s="18"/>
      <c r="Y19" s="18"/>
      <c r="AF19" s="18"/>
      <c r="AM19" s="18"/>
      <c r="AT19" s="18"/>
      <c r="BA19" s="18"/>
      <c r="BH19" s="18"/>
      <c r="BO19" s="18"/>
      <c r="BV19" s="18"/>
      <c r="CC19" s="18"/>
    </row>
    <row r="20" spans="2:81" ht="15" customHeight="1">
      <c r="M20" s="1"/>
      <c r="R20" s="18"/>
      <c r="Y20" s="18"/>
      <c r="AF20" s="18"/>
      <c r="AM20" s="18"/>
      <c r="AT20" s="18"/>
      <c r="BA20" s="18"/>
      <c r="BH20" s="18"/>
      <c r="BO20" s="18"/>
      <c r="BV20" s="18"/>
      <c r="CC20" s="18"/>
    </row>
    <row r="21" spans="2:81" ht="15" customHeight="1">
      <c r="B21" s="6" t="s">
        <v>4</v>
      </c>
      <c r="C21" s="7"/>
      <c r="D21" s="7"/>
      <c r="E21" s="7"/>
      <c r="F21" s="7"/>
      <c r="H21" s="8" t="s">
        <v>5</v>
      </c>
      <c r="I21" s="9"/>
      <c r="J21" s="9"/>
      <c r="M21" s="1"/>
      <c r="R21" s="18"/>
      <c r="Y21" s="18"/>
      <c r="AF21" s="18"/>
      <c r="AM21" s="18"/>
      <c r="AT21" s="18"/>
      <c r="BA21" s="18"/>
      <c r="BH21" s="18"/>
      <c r="BO21" s="18"/>
      <c r="BV21" s="18"/>
      <c r="CC21" s="18"/>
    </row>
    <row r="22" spans="2:81" ht="15" customHeight="1">
      <c r="B22" s="10" t="s">
        <v>10</v>
      </c>
      <c r="C22" s="10">
        <v>544</v>
      </c>
      <c r="D22" s="10" t="s">
        <v>2</v>
      </c>
      <c r="E22" s="10" t="s">
        <v>17</v>
      </c>
      <c r="F22" s="12" t="b">
        <f>NOT(C22=0)</f>
        <v>1</v>
      </c>
      <c r="H22" s="11" t="s">
        <v>10</v>
      </c>
      <c r="I22" s="11">
        <f>C23</f>
        <v>544</v>
      </c>
      <c r="J22" s="11" t="s">
        <v>2</v>
      </c>
      <c r="M22" s="1"/>
      <c r="R22" s="18"/>
      <c r="Y22" s="18"/>
      <c r="AF22" s="18"/>
      <c r="AM22" s="18"/>
      <c r="AT22" s="18"/>
      <c r="BA22" s="18"/>
      <c r="BH22" s="18"/>
      <c r="BO22" s="18"/>
      <c r="BV22" s="18"/>
      <c r="CC22" s="18"/>
    </row>
    <row r="23" spans="2:81" ht="15" customHeight="1">
      <c r="B23" s="11"/>
      <c r="C23" s="11">
        <f>IF(F22,C22,C13*(C17/C27))</f>
        <v>544</v>
      </c>
      <c r="D23" s="11" t="s">
        <v>2</v>
      </c>
      <c r="H23" s="11" t="s">
        <v>14</v>
      </c>
      <c r="I23" s="11">
        <f>C25</f>
        <v>35</v>
      </c>
      <c r="J23" s="16" t="s">
        <v>8</v>
      </c>
      <c r="M23" s="1"/>
      <c r="R23" s="18"/>
      <c r="Y23" s="18"/>
      <c r="AF23" s="18"/>
      <c r="AM23" s="18"/>
      <c r="AT23" s="18"/>
      <c r="BA23" s="18"/>
      <c r="BH23" s="18"/>
      <c r="BO23" s="18"/>
      <c r="BV23" s="18"/>
      <c r="CC23" s="18"/>
    </row>
    <row r="24" spans="2:81" ht="15" customHeight="1">
      <c r="B24" s="10" t="s">
        <v>14</v>
      </c>
      <c r="C24" s="10">
        <v>35</v>
      </c>
      <c r="D24" s="15" t="s">
        <v>8</v>
      </c>
      <c r="E24" s="10" t="s">
        <v>18</v>
      </c>
      <c r="F24" s="12" t="b">
        <f>NOT(C24=0)</f>
        <v>1</v>
      </c>
      <c r="H24" s="11" t="s">
        <v>12</v>
      </c>
      <c r="I24" s="11">
        <f>C27</f>
        <v>4.375</v>
      </c>
      <c r="J24" s="11" t="str">
        <f>IF($D$3="English","in", "mm")</f>
        <v>in</v>
      </c>
      <c r="K24" s="1"/>
      <c r="R24" s="18"/>
      <c r="Y24" s="18"/>
      <c r="AF24" s="18"/>
      <c r="AM24" s="18"/>
      <c r="AT24" s="18"/>
      <c r="BA24" s="18"/>
      <c r="BH24" s="18"/>
      <c r="BO24" s="18"/>
      <c r="BV24" s="18"/>
      <c r="CC24" s="18"/>
    </row>
    <row r="25" spans="2:81" ht="15" customHeight="1">
      <c r="B25" s="11"/>
      <c r="C25" s="11">
        <f>IF(F24,C24,IF($D$3="English",C29*C27,(C29^-1)*C27))</f>
        <v>35</v>
      </c>
      <c r="D25" s="16" t="s">
        <v>8</v>
      </c>
      <c r="H25" s="11" t="str">
        <f>IF($D$3="English","Diametrial Pitch, P (N/d)", "Module, m (d/N)")</f>
        <v>Diametrial Pitch, P (N/d)</v>
      </c>
      <c r="I25" s="11">
        <f>C29</f>
        <v>8</v>
      </c>
      <c r="J25" s="11" t="str">
        <f>IF($D$3="English","teeth/in", "mm/tooth")</f>
        <v>teeth/in</v>
      </c>
      <c r="K25" s="1"/>
      <c r="R25" s="18"/>
      <c r="Y25" s="18"/>
      <c r="AF25" s="18"/>
      <c r="AM25" s="18"/>
      <c r="AT25" s="18"/>
      <c r="BA25" s="18"/>
      <c r="BH25" s="18"/>
      <c r="BO25" s="18"/>
      <c r="BV25" s="18"/>
      <c r="CC25" s="18"/>
    </row>
    <row r="26" spans="2:81" ht="15" customHeight="1">
      <c r="B26" s="10" t="s">
        <v>12</v>
      </c>
      <c r="C26" s="10"/>
      <c r="D26" s="10" t="str">
        <f>IF($D$3="English","in", "mm")</f>
        <v>in</v>
      </c>
      <c r="E26" s="14" t="s">
        <v>7</v>
      </c>
      <c r="F26" s="13" t="b">
        <v>0</v>
      </c>
      <c r="H26" s="11" t="s">
        <v>36</v>
      </c>
      <c r="I26" s="40">
        <f>IF($D$3="English",PI()/I25, PI()*I25)</f>
        <v>0.39269908169872414</v>
      </c>
      <c r="J26" s="11" t="str">
        <f>IF($D$3="English","in", "mm")</f>
        <v>in</v>
      </c>
      <c r="K26" s="1"/>
      <c r="R26" s="18"/>
      <c r="Y26" s="18"/>
      <c r="AF26" s="18"/>
      <c r="AM26" s="18"/>
      <c r="AT26" s="18"/>
      <c r="BA26" s="18"/>
      <c r="BH26" s="18"/>
      <c r="BO26" s="18"/>
      <c r="BV26" s="18"/>
      <c r="CC26" s="18"/>
    </row>
    <row r="27" spans="2:81" ht="15" customHeight="1">
      <c r="B27" s="11"/>
      <c r="C27" s="11">
        <f>IF(F26,C26,IF(F24,IF($D$3="English",(C29^-1)*C24, C29*C24),C17*(C13/C23)))</f>
        <v>4.375</v>
      </c>
      <c r="D27" s="11" t="str">
        <f>IF($D$3="English","in", "mm")</f>
        <v>in</v>
      </c>
      <c r="K27" s="1"/>
      <c r="R27" s="18"/>
      <c r="Y27" s="18"/>
      <c r="AF27" s="18"/>
      <c r="AM27" s="18"/>
      <c r="AT27" s="18"/>
      <c r="BA27" s="18"/>
      <c r="BH27" s="18"/>
      <c r="BO27" s="18"/>
      <c r="BV27" s="18"/>
      <c r="CC27" s="18"/>
    </row>
    <row r="28" spans="2:81" ht="15" customHeight="1">
      <c r="B28" s="10" t="str">
        <f>IF($D$3="English","Diametrial Pitch, P (N/d)", "Module, m (d/N)")</f>
        <v>Diametrial Pitch, P (N/d)</v>
      </c>
      <c r="C28" s="10"/>
      <c r="D28" s="10" t="str">
        <f>IF($D$3="English","teeth/in", "mm/tooth")</f>
        <v>teeth/in</v>
      </c>
      <c r="E28" s="14" t="str">
        <f>IF($D$3="English","P known", "m known")</f>
        <v>P known</v>
      </c>
      <c r="F28" s="12" t="b">
        <f>NOT(F26)</f>
        <v>1</v>
      </c>
      <c r="K28" s="1"/>
      <c r="R28" s="18"/>
      <c r="Y28" s="18"/>
      <c r="AF28" s="18"/>
      <c r="AM28" s="18"/>
      <c r="AT28" s="18"/>
      <c r="BA28" s="18"/>
      <c r="BH28" s="18"/>
      <c r="BO28" s="18"/>
      <c r="BV28" s="18"/>
      <c r="CC28" s="18"/>
    </row>
    <row r="29" spans="2:81" ht="15" customHeight="1">
      <c r="B29" s="11"/>
      <c r="C29" s="11">
        <f>IF(F28,IF(F29,IF(F19,"Pitch Wrong",C19),C28),IF($D$3="English",C24/C27, C27/C24))</f>
        <v>8</v>
      </c>
      <c r="D29" s="11" t="str">
        <f>IF($D$3="English","teeth/in", "mm/tooth")</f>
        <v>teeth/in</v>
      </c>
      <c r="E29" s="14" t="s">
        <v>16</v>
      </c>
      <c r="F29" s="19" t="b">
        <v>1</v>
      </c>
      <c r="G29" s="17" t="s">
        <v>20</v>
      </c>
      <c r="H29" s="17"/>
      <c r="K29" s="1"/>
      <c r="R29" s="18"/>
      <c r="Y29" s="18"/>
      <c r="AF29" s="18"/>
      <c r="AM29" s="18"/>
      <c r="AT29" s="18"/>
      <c r="BA29" s="18"/>
      <c r="BH29" s="18"/>
      <c r="BO29" s="18"/>
      <c r="BV29" s="18"/>
      <c r="CC29" s="18"/>
    </row>
    <row r="30" spans="2:81" ht="15" customHeight="1">
      <c r="K30" s="1"/>
      <c r="R30" s="18"/>
      <c r="Y30" s="18"/>
      <c r="AF30" s="18"/>
      <c r="AM30" s="18"/>
      <c r="AT30" s="18"/>
      <c r="BA30" s="18"/>
      <c r="BH30" s="18"/>
      <c r="BO30" s="18"/>
      <c r="BV30" s="18"/>
      <c r="CC30" s="18"/>
    </row>
    <row r="31" spans="2:81" ht="15" customHeight="1">
      <c r="K31" s="1"/>
      <c r="R31" s="18"/>
      <c r="Y31" s="18"/>
      <c r="AF31" s="18"/>
      <c r="AM31" s="18"/>
      <c r="AT31" s="18"/>
      <c r="BA31" s="18"/>
      <c r="BH31" s="18"/>
      <c r="BO31" s="18"/>
      <c r="BV31" s="18"/>
      <c r="CC31" s="18"/>
    </row>
    <row r="32" spans="2:81" ht="15" customHeight="1">
      <c r="K32" s="1"/>
      <c r="R32" s="18"/>
      <c r="Y32" s="18"/>
      <c r="AF32" s="18"/>
      <c r="AM32" s="18"/>
      <c r="AT32" s="18"/>
      <c r="BA32" s="18"/>
      <c r="BH32" s="18"/>
      <c r="BO32" s="18"/>
      <c r="BV32" s="18"/>
      <c r="CC32" s="18"/>
    </row>
    <row r="33" spans="11:81" ht="15" customHeight="1">
      <c r="K33" s="1"/>
      <c r="R33" s="18"/>
      <c r="Y33" s="18"/>
      <c r="AF33" s="18"/>
      <c r="AM33" s="18"/>
      <c r="AT33" s="18"/>
      <c r="BA33" s="18"/>
      <c r="BH33" s="18"/>
      <c r="BO33" s="18"/>
      <c r="BV33" s="18"/>
      <c r="CC33" s="18"/>
    </row>
    <row r="34" spans="11:81" ht="15" customHeight="1">
      <c r="K34" s="1"/>
      <c r="R34" s="18"/>
      <c r="Y34" s="18"/>
      <c r="AF34" s="18"/>
      <c r="AM34" s="18"/>
      <c r="AT34" s="18"/>
      <c r="BA34" s="18"/>
      <c r="BH34" s="18"/>
      <c r="BO34" s="18"/>
      <c r="BV34" s="18"/>
      <c r="CC34" s="18"/>
    </row>
    <row r="35" spans="11:81" ht="15" customHeight="1">
      <c r="K35" s="1"/>
      <c r="R35" s="18"/>
      <c r="Y35" s="18"/>
      <c r="AF35" s="18"/>
      <c r="AM35" s="18"/>
      <c r="AT35" s="18"/>
      <c r="BA35" s="18"/>
      <c r="BH35" s="18"/>
      <c r="BO35" s="18"/>
      <c r="BV35" s="18"/>
      <c r="CC35" s="18"/>
    </row>
    <row r="36" spans="11:81" ht="15" customHeight="1">
      <c r="K36" s="1"/>
      <c r="R36" s="18"/>
      <c r="Y36" s="18"/>
      <c r="AF36" s="18"/>
      <c r="AM36" s="18"/>
      <c r="AT36" s="18"/>
      <c r="BA36" s="18"/>
      <c r="BH36" s="18"/>
      <c r="BO36" s="18"/>
      <c r="BV36" s="18"/>
      <c r="CC36" s="18"/>
    </row>
    <row r="37" spans="11:81" ht="15" customHeight="1">
      <c r="K37" s="1"/>
      <c r="R37" s="18"/>
      <c r="Y37" s="18"/>
      <c r="AF37" s="18"/>
      <c r="AM37" s="18"/>
      <c r="AT37" s="18"/>
      <c r="BA37" s="18"/>
      <c r="BH37" s="18"/>
      <c r="BO37" s="18"/>
      <c r="BV37" s="18"/>
      <c r="CC37" s="18"/>
    </row>
    <row r="38" spans="11:81" ht="15" customHeight="1">
      <c r="K38" s="1"/>
      <c r="R38" s="18"/>
      <c r="Y38" s="18"/>
      <c r="AF38" s="18"/>
      <c r="AM38" s="18"/>
      <c r="AT38" s="18"/>
      <c r="BA38" s="18"/>
      <c r="BH38" s="18"/>
      <c r="BO38" s="18"/>
      <c r="BV38" s="18"/>
      <c r="CC38" s="18"/>
    </row>
    <row r="39" spans="11:81" ht="15" customHeight="1">
      <c r="K39" s="1"/>
      <c r="R39" s="18"/>
      <c r="Y39" s="18"/>
      <c r="AF39" s="18"/>
      <c r="AM39" s="18"/>
      <c r="AT39" s="18"/>
      <c r="BA39" s="18"/>
      <c r="BH39" s="18"/>
      <c r="BO39" s="18"/>
      <c r="BV39" s="18"/>
      <c r="CC39" s="18"/>
    </row>
    <row r="40" spans="11:81" ht="15" customHeight="1">
      <c r="K40" s="1"/>
      <c r="R40" s="18"/>
      <c r="Y40" s="18"/>
      <c r="AF40" s="18"/>
      <c r="AM40" s="18"/>
      <c r="AT40" s="18"/>
      <c r="BA40" s="18"/>
      <c r="BH40" s="18"/>
      <c r="BO40" s="18"/>
      <c r="BV40" s="18"/>
      <c r="CC40" s="18"/>
    </row>
    <row r="41" spans="11:81" ht="15" customHeight="1">
      <c r="K41" s="1"/>
      <c r="R41" s="18"/>
      <c r="Y41" s="18"/>
      <c r="AF41" s="18"/>
      <c r="AM41" s="18"/>
      <c r="AT41" s="18"/>
      <c r="BA41" s="18"/>
      <c r="BH41" s="18"/>
      <c r="BO41" s="18"/>
      <c r="BV41" s="18"/>
      <c r="CC41" s="18"/>
    </row>
    <row r="42" spans="11:81" ht="15" customHeight="1">
      <c r="R42" s="18"/>
      <c r="Y42" s="18"/>
      <c r="AF42" s="18"/>
      <c r="AM42" s="18"/>
      <c r="AT42" s="18"/>
      <c r="BA42" s="18"/>
      <c r="BH42" s="18"/>
      <c r="BO42" s="18"/>
      <c r="BV42" s="18"/>
      <c r="CC42" s="18"/>
    </row>
    <row r="43" spans="11:81" ht="15" customHeight="1">
      <c r="R43" s="18"/>
      <c r="Y43" s="18"/>
      <c r="AF43" s="18"/>
      <c r="AM43" s="18"/>
      <c r="AT43" s="18"/>
      <c r="BA43" s="18"/>
      <c r="BH43" s="18"/>
      <c r="BO43" s="18"/>
      <c r="BV43" s="18"/>
      <c r="CC43" s="18"/>
    </row>
    <row r="44" spans="11:81" ht="15" customHeight="1">
      <c r="R44" s="18"/>
      <c r="Y44" s="18"/>
      <c r="AF44" s="18"/>
      <c r="AM44" s="18"/>
      <c r="AT44" s="18"/>
      <c r="BA44" s="18"/>
      <c r="BH44" s="18"/>
      <c r="BO44" s="18"/>
      <c r="BV44" s="18"/>
      <c r="CC44" s="18"/>
    </row>
    <row r="45" spans="11:81" ht="15" customHeight="1">
      <c r="R45" s="18"/>
      <c r="Y45" s="18"/>
      <c r="AF45" s="18"/>
      <c r="AM45" s="18"/>
      <c r="AT45" s="18"/>
      <c r="BA45" s="18"/>
      <c r="BH45" s="18"/>
      <c r="BO45" s="18"/>
      <c r="BV45" s="18"/>
      <c r="CC45" s="18"/>
    </row>
    <row r="46" spans="11:81" ht="15" customHeight="1">
      <c r="R46" s="18"/>
      <c r="Y46" s="18"/>
      <c r="AF46" s="18"/>
      <c r="AM46" s="18"/>
      <c r="AT46" s="18"/>
      <c r="BA46" s="18"/>
      <c r="BH46" s="18"/>
      <c r="BO46" s="18"/>
      <c r="BV46" s="18"/>
      <c r="CC46" s="18"/>
    </row>
    <row r="47" spans="11:81" ht="15" customHeight="1">
      <c r="R47" s="18"/>
      <c r="Y47" s="18"/>
      <c r="AF47" s="18"/>
      <c r="AM47" s="18"/>
      <c r="AT47" s="18"/>
      <c r="BA47" s="18"/>
      <c r="BH47" s="18"/>
      <c r="BO47" s="18"/>
      <c r="BV47" s="18"/>
      <c r="CC47" s="18"/>
    </row>
    <row r="48" spans="11:81" ht="15" customHeight="1">
      <c r="R48" s="18"/>
      <c r="Y48" s="18"/>
      <c r="AF48" s="18"/>
      <c r="AM48" s="18"/>
      <c r="AT48" s="18"/>
      <c r="BA48" s="18"/>
      <c r="BH48" s="18"/>
      <c r="BO48" s="18"/>
      <c r="BV48" s="18"/>
      <c r="CC48" s="18"/>
    </row>
    <row r="49" spans="18:81" ht="15" customHeight="1">
      <c r="R49" s="18"/>
      <c r="Y49" s="18"/>
      <c r="AF49" s="18"/>
      <c r="AM49" s="18"/>
      <c r="AT49" s="18"/>
      <c r="BA49" s="18"/>
      <c r="BH49" s="18"/>
      <c r="BO49" s="18"/>
      <c r="BV49" s="18"/>
      <c r="CC49" s="18"/>
    </row>
    <row r="50" spans="18:81" ht="15" customHeight="1">
      <c r="R50" s="18"/>
      <c r="Y50" s="18"/>
      <c r="AF50" s="18"/>
      <c r="AM50" s="18"/>
      <c r="AT50" s="18"/>
      <c r="BA50" s="18"/>
      <c r="BH50" s="18"/>
      <c r="BO50" s="18"/>
      <c r="BV50" s="18"/>
      <c r="CC50" s="18"/>
    </row>
    <row r="51" spans="18:81" ht="15" customHeight="1">
      <c r="R51" s="18"/>
      <c r="Y51" s="18"/>
      <c r="AF51" s="18"/>
      <c r="AM51" s="18"/>
      <c r="AT51" s="18"/>
      <c r="BA51" s="18"/>
      <c r="BH51" s="18"/>
      <c r="BO51" s="18"/>
      <c r="BV51" s="18"/>
      <c r="CC51" s="18"/>
    </row>
    <row r="52" spans="18:81" ht="15" customHeight="1">
      <c r="R52" s="18"/>
      <c r="Y52" s="18"/>
      <c r="AF52" s="18"/>
      <c r="AM52" s="18"/>
      <c r="AT52" s="18"/>
      <c r="BA52" s="18"/>
      <c r="BH52" s="18"/>
      <c r="BO52" s="18"/>
      <c r="BV52" s="18"/>
      <c r="CC52" s="18"/>
    </row>
    <row r="53" spans="18:81" ht="15" customHeight="1">
      <c r="R53" s="18"/>
      <c r="Y53" s="18"/>
      <c r="AF53" s="18"/>
      <c r="AM53" s="18"/>
      <c r="AT53" s="18"/>
      <c r="BA53" s="18"/>
      <c r="BH53" s="18"/>
      <c r="BO53" s="18"/>
      <c r="BV53" s="18"/>
      <c r="CC53" s="18"/>
    </row>
    <row r="54" spans="18:81" ht="15" customHeight="1">
      <c r="R54" s="18"/>
      <c r="Y54" s="18"/>
      <c r="AF54" s="18"/>
      <c r="AM54" s="18"/>
      <c r="AT54" s="18"/>
      <c r="BA54" s="18"/>
      <c r="BH54" s="18"/>
      <c r="BO54" s="18"/>
      <c r="BV54" s="18"/>
      <c r="CC54" s="18"/>
    </row>
    <row r="55" spans="18:81" ht="15" customHeight="1">
      <c r="R55" s="18"/>
      <c r="Y55" s="18"/>
      <c r="AF55" s="18"/>
      <c r="AM55" s="18"/>
      <c r="AT55" s="18"/>
      <c r="BA55" s="18"/>
      <c r="BH55" s="18"/>
      <c r="BO55" s="18"/>
      <c r="BV55" s="18"/>
      <c r="CC55" s="18"/>
    </row>
    <row r="56" spans="18:81" ht="15" customHeight="1">
      <c r="R56" s="18"/>
      <c r="Y56" s="18"/>
      <c r="AF56" s="18"/>
      <c r="AM56" s="18"/>
      <c r="AT56" s="18"/>
      <c r="BA56" s="18"/>
      <c r="BH56" s="18"/>
      <c r="BO56" s="18"/>
      <c r="BV56" s="18"/>
      <c r="CC56" s="18"/>
    </row>
    <row r="57" spans="18:81" ht="15" customHeight="1">
      <c r="R57" s="18"/>
      <c r="Y57" s="18"/>
      <c r="AF57" s="18"/>
      <c r="AM57" s="18"/>
      <c r="AT57" s="18"/>
      <c r="BA57" s="18"/>
      <c r="BH57" s="18"/>
      <c r="BO57" s="18"/>
      <c r="BV57" s="18"/>
      <c r="CC57" s="18"/>
    </row>
    <row r="58" spans="18:81" ht="15" customHeight="1">
      <c r="R58" s="18"/>
      <c r="Y58" s="18"/>
      <c r="AF58" s="18"/>
      <c r="AM58" s="18"/>
      <c r="AT58" s="18"/>
      <c r="BA58" s="18"/>
      <c r="BH58" s="18"/>
      <c r="BO58" s="18"/>
      <c r="BV58" s="18"/>
      <c r="CC58" s="18"/>
    </row>
    <row r="59" spans="18:81" ht="15" customHeight="1">
      <c r="R59" s="18"/>
      <c r="Y59" s="18"/>
      <c r="AF59" s="18"/>
      <c r="AM59" s="18"/>
      <c r="AT59" s="18"/>
      <c r="BA59" s="18"/>
      <c r="BH59" s="18"/>
      <c r="BO59" s="18"/>
      <c r="BV59" s="18"/>
      <c r="CC59" s="18"/>
    </row>
    <row r="60" spans="18:81" ht="15" customHeight="1">
      <c r="R60" s="18"/>
      <c r="Y60" s="18"/>
      <c r="AF60" s="18"/>
      <c r="AM60" s="18"/>
      <c r="AT60" s="18"/>
      <c r="BA60" s="18"/>
      <c r="BH60" s="18"/>
      <c r="BO60" s="18"/>
      <c r="BV60" s="18"/>
      <c r="CC60" s="18"/>
    </row>
    <row r="61" spans="18:81" ht="15" customHeight="1">
      <c r="R61" s="18"/>
      <c r="Y61" s="18"/>
      <c r="AF61" s="18"/>
      <c r="AM61" s="18"/>
      <c r="AT61" s="18"/>
      <c r="BA61" s="18"/>
      <c r="BH61" s="18"/>
      <c r="BO61" s="18"/>
      <c r="BV61" s="18"/>
      <c r="CC61" s="18"/>
    </row>
    <row r="62" spans="18:81" ht="15" customHeight="1">
      <c r="R62" s="18"/>
      <c r="Y62" s="18"/>
      <c r="AF62" s="18"/>
      <c r="AM62" s="18"/>
      <c r="AT62" s="18"/>
      <c r="BA62" s="18"/>
      <c r="BH62" s="18"/>
      <c r="BO62" s="18"/>
      <c r="BV62" s="18"/>
      <c r="CC62" s="18"/>
    </row>
    <row r="63" spans="18:81" ht="15" customHeight="1">
      <c r="R63" s="18"/>
      <c r="Y63" s="18"/>
      <c r="AF63" s="18"/>
      <c r="AM63" s="18"/>
      <c r="AT63" s="18"/>
      <c r="BA63" s="18"/>
      <c r="BH63" s="18"/>
      <c r="BO63" s="18"/>
      <c r="BV63" s="18"/>
      <c r="CC63" s="18"/>
    </row>
    <row r="64" spans="18:81" ht="15" customHeight="1">
      <c r="R64" s="18"/>
      <c r="Y64" s="18"/>
      <c r="AF64" s="18"/>
      <c r="AM64" s="18"/>
      <c r="AT64" s="18"/>
      <c r="BA64" s="18"/>
      <c r="BH64" s="18"/>
      <c r="BO64" s="18"/>
      <c r="BV64" s="18"/>
      <c r="CC64" s="18"/>
    </row>
    <row r="73" spans="10:10" ht="15" customHeight="1">
      <c r="J73"/>
    </row>
    <row r="202" spans="2:2" ht="15" customHeight="1">
      <c r="B202"/>
    </row>
  </sheetData>
  <conditionalFormatting sqref="B16:D16">
    <cfRule type="expression" dxfId="29" priority="8">
      <formula>$F$18</formula>
    </cfRule>
  </conditionalFormatting>
  <conditionalFormatting sqref="B18:D18">
    <cfRule type="expression" dxfId="28" priority="1">
      <formula>$F$19</formula>
    </cfRule>
    <cfRule type="expression" dxfId="27" priority="2">
      <formula>$F$16</formula>
    </cfRule>
  </conditionalFormatting>
  <conditionalFormatting sqref="B26:D26">
    <cfRule type="expression" dxfId="26" priority="6">
      <formula>$F$28</formula>
    </cfRule>
  </conditionalFormatting>
  <conditionalFormatting sqref="B28:D28">
    <cfRule type="expression" dxfId="25" priority="4">
      <formula>$F$26</formula>
    </cfRule>
    <cfRule type="expression" dxfId="24" priority="5">
      <formula>$F$29</formula>
    </cfRule>
  </conditionalFormatting>
  <conditionalFormatting sqref="F19">
    <cfRule type="expression" dxfId="23" priority="11" stopIfTrue="1">
      <formula>$F$29</formula>
    </cfRule>
    <cfRule type="expression" dxfId="22" priority="12" stopIfTrue="1">
      <formula>$F$16</formula>
    </cfRule>
  </conditionalFormatting>
  <conditionalFormatting sqref="F29">
    <cfRule type="expression" dxfId="21" priority="9" stopIfTrue="1">
      <formula>$F$19</formula>
    </cfRule>
    <cfRule type="expression" dxfId="20" priority="10">
      <formula>$F$26</formula>
    </cfRule>
  </conditionalFormatting>
  <dataValidations count="2">
    <dataValidation type="list" allowBlank="1" showInputMessage="1" showErrorMessage="1" sqref="D3" xr:uid="{DB202E47-7A9E-4728-94EC-66A6236B6524}">
      <formula1>"English, Metric"</formula1>
    </dataValidation>
    <dataValidation type="list" allowBlank="1" showInputMessage="1" showErrorMessage="1" sqref="C5" xr:uid="{608D629F-5D8C-4526-862A-276FF7C0CE36}">
      <formula1>"Full depth, Stub"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D104-726E-4E5E-BA82-8859DA5D7CB3}">
  <sheetPr>
    <tabColor rgb="FF00B050"/>
  </sheetPr>
  <dimension ref="B1:CC202"/>
  <sheetViews>
    <sheetView zoomScaleNormal="100" workbookViewId="0">
      <selection activeCell="Q3" sqref="Q3"/>
    </sheetView>
  </sheetViews>
  <sheetFormatPr defaultRowHeight="15" customHeight="1"/>
  <cols>
    <col min="2" max="2" width="30.5703125" style="1" customWidth="1"/>
    <col min="3" max="3" width="13" style="1" customWidth="1"/>
    <col min="4" max="4" width="10.140625" style="1" customWidth="1"/>
    <col min="5" max="5" width="9.7109375" bestFit="1" customWidth="1"/>
    <col min="7" max="7" width="13.28515625" customWidth="1"/>
    <col min="8" max="8" width="23.28515625" style="1" bestFit="1" customWidth="1"/>
    <col min="9" max="9" width="13" style="1" customWidth="1"/>
    <col min="10" max="10" width="10.140625" style="1" customWidth="1"/>
    <col min="13" max="13" width="13.42578125" bestFit="1" customWidth="1"/>
    <col min="14" max="14" width="23.28515625" bestFit="1" customWidth="1"/>
    <col min="15" max="15" width="15.5703125" bestFit="1" customWidth="1"/>
    <col min="16" max="16" width="16" bestFit="1" customWidth="1"/>
    <col min="17" max="17" width="14.5703125" bestFit="1" customWidth="1"/>
  </cols>
  <sheetData>
    <row r="1" spans="2:81" ht="15" customHeight="1" thickBot="1">
      <c r="R1" s="18"/>
      <c r="Y1" s="18"/>
      <c r="AF1" s="18"/>
      <c r="AM1" s="18"/>
      <c r="AT1" s="18"/>
      <c r="BA1" s="18"/>
      <c r="BH1" s="18"/>
      <c r="BO1" s="18"/>
      <c r="BV1" s="18"/>
      <c r="CC1" s="18"/>
    </row>
    <row r="2" spans="2:81" ht="15" customHeight="1">
      <c r="C2"/>
      <c r="D2"/>
      <c r="H2"/>
      <c r="I2"/>
      <c r="J2"/>
      <c r="M2" s="29" t="s">
        <v>28</v>
      </c>
      <c r="N2" s="30"/>
      <c r="O2" s="30"/>
      <c r="P2" s="31"/>
      <c r="R2" s="18"/>
      <c r="Y2" s="18"/>
      <c r="AF2" s="18"/>
      <c r="AM2" s="18"/>
      <c r="AT2" s="18"/>
      <c r="BA2" s="18"/>
      <c r="BH2" s="18"/>
      <c r="BO2" s="18"/>
      <c r="BV2" s="18"/>
      <c r="CC2" s="18"/>
    </row>
    <row r="3" spans="2:81" ht="15" customHeight="1">
      <c r="B3" s="2" t="s">
        <v>0</v>
      </c>
      <c r="C3" s="3" t="s">
        <v>1</v>
      </c>
      <c r="D3" s="4" t="s">
        <v>3</v>
      </c>
      <c r="E3" s="14"/>
      <c r="F3" s="14"/>
      <c r="H3" s="5" t="s">
        <v>6</v>
      </c>
      <c r="I3" s="5"/>
      <c r="J3" s="5"/>
      <c r="M3" s="22" t="s">
        <v>21</v>
      </c>
      <c r="N3" s="23" t="s">
        <v>22</v>
      </c>
      <c r="O3" s="23" t="str">
        <f>IF($D$3="English","Addendum (a)/P", "Addendum (a)*m")</f>
        <v>Addendum (a)/P</v>
      </c>
      <c r="P3" s="24" t="str">
        <f>IF($D$3="English","Dedendum (b)/P", "Dedendum (b)*m")</f>
        <v>Dedendum (b)/P</v>
      </c>
      <c r="Q3" t="s">
        <v>37</v>
      </c>
      <c r="R3" s="18"/>
      <c r="Y3" s="18"/>
      <c r="AF3" s="18"/>
      <c r="AM3" s="18"/>
      <c r="AT3" s="18"/>
      <c r="BA3" s="18"/>
      <c r="BH3" s="18"/>
      <c r="BO3" s="18"/>
      <c r="BV3" s="18"/>
      <c r="CC3" s="18"/>
    </row>
    <row r="4" spans="2:81" ht="15" customHeight="1">
      <c r="M4" s="25" t="s">
        <v>23</v>
      </c>
      <c r="N4" s="26">
        <v>20</v>
      </c>
      <c r="O4" s="26">
        <v>1</v>
      </c>
      <c r="P4" s="32">
        <v>1.25</v>
      </c>
      <c r="Q4" t="s">
        <v>24</v>
      </c>
      <c r="R4" s="18"/>
      <c r="Y4" s="18"/>
      <c r="AF4" s="18"/>
      <c r="AM4" s="18"/>
      <c r="AT4" s="18"/>
      <c r="BA4" s="18"/>
      <c r="BH4" s="18"/>
      <c r="BO4" s="18"/>
      <c r="BV4" s="18"/>
      <c r="CC4" s="18"/>
    </row>
    <row r="5" spans="2:81" ht="15" customHeight="1">
      <c r="B5" s="10" t="s">
        <v>21</v>
      </c>
      <c r="C5" s="10" t="s">
        <v>23</v>
      </c>
      <c r="D5" s="10"/>
      <c r="H5" s="11" t="s">
        <v>33</v>
      </c>
      <c r="I5" s="41">
        <f>C13/C23</f>
        <v>2.0588235294117645</v>
      </c>
      <c r="J5" s="16" t="s">
        <v>34</v>
      </c>
      <c r="M5" s="25" t="s">
        <v>23</v>
      </c>
      <c r="N5" s="26">
        <v>22.5</v>
      </c>
      <c r="O5" s="26">
        <v>1</v>
      </c>
      <c r="P5" s="32">
        <v>1.25</v>
      </c>
      <c r="Q5" t="s">
        <v>24</v>
      </c>
      <c r="R5" s="18"/>
      <c r="Y5" s="18"/>
      <c r="AF5" s="18"/>
      <c r="AM5" s="18"/>
      <c r="AT5" s="18"/>
      <c r="BA5" s="18"/>
      <c r="BH5" s="18"/>
      <c r="BO5" s="18"/>
      <c r="BV5" s="18"/>
      <c r="CC5" s="18"/>
    </row>
    <row r="6" spans="2:81" ht="15" customHeight="1">
      <c r="B6" s="10" t="s">
        <v>26</v>
      </c>
      <c r="C6" s="10">
        <v>20</v>
      </c>
      <c r="D6" s="10" t="s">
        <v>27</v>
      </c>
      <c r="H6" s="11" t="s">
        <v>32</v>
      </c>
      <c r="I6" s="11">
        <f>I14/2 + I24/2</f>
        <v>3.25</v>
      </c>
      <c r="J6" s="11" t="str">
        <f>IF($D$3="English","in", "mm")</f>
        <v>in</v>
      </c>
      <c r="M6" s="25" t="s">
        <v>23</v>
      </c>
      <c r="N6" s="26">
        <v>25</v>
      </c>
      <c r="O6" s="26">
        <v>1</v>
      </c>
      <c r="P6" s="32">
        <v>1.25</v>
      </c>
      <c r="Q6" t="s">
        <v>24</v>
      </c>
      <c r="R6" s="18"/>
      <c r="Y6" s="18"/>
      <c r="AF6" s="18"/>
      <c r="AM6" s="18"/>
      <c r="AT6" s="18"/>
      <c r="BA6" s="18"/>
      <c r="BH6" s="18"/>
      <c r="BO6" s="18"/>
      <c r="BV6" s="18"/>
      <c r="CC6" s="18"/>
    </row>
    <row r="7" spans="2:81" ht="15" customHeight="1" thickBot="1">
      <c r="H7" s="11" t="s">
        <v>30</v>
      </c>
      <c r="I7" s="11">
        <f>IF($D$3="English",VLOOKUP($C$6,$N$11:$P$13,2,FALSE)/I15, VLOOKUP($C$6,$N$11:$P$13,2,FALSE)*I15)</f>
        <v>0.125</v>
      </c>
      <c r="J7" s="11" t="str">
        <f>IF($D$3="English","in/tooth", "mm/tooth")</f>
        <v>in/tooth</v>
      </c>
      <c r="M7" s="27" t="s">
        <v>25</v>
      </c>
      <c r="N7" s="28">
        <v>20</v>
      </c>
      <c r="O7" s="28">
        <v>0.8</v>
      </c>
      <c r="P7" s="33">
        <v>1</v>
      </c>
      <c r="R7" s="18"/>
      <c r="Y7" s="18"/>
      <c r="AF7" s="18"/>
      <c r="AM7" s="18"/>
      <c r="AT7" s="18"/>
      <c r="BA7" s="18"/>
      <c r="BH7" s="18"/>
      <c r="BO7" s="18"/>
      <c r="BV7" s="18"/>
      <c r="CC7" s="18"/>
    </row>
    <row r="8" spans="2:81" ht="15" customHeight="1">
      <c r="H8" s="11" t="s">
        <v>31</v>
      </c>
      <c r="I8" s="11">
        <f>IF($D$3="English",VLOOKUP($C$6,$N$11:$P$13,3,FALSE)/I15, VLOOKUP($C$6,$N$11:$P$13,3,FALSE)*I15)</f>
        <v>0.15625</v>
      </c>
      <c r="J8" s="11" t="str">
        <f>IF($D$3="English","in/tooth", "mm/tooth")</f>
        <v>in/tooth</v>
      </c>
      <c r="Y8" s="18"/>
      <c r="AF8" s="18"/>
      <c r="AM8" s="18"/>
      <c r="AT8" s="18"/>
      <c r="BA8" s="18"/>
      <c r="BH8" s="18"/>
      <c r="BO8" s="18"/>
      <c r="BV8" s="18"/>
      <c r="CC8" s="18"/>
    </row>
    <row r="9" spans="2:81" ht="15" customHeight="1">
      <c r="H9" s="11" t="s">
        <v>35</v>
      </c>
      <c r="I9" s="11">
        <f>I8-I7</f>
        <v>3.125E-2</v>
      </c>
      <c r="J9" s="11" t="str">
        <f>IF($D$3="English","in", "mm")</f>
        <v>in</v>
      </c>
      <c r="Y9" s="18"/>
      <c r="AF9" s="18"/>
      <c r="AM9" s="18"/>
      <c r="AT9" s="18"/>
      <c r="BA9" s="18"/>
      <c r="BH9" s="18"/>
      <c r="BO9" s="18"/>
      <c r="BV9" s="18"/>
      <c r="CC9" s="18"/>
    </row>
    <row r="10" spans="2:81" ht="15" customHeight="1" thickBot="1">
      <c r="Y10" s="18"/>
      <c r="AF10" s="18"/>
      <c r="AM10" s="18"/>
      <c r="AT10" s="18"/>
      <c r="BA10" s="18"/>
      <c r="BH10" s="18"/>
      <c r="BO10" s="18"/>
      <c r="BV10" s="18"/>
      <c r="CC10" s="18"/>
    </row>
    <row r="11" spans="2:81" ht="15" customHeight="1">
      <c r="B11" s="6" t="s">
        <v>9</v>
      </c>
      <c r="C11" s="7"/>
      <c r="D11" s="7"/>
      <c r="E11" s="7"/>
      <c r="F11" s="7"/>
      <c r="H11" s="8" t="s">
        <v>19</v>
      </c>
      <c r="I11" s="9"/>
      <c r="J11" s="9"/>
      <c r="M11" s="39" t="str" cm="1">
        <f t="array" ref="M11:P13">_xlfn._xlws.FILTER(M4:P7,M4:M7=C5,M8:P10=NA())</f>
        <v>Full depth</v>
      </c>
      <c r="N11" s="34">
        <v>20</v>
      </c>
      <c r="O11" s="34">
        <v>1</v>
      </c>
      <c r="P11" s="36">
        <v>1.25</v>
      </c>
      <c r="Y11" s="18"/>
      <c r="AF11" s="18"/>
      <c r="AM11" s="18"/>
      <c r="AT11" s="18"/>
      <c r="BA11" s="18"/>
      <c r="BH11" s="18"/>
      <c r="BO11" s="18"/>
      <c r="BV11" s="18"/>
      <c r="CC11" s="18"/>
    </row>
    <row r="12" spans="2:81" ht="15" customHeight="1">
      <c r="B12" s="10" t="s">
        <v>11</v>
      </c>
      <c r="C12" s="10">
        <v>1120</v>
      </c>
      <c r="D12" s="10" t="s">
        <v>2</v>
      </c>
      <c r="E12" s="10" t="s">
        <v>17</v>
      </c>
      <c r="F12" s="12" t="b">
        <f>NOT(C12=0)</f>
        <v>1</v>
      </c>
      <c r="H12" s="11" t="s">
        <v>11</v>
      </c>
      <c r="I12" s="11">
        <f>C13</f>
        <v>1120</v>
      </c>
      <c r="J12" s="11" t="s">
        <v>2</v>
      </c>
      <c r="M12" s="20" t="str">
        <v>Full depth</v>
      </c>
      <c r="N12" s="1">
        <v>22.5</v>
      </c>
      <c r="O12" s="1">
        <v>1</v>
      </c>
      <c r="P12" s="37">
        <v>1.25</v>
      </c>
      <c r="Y12" s="18"/>
      <c r="AF12" s="18"/>
      <c r="AM12" s="18"/>
      <c r="AT12" s="18"/>
      <c r="BA12" s="18"/>
      <c r="BH12" s="18"/>
      <c r="BO12" s="18"/>
      <c r="BV12" s="18"/>
      <c r="CC12" s="18"/>
    </row>
    <row r="13" spans="2:81" ht="15" customHeight="1" thickBot="1">
      <c r="B13" s="11"/>
      <c r="C13" s="11">
        <f>IF(F12,C12,C23*(C27/C17))</f>
        <v>1120</v>
      </c>
      <c r="D13" s="11" t="s">
        <v>2</v>
      </c>
      <c r="H13" s="11" t="s">
        <v>15</v>
      </c>
      <c r="I13" s="11">
        <f>C15</f>
        <v>17</v>
      </c>
      <c r="J13" s="16" t="s">
        <v>8</v>
      </c>
      <c r="M13" s="21" t="str">
        <v>Full depth</v>
      </c>
      <c r="N13" s="35">
        <v>25</v>
      </c>
      <c r="O13" s="35">
        <v>1</v>
      </c>
      <c r="P13" s="38">
        <v>1.25</v>
      </c>
      <c r="Y13" s="18"/>
      <c r="AF13" s="18"/>
      <c r="AM13" s="18"/>
      <c r="AT13" s="18"/>
      <c r="BA13" s="18"/>
      <c r="BH13" s="18"/>
      <c r="BO13" s="18"/>
      <c r="BV13" s="18"/>
      <c r="CC13" s="18"/>
    </row>
    <row r="14" spans="2:81" ht="15" customHeight="1">
      <c r="B14" s="10" t="s">
        <v>15</v>
      </c>
      <c r="C14" s="10">
        <v>17</v>
      </c>
      <c r="D14" s="15" t="s">
        <v>8</v>
      </c>
      <c r="E14" s="10" t="s">
        <v>18</v>
      </c>
      <c r="F14" s="12" t="b">
        <f>NOT(C14=0)</f>
        <v>1</v>
      </c>
      <c r="H14" s="11" t="s">
        <v>13</v>
      </c>
      <c r="I14" s="11">
        <f>C17</f>
        <v>2.125</v>
      </c>
      <c r="J14" s="11" t="str">
        <f>IF($D$3="English","in", "mm")</f>
        <v>in</v>
      </c>
      <c r="M14" s="1"/>
      <c r="R14" s="18"/>
      <c r="Y14" s="18"/>
      <c r="AF14" s="18"/>
      <c r="AM14" s="18"/>
      <c r="AT14" s="18"/>
      <c r="BA14" s="18"/>
      <c r="BH14" s="18"/>
      <c r="BO14" s="18"/>
      <c r="BV14" s="18"/>
      <c r="CC14" s="18"/>
    </row>
    <row r="15" spans="2:81" ht="15" customHeight="1">
      <c r="B15" s="11"/>
      <c r="C15" s="11">
        <f>IF(F14,C14,IF($D$3="English",C19*C17,(C19^-1)*C17))</f>
        <v>17</v>
      </c>
      <c r="D15" s="16" t="s">
        <v>8</v>
      </c>
      <c r="H15" s="11" t="str">
        <f>IF($D$3="English","Diametrial Pitch, P (N/d)", "Module, m (d/N)")</f>
        <v>Diametrial Pitch, P (N/d)</v>
      </c>
      <c r="I15" s="11">
        <f>C19</f>
        <v>8</v>
      </c>
      <c r="J15" s="16" t="str">
        <f>IF($D$3="English","teeth/in", "mm/tooth")</f>
        <v>teeth/in</v>
      </c>
      <c r="M15" s="1"/>
      <c r="R15" s="18"/>
      <c r="Y15" s="18"/>
      <c r="AF15" s="18"/>
      <c r="AM15" s="18"/>
      <c r="AT15" s="18"/>
      <c r="BA15" s="18"/>
      <c r="BH15" s="18"/>
      <c r="BO15" s="18"/>
      <c r="BV15" s="18"/>
      <c r="CC15" s="18"/>
    </row>
    <row r="16" spans="2:81" ht="15" customHeight="1">
      <c r="B16" s="10" t="s">
        <v>13</v>
      </c>
      <c r="C16" s="10"/>
      <c r="D16" s="10" t="str">
        <f>IF($D$3="English","in", "mm")</f>
        <v>in</v>
      </c>
      <c r="E16" s="14" t="s">
        <v>7</v>
      </c>
      <c r="F16" s="13" t="b">
        <v>0</v>
      </c>
      <c r="H16" s="11" t="s">
        <v>36</v>
      </c>
      <c r="I16" s="40">
        <f>IF($D$3="English",PI()/I15, PI()*I15)</f>
        <v>0.39269908169872414</v>
      </c>
      <c r="J16" s="11" t="str">
        <f>IF($D$3="English","in", "mm")</f>
        <v>in</v>
      </c>
      <c r="M16" s="1"/>
      <c r="R16" s="18"/>
      <c r="Y16" s="18"/>
      <c r="AF16" s="18"/>
      <c r="AM16" s="18"/>
      <c r="AT16" s="18"/>
      <c r="BA16" s="18"/>
      <c r="BH16" s="18"/>
      <c r="BO16" s="18"/>
      <c r="BV16" s="18"/>
      <c r="CC16" s="18"/>
    </row>
    <row r="17" spans="2:81" ht="15" customHeight="1">
      <c r="B17" s="11"/>
      <c r="C17" s="11">
        <f>IF(F16,C16,IF(F14,IF($D$3="English",(C19^-1)*C14, C19*C14),C27*(C23/C13)))</f>
        <v>2.125</v>
      </c>
      <c r="D17" s="11" t="str">
        <f>IF($D$3="English","in", "mm")</f>
        <v>in</v>
      </c>
      <c r="M17" s="1"/>
      <c r="R17" s="18"/>
      <c r="Y17" s="18"/>
      <c r="AF17" s="18"/>
      <c r="AM17" s="18"/>
      <c r="AT17" s="18"/>
      <c r="BA17" s="18"/>
      <c r="BH17" s="18"/>
      <c r="BO17" s="18"/>
      <c r="BV17" s="18"/>
      <c r="CC17" s="18"/>
    </row>
    <row r="18" spans="2:81" ht="15" customHeight="1">
      <c r="B18" s="10" t="str">
        <f>IF($D$3="English","Diametrial Pitch, P (N/d)", "Module, m (d/N)")</f>
        <v>Diametrial Pitch, P (N/d)</v>
      </c>
      <c r="C18" s="10">
        <v>8</v>
      </c>
      <c r="D18" s="15" t="str">
        <f>IF($D$3="English","teeth/in", "mm/tooth")</f>
        <v>teeth/in</v>
      </c>
      <c r="E18" s="14" t="str">
        <f>IF($D$3="English","P known", "m known")</f>
        <v>P known</v>
      </c>
      <c r="F18" s="12" t="b">
        <f>NOT(F16)</f>
        <v>1</v>
      </c>
      <c r="M18" s="1"/>
      <c r="R18" s="18"/>
      <c r="Y18" s="18"/>
      <c r="AF18" s="18"/>
      <c r="AM18" s="18"/>
      <c r="AT18" s="18"/>
      <c r="BA18" s="18"/>
      <c r="BH18" s="18"/>
      <c r="BO18" s="18"/>
      <c r="BV18" s="18"/>
      <c r="CC18" s="18"/>
    </row>
    <row r="19" spans="2:81" ht="15" customHeight="1">
      <c r="B19" s="11"/>
      <c r="C19" s="11">
        <f>IF(F18,IF(F19,IF(F29,"Pitch Wrong",C29),C18),IF($D$3="English",C14/C17, C17/C14))</f>
        <v>8</v>
      </c>
      <c r="D19" s="16" t="str">
        <f>IF($D$3="English","teeth/in", "mm/tooth")</f>
        <v>teeth/in</v>
      </c>
      <c r="E19" s="14" t="s">
        <v>16</v>
      </c>
      <c r="F19" s="19" t="b">
        <v>0</v>
      </c>
      <c r="G19" s="17" t="s">
        <v>20</v>
      </c>
      <c r="H19" s="17"/>
      <c r="M19" s="1"/>
      <c r="R19" s="18"/>
      <c r="Y19" s="18"/>
      <c r="AF19" s="18"/>
      <c r="AM19" s="18"/>
      <c r="AT19" s="18"/>
      <c r="BA19" s="18"/>
      <c r="BH19" s="18"/>
      <c r="BO19" s="18"/>
      <c r="BV19" s="18"/>
      <c r="CC19" s="18"/>
    </row>
    <row r="20" spans="2:81" ht="15" customHeight="1">
      <c r="M20" s="1"/>
      <c r="R20" s="18"/>
      <c r="Y20" s="18"/>
      <c r="AF20" s="18"/>
      <c r="AM20" s="18"/>
      <c r="AT20" s="18"/>
      <c r="BA20" s="18"/>
      <c r="BH20" s="18"/>
      <c r="BO20" s="18"/>
      <c r="BV20" s="18"/>
      <c r="CC20" s="18"/>
    </row>
    <row r="21" spans="2:81" ht="15" customHeight="1">
      <c r="B21" s="6" t="s">
        <v>4</v>
      </c>
      <c r="C21" s="7"/>
      <c r="D21" s="7"/>
      <c r="E21" s="7"/>
      <c r="F21" s="7"/>
      <c r="H21" s="8" t="s">
        <v>5</v>
      </c>
      <c r="I21" s="9"/>
      <c r="J21" s="9"/>
      <c r="M21" s="1"/>
      <c r="R21" s="18"/>
      <c r="Y21" s="18"/>
      <c r="AF21" s="18"/>
      <c r="AM21" s="18"/>
      <c r="AT21" s="18"/>
      <c r="BA21" s="18"/>
      <c r="BH21" s="18"/>
      <c r="BO21" s="18"/>
      <c r="BV21" s="18"/>
      <c r="CC21" s="18"/>
    </row>
    <row r="22" spans="2:81" ht="15" customHeight="1">
      <c r="B22" s="10" t="s">
        <v>10</v>
      </c>
      <c r="C22" s="10">
        <v>544</v>
      </c>
      <c r="D22" s="10" t="s">
        <v>2</v>
      </c>
      <c r="E22" s="10" t="s">
        <v>17</v>
      </c>
      <c r="F22" s="12" t="b">
        <f>NOT(C22=0)</f>
        <v>1</v>
      </c>
      <c r="H22" s="11" t="s">
        <v>10</v>
      </c>
      <c r="I22" s="11">
        <f>C23</f>
        <v>544</v>
      </c>
      <c r="J22" s="11" t="s">
        <v>2</v>
      </c>
      <c r="M22" s="1"/>
      <c r="R22" s="18"/>
      <c r="Y22" s="18"/>
      <c r="AF22" s="18"/>
      <c r="AM22" s="18"/>
      <c r="AT22" s="18"/>
      <c r="BA22" s="18"/>
      <c r="BH22" s="18"/>
      <c r="BO22" s="18"/>
      <c r="BV22" s="18"/>
      <c r="CC22" s="18"/>
    </row>
    <row r="23" spans="2:81" ht="15" customHeight="1">
      <c r="B23" s="11"/>
      <c r="C23" s="11">
        <f>IF(F22,C22,C13*(C17/C27))</f>
        <v>544</v>
      </c>
      <c r="D23" s="11" t="s">
        <v>2</v>
      </c>
      <c r="H23" s="11" t="s">
        <v>14</v>
      </c>
      <c r="I23" s="11">
        <f>C25</f>
        <v>35</v>
      </c>
      <c r="J23" s="16" t="s">
        <v>8</v>
      </c>
      <c r="M23" s="1"/>
      <c r="R23" s="18"/>
      <c r="Y23" s="18"/>
      <c r="AF23" s="18"/>
      <c r="AM23" s="18"/>
      <c r="AT23" s="18"/>
      <c r="BA23" s="18"/>
      <c r="BH23" s="18"/>
      <c r="BO23" s="18"/>
      <c r="BV23" s="18"/>
      <c r="CC23" s="18"/>
    </row>
    <row r="24" spans="2:81" ht="15" customHeight="1">
      <c r="B24" s="10" t="s">
        <v>14</v>
      </c>
      <c r="C24" s="10">
        <v>35</v>
      </c>
      <c r="D24" s="15" t="s">
        <v>8</v>
      </c>
      <c r="E24" s="10" t="s">
        <v>18</v>
      </c>
      <c r="F24" s="12" t="b">
        <f>NOT(C24=0)</f>
        <v>1</v>
      </c>
      <c r="H24" s="11" t="s">
        <v>12</v>
      </c>
      <c r="I24" s="11">
        <f>C27</f>
        <v>4.375</v>
      </c>
      <c r="J24" s="11" t="str">
        <f>IF($D$3="English","in", "mm")</f>
        <v>in</v>
      </c>
      <c r="K24" s="1"/>
      <c r="R24" s="18"/>
      <c r="Y24" s="18"/>
      <c r="AF24" s="18"/>
      <c r="AM24" s="18"/>
      <c r="AT24" s="18"/>
      <c r="BA24" s="18"/>
      <c r="BH24" s="18"/>
      <c r="BO24" s="18"/>
      <c r="BV24" s="18"/>
      <c r="CC24" s="18"/>
    </row>
    <row r="25" spans="2:81" ht="15" customHeight="1">
      <c r="B25" s="11"/>
      <c r="C25" s="11">
        <f>IF(F24,C24,IF($D$3="English",C29*C27,(C29^-1)*C27))</f>
        <v>35</v>
      </c>
      <c r="D25" s="16" t="s">
        <v>8</v>
      </c>
      <c r="H25" s="11" t="str">
        <f>IF($D$3="English","Diametrial Pitch, P (N/d)", "Module, m (d/N)")</f>
        <v>Diametrial Pitch, P (N/d)</v>
      </c>
      <c r="I25" s="11">
        <f>C29</f>
        <v>8</v>
      </c>
      <c r="J25" s="11" t="str">
        <f>IF($D$3="English","teeth/in", "mm/tooth")</f>
        <v>teeth/in</v>
      </c>
      <c r="K25" s="1"/>
      <c r="R25" s="18"/>
      <c r="Y25" s="18"/>
      <c r="AF25" s="18"/>
      <c r="AM25" s="18"/>
      <c r="AT25" s="18"/>
      <c r="BA25" s="18"/>
      <c r="BH25" s="18"/>
      <c r="BO25" s="18"/>
      <c r="BV25" s="18"/>
      <c r="CC25" s="18"/>
    </row>
    <row r="26" spans="2:81" ht="15" customHeight="1">
      <c r="B26" s="10" t="s">
        <v>12</v>
      </c>
      <c r="C26" s="10"/>
      <c r="D26" s="10" t="str">
        <f>IF($D$3="English","in", "mm")</f>
        <v>in</v>
      </c>
      <c r="E26" s="14" t="s">
        <v>7</v>
      </c>
      <c r="F26" s="13" t="b">
        <v>0</v>
      </c>
      <c r="H26" s="11" t="s">
        <v>36</v>
      </c>
      <c r="I26" s="40">
        <f>IF($D$3="English",PI()/I25, PI()*I25)</f>
        <v>0.39269908169872414</v>
      </c>
      <c r="J26" s="11" t="str">
        <f>IF($D$3="English","in", "mm")</f>
        <v>in</v>
      </c>
      <c r="K26" s="1"/>
      <c r="R26" s="18"/>
      <c r="Y26" s="18"/>
      <c r="AF26" s="18"/>
      <c r="AM26" s="18"/>
      <c r="AT26" s="18"/>
      <c r="BA26" s="18"/>
      <c r="BH26" s="18"/>
      <c r="BO26" s="18"/>
      <c r="BV26" s="18"/>
      <c r="CC26" s="18"/>
    </row>
    <row r="27" spans="2:81" ht="15" customHeight="1">
      <c r="B27" s="11"/>
      <c r="C27" s="11">
        <f>IF(F26,C26,IF(F24,IF($D$3="English",(C29^-1)*C24, C29*C24),C17*(C13/C23)))</f>
        <v>4.375</v>
      </c>
      <c r="D27" s="11" t="str">
        <f>IF($D$3="English","in", "mm")</f>
        <v>in</v>
      </c>
      <c r="K27" s="1"/>
      <c r="R27" s="18"/>
      <c r="Y27" s="18"/>
      <c r="AF27" s="18"/>
      <c r="AM27" s="18"/>
      <c r="AT27" s="18"/>
      <c r="BA27" s="18"/>
      <c r="BH27" s="18"/>
      <c r="BO27" s="18"/>
      <c r="BV27" s="18"/>
      <c r="CC27" s="18"/>
    </row>
    <row r="28" spans="2:81" ht="15" customHeight="1">
      <c r="B28" s="10" t="str">
        <f>IF($D$3="English","Diametrial Pitch, P (N/d)", "Module, m (d/N)")</f>
        <v>Diametrial Pitch, P (N/d)</v>
      </c>
      <c r="C28" s="10"/>
      <c r="D28" s="10" t="str">
        <f>IF($D$3="English","teeth/in", "mm/tooth")</f>
        <v>teeth/in</v>
      </c>
      <c r="E28" s="14" t="str">
        <f>IF($D$3="English","P known", "m known")</f>
        <v>P known</v>
      </c>
      <c r="F28" s="12" t="b">
        <f>NOT(F26)</f>
        <v>1</v>
      </c>
      <c r="K28" s="1"/>
      <c r="R28" s="18"/>
      <c r="Y28" s="18"/>
      <c r="AF28" s="18"/>
      <c r="AM28" s="18"/>
      <c r="AT28" s="18"/>
      <c r="BA28" s="18"/>
      <c r="BH28" s="18"/>
      <c r="BO28" s="18"/>
      <c r="BV28" s="18"/>
      <c r="CC28" s="18"/>
    </row>
    <row r="29" spans="2:81" ht="15" customHeight="1">
      <c r="B29" s="11"/>
      <c r="C29" s="11">
        <f>IF(F28,IF(F29,IF(F19,"Pitch Wrong",C19),C28),IF($D$3="English",C24/C27, C27/C24))</f>
        <v>8</v>
      </c>
      <c r="D29" s="11" t="str">
        <f>IF($D$3="English","teeth/in", "mm/tooth")</f>
        <v>teeth/in</v>
      </c>
      <c r="E29" s="14" t="s">
        <v>16</v>
      </c>
      <c r="F29" s="19" t="b">
        <v>1</v>
      </c>
      <c r="G29" s="17" t="s">
        <v>20</v>
      </c>
      <c r="H29" s="17"/>
      <c r="K29" s="1"/>
      <c r="R29" s="18"/>
      <c r="Y29" s="18"/>
      <c r="AF29" s="18"/>
      <c r="AM29" s="18"/>
      <c r="AT29" s="18"/>
      <c r="BA29" s="18"/>
      <c r="BH29" s="18"/>
      <c r="BO29" s="18"/>
      <c r="BV29" s="18"/>
      <c r="CC29" s="18"/>
    </row>
    <row r="30" spans="2:81" ht="15" customHeight="1">
      <c r="K30" s="1"/>
      <c r="R30" s="18"/>
      <c r="Y30" s="18"/>
      <c r="AF30" s="18"/>
      <c r="AM30" s="18"/>
      <c r="AT30" s="18"/>
      <c r="BA30" s="18"/>
      <c r="BH30" s="18"/>
      <c r="BO30" s="18"/>
      <c r="BV30" s="18"/>
      <c r="CC30" s="18"/>
    </row>
    <row r="31" spans="2:81" ht="15" customHeight="1">
      <c r="K31" s="1"/>
      <c r="R31" s="18"/>
      <c r="Y31" s="18"/>
      <c r="AF31" s="18"/>
      <c r="AM31" s="18"/>
      <c r="AT31" s="18"/>
      <c r="BA31" s="18"/>
      <c r="BH31" s="18"/>
      <c r="BO31" s="18"/>
      <c r="BV31" s="18"/>
      <c r="CC31" s="18"/>
    </row>
    <row r="32" spans="2:81" ht="15" customHeight="1">
      <c r="K32" s="1"/>
      <c r="R32" s="18"/>
      <c r="Y32" s="18"/>
      <c r="AF32" s="18"/>
      <c r="AM32" s="18"/>
      <c r="AT32" s="18"/>
      <c r="BA32" s="18"/>
      <c r="BH32" s="18"/>
      <c r="BO32" s="18"/>
      <c r="BV32" s="18"/>
      <c r="CC32" s="18"/>
    </row>
    <row r="33" spans="11:81" ht="15" customHeight="1">
      <c r="K33" s="1"/>
      <c r="R33" s="18"/>
      <c r="Y33" s="18"/>
      <c r="AF33" s="18"/>
      <c r="AM33" s="18"/>
      <c r="AT33" s="18"/>
      <c r="BA33" s="18"/>
      <c r="BH33" s="18"/>
      <c r="BO33" s="18"/>
      <c r="BV33" s="18"/>
      <c r="CC33" s="18"/>
    </row>
    <row r="34" spans="11:81" ht="15" customHeight="1">
      <c r="K34" s="1"/>
      <c r="R34" s="18"/>
      <c r="Y34" s="18"/>
      <c r="AF34" s="18"/>
      <c r="AM34" s="18"/>
      <c r="AT34" s="18"/>
      <c r="BA34" s="18"/>
      <c r="BH34" s="18"/>
      <c r="BO34" s="18"/>
      <c r="BV34" s="18"/>
      <c r="CC34" s="18"/>
    </row>
    <row r="35" spans="11:81" ht="15" customHeight="1">
      <c r="K35" s="1"/>
      <c r="R35" s="18"/>
      <c r="Y35" s="18"/>
      <c r="AF35" s="18"/>
      <c r="AM35" s="18"/>
      <c r="AT35" s="18"/>
      <c r="BA35" s="18"/>
      <c r="BH35" s="18"/>
      <c r="BO35" s="18"/>
      <c r="BV35" s="18"/>
      <c r="CC35" s="18"/>
    </row>
    <row r="36" spans="11:81" ht="15" customHeight="1">
      <c r="K36" s="1"/>
      <c r="R36" s="18"/>
      <c r="Y36" s="18"/>
      <c r="AF36" s="18"/>
      <c r="AM36" s="18"/>
      <c r="AT36" s="18"/>
      <c r="BA36" s="18"/>
      <c r="BH36" s="18"/>
      <c r="BO36" s="18"/>
      <c r="BV36" s="18"/>
      <c r="CC36" s="18"/>
    </row>
    <row r="37" spans="11:81" ht="15" customHeight="1">
      <c r="K37" s="1"/>
      <c r="R37" s="18"/>
      <c r="Y37" s="18"/>
      <c r="AF37" s="18"/>
      <c r="AM37" s="18"/>
      <c r="AT37" s="18"/>
      <c r="BA37" s="18"/>
      <c r="BH37" s="18"/>
      <c r="BO37" s="18"/>
      <c r="BV37" s="18"/>
      <c r="CC37" s="18"/>
    </row>
    <row r="38" spans="11:81" ht="15" customHeight="1">
      <c r="K38" s="1"/>
      <c r="R38" s="18"/>
      <c r="Y38" s="18"/>
      <c r="AF38" s="18"/>
      <c r="AM38" s="18"/>
      <c r="AT38" s="18"/>
      <c r="BA38" s="18"/>
      <c r="BH38" s="18"/>
      <c r="BO38" s="18"/>
      <c r="BV38" s="18"/>
      <c r="CC38" s="18"/>
    </row>
    <row r="39" spans="11:81" ht="15" customHeight="1">
      <c r="K39" s="1"/>
      <c r="R39" s="18"/>
      <c r="Y39" s="18"/>
      <c r="AF39" s="18"/>
      <c r="AM39" s="18"/>
      <c r="AT39" s="18"/>
      <c r="BA39" s="18"/>
      <c r="BH39" s="18"/>
      <c r="BO39" s="18"/>
      <c r="BV39" s="18"/>
      <c r="CC39" s="18"/>
    </row>
    <row r="40" spans="11:81" ht="15" customHeight="1">
      <c r="K40" s="1"/>
      <c r="R40" s="18"/>
      <c r="Y40" s="18"/>
      <c r="AF40" s="18"/>
      <c r="AM40" s="18"/>
      <c r="AT40" s="18"/>
      <c r="BA40" s="18"/>
      <c r="BH40" s="18"/>
      <c r="BO40" s="18"/>
      <c r="BV40" s="18"/>
      <c r="CC40" s="18"/>
    </row>
    <row r="41" spans="11:81" ht="15" customHeight="1">
      <c r="K41" s="1"/>
      <c r="R41" s="18"/>
      <c r="Y41" s="18"/>
      <c r="AF41" s="18"/>
      <c r="AM41" s="18"/>
      <c r="AT41" s="18"/>
      <c r="BA41" s="18"/>
      <c r="BH41" s="18"/>
      <c r="BO41" s="18"/>
      <c r="BV41" s="18"/>
      <c r="CC41" s="18"/>
    </row>
    <row r="42" spans="11:81" ht="15" customHeight="1">
      <c r="R42" s="18"/>
      <c r="Y42" s="18"/>
      <c r="AF42" s="18"/>
      <c r="AM42" s="18"/>
      <c r="AT42" s="18"/>
      <c r="BA42" s="18"/>
      <c r="BH42" s="18"/>
      <c r="BO42" s="18"/>
      <c r="BV42" s="18"/>
      <c r="CC42" s="18"/>
    </row>
    <row r="43" spans="11:81" ht="15" customHeight="1">
      <c r="R43" s="18"/>
      <c r="Y43" s="18"/>
      <c r="AF43" s="18"/>
      <c r="AM43" s="18"/>
      <c r="AT43" s="18"/>
      <c r="BA43" s="18"/>
      <c r="BH43" s="18"/>
      <c r="BO43" s="18"/>
      <c r="BV43" s="18"/>
      <c r="CC43" s="18"/>
    </row>
    <row r="44" spans="11:81" ht="15" customHeight="1">
      <c r="R44" s="18"/>
      <c r="Y44" s="18"/>
      <c r="AF44" s="18"/>
      <c r="AM44" s="18"/>
      <c r="AT44" s="18"/>
      <c r="BA44" s="18"/>
      <c r="BH44" s="18"/>
      <c r="BO44" s="18"/>
      <c r="BV44" s="18"/>
      <c r="CC44" s="18"/>
    </row>
    <row r="45" spans="11:81" ht="15" customHeight="1">
      <c r="R45" s="18"/>
      <c r="Y45" s="18"/>
      <c r="AF45" s="18"/>
      <c r="AM45" s="18"/>
      <c r="AT45" s="18"/>
      <c r="BA45" s="18"/>
      <c r="BH45" s="18"/>
      <c r="BO45" s="18"/>
      <c r="BV45" s="18"/>
      <c r="CC45" s="18"/>
    </row>
    <row r="46" spans="11:81" ht="15" customHeight="1">
      <c r="R46" s="18"/>
      <c r="Y46" s="18"/>
      <c r="AF46" s="18"/>
      <c r="AM46" s="18"/>
      <c r="AT46" s="18"/>
      <c r="BA46" s="18"/>
      <c r="BH46" s="18"/>
      <c r="BO46" s="18"/>
      <c r="BV46" s="18"/>
      <c r="CC46" s="18"/>
    </row>
    <row r="47" spans="11:81" ht="15" customHeight="1">
      <c r="R47" s="18"/>
      <c r="Y47" s="18"/>
      <c r="AF47" s="18"/>
      <c r="AM47" s="18"/>
      <c r="AT47" s="18"/>
      <c r="BA47" s="18"/>
      <c r="BH47" s="18"/>
      <c r="BO47" s="18"/>
      <c r="BV47" s="18"/>
      <c r="CC47" s="18"/>
    </row>
    <row r="48" spans="11:81" ht="15" customHeight="1">
      <c r="R48" s="18"/>
      <c r="Y48" s="18"/>
      <c r="AF48" s="18"/>
      <c r="AM48" s="18"/>
      <c r="AT48" s="18"/>
      <c r="BA48" s="18"/>
      <c r="BH48" s="18"/>
      <c r="BO48" s="18"/>
      <c r="BV48" s="18"/>
      <c r="CC48" s="18"/>
    </row>
    <row r="49" spans="18:81" ht="15" customHeight="1">
      <c r="R49" s="18"/>
      <c r="Y49" s="18"/>
      <c r="AF49" s="18"/>
      <c r="AM49" s="18"/>
      <c r="AT49" s="18"/>
      <c r="BA49" s="18"/>
      <c r="BH49" s="18"/>
      <c r="BO49" s="18"/>
      <c r="BV49" s="18"/>
      <c r="CC49" s="18"/>
    </row>
    <row r="50" spans="18:81" ht="15" customHeight="1">
      <c r="R50" s="18"/>
      <c r="Y50" s="18"/>
      <c r="AF50" s="18"/>
      <c r="AM50" s="18"/>
      <c r="AT50" s="18"/>
      <c r="BA50" s="18"/>
      <c r="BH50" s="18"/>
      <c r="BO50" s="18"/>
      <c r="BV50" s="18"/>
      <c r="CC50" s="18"/>
    </row>
    <row r="51" spans="18:81" ht="15" customHeight="1">
      <c r="R51" s="18"/>
      <c r="Y51" s="18"/>
      <c r="AF51" s="18"/>
      <c r="AM51" s="18"/>
      <c r="AT51" s="18"/>
      <c r="BA51" s="18"/>
      <c r="BH51" s="18"/>
      <c r="BO51" s="18"/>
      <c r="BV51" s="18"/>
      <c r="CC51" s="18"/>
    </row>
    <row r="52" spans="18:81" ht="15" customHeight="1">
      <c r="R52" s="18"/>
      <c r="Y52" s="18"/>
      <c r="AF52" s="18"/>
      <c r="AM52" s="18"/>
      <c r="AT52" s="18"/>
      <c r="BA52" s="18"/>
      <c r="BH52" s="18"/>
      <c r="BO52" s="18"/>
      <c r="BV52" s="18"/>
      <c r="CC52" s="18"/>
    </row>
    <row r="53" spans="18:81" ht="15" customHeight="1">
      <c r="R53" s="18"/>
      <c r="Y53" s="18"/>
      <c r="AF53" s="18"/>
      <c r="AM53" s="18"/>
      <c r="AT53" s="18"/>
      <c r="BA53" s="18"/>
      <c r="BH53" s="18"/>
      <c r="BO53" s="18"/>
      <c r="BV53" s="18"/>
      <c r="CC53" s="18"/>
    </row>
    <row r="54" spans="18:81" ht="15" customHeight="1">
      <c r="R54" s="18"/>
      <c r="Y54" s="18"/>
      <c r="AF54" s="18"/>
      <c r="AM54" s="18"/>
      <c r="AT54" s="18"/>
      <c r="BA54" s="18"/>
      <c r="BH54" s="18"/>
      <c r="BO54" s="18"/>
      <c r="BV54" s="18"/>
      <c r="CC54" s="18"/>
    </row>
    <row r="55" spans="18:81" ht="15" customHeight="1">
      <c r="R55" s="18"/>
      <c r="Y55" s="18"/>
      <c r="AF55" s="18"/>
      <c r="AM55" s="18"/>
      <c r="AT55" s="18"/>
      <c r="BA55" s="18"/>
      <c r="BH55" s="18"/>
      <c r="BO55" s="18"/>
      <c r="BV55" s="18"/>
      <c r="CC55" s="18"/>
    </row>
    <row r="56" spans="18:81" ht="15" customHeight="1">
      <c r="R56" s="18"/>
      <c r="Y56" s="18"/>
      <c r="AF56" s="18"/>
      <c r="AM56" s="18"/>
      <c r="AT56" s="18"/>
      <c r="BA56" s="18"/>
      <c r="BH56" s="18"/>
      <c r="BO56" s="18"/>
      <c r="BV56" s="18"/>
      <c r="CC56" s="18"/>
    </row>
    <row r="57" spans="18:81" ht="15" customHeight="1">
      <c r="R57" s="18"/>
      <c r="Y57" s="18"/>
      <c r="AF57" s="18"/>
      <c r="AM57" s="18"/>
      <c r="AT57" s="18"/>
      <c r="BA57" s="18"/>
      <c r="BH57" s="18"/>
      <c r="BO57" s="18"/>
      <c r="BV57" s="18"/>
      <c r="CC57" s="18"/>
    </row>
    <row r="58" spans="18:81" ht="15" customHeight="1">
      <c r="R58" s="18"/>
      <c r="Y58" s="18"/>
      <c r="AF58" s="18"/>
      <c r="AM58" s="18"/>
      <c r="AT58" s="18"/>
      <c r="BA58" s="18"/>
      <c r="BH58" s="18"/>
      <c r="BO58" s="18"/>
      <c r="BV58" s="18"/>
      <c r="CC58" s="18"/>
    </row>
    <row r="59" spans="18:81" ht="15" customHeight="1">
      <c r="R59" s="18"/>
      <c r="Y59" s="18"/>
      <c r="AF59" s="18"/>
      <c r="AM59" s="18"/>
      <c r="AT59" s="18"/>
      <c r="BA59" s="18"/>
      <c r="BH59" s="18"/>
      <c r="BO59" s="18"/>
      <c r="BV59" s="18"/>
      <c r="CC59" s="18"/>
    </row>
    <row r="60" spans="18:81" ht="15" customHeight="1">
      <c r="R60" s="18"/>
      <c r="Y60" s="18"/>
      <c r="AF60" s="18"/>
      <c r="AM60" s="18"/>
      <c r="AT60" s="18"/>
      <c r="BA60" s="18"/>
      <c r="BH60" s="18"/>
      <c r="BO60" s="18"/>
      <c r="BV60" s="18"/>
      <c r="CC60" s="18"/>
    </row>
    <row r="61" spans="18:81" ht="15" customHeight="1">
      <c r="R61" s="18"/>
      <c r="Y61" s="18"/>
      <c r="AF61" s="18"/>
      <c r="AM61" s="18"/>
      <c r="AT61" s="18"/>
      <c r="BA61" s="18"/>
      <c r="BH61" s="18"/>
      <c r="BO61" s="18"/>
      <c r="BV61" s="18"/>
      <c r="CC61" s="18"/>
    </row>
    <row r="62" spans="18:81" ht="15" customHeight="1">
      <c r="R62" s="18"/>
      <c r="Y62" s="18"/>
      <c r="AF62" s="18"/>
      <c r="AM62" s="18"/>
      <c r="AT62" s="18"/>
      <c r="BA62" s="18"/>
      <c r="BH62" s="18"/>
      <c r="BO62" s="18"/>
      <c r="BV62" s="18"/>
      <c r="CC62" s="18"/>
    </row>
    <row r="63" spans="18:81" ht="15" customHeight="1">
      <c r="R63" s="18"/>
      <c r="Y63" s="18"/>
      <c r="AF63" s="18"/>
      <c r="AM63" s="18"/>
      <c r="AT63" s="18"/>
      <c r="BA63" s="18"/>
      <c r="BH63" s="18"/>
      <c r="BO63" s="18"/>
      <c r="BV63" s="18"/>
      <c r="CC63" s="18"/>
    </row>
    <row r="64" spans="18:81" ht="15" customHeight="1">
      <c r="R64" s="18"/>
      <c r="Y64" s="18"/>
      <c r="AF64" s="18"/>
      <c r="AM64" s="18"/>
      <c r="AT64" s="18"/>
      <c r="BA64" s="18"/>
      <c r="BH64" s="18"/>
      <c r="BO64" s="18"/>
      <c r="BV64" s="18"/>
      <c r="CC64" s="18"/>
    </row>
    <row r="73" spans="10:10" ht="15" customHeight="1">
      <c r="J73"/>
    </row>
    <row r="202" spans="2:2" ht="15" customHeight="1">
      <c r="B202"/>
    </row>
  </sheetData>
  <conditionalFormatting sqref="B16:D16">
    <cfRule type="expression" dxfId="19" priority="8">
      <formula>$F$18</formula>
    </cfRule>
  </conditionalFormatting>
  <conditionalFormatting sqref="B18:D18">
    <cfRule type="expression" dxfId="18" priority="1">
      <formula>$F$19</formula>
    </cfRule>
    <cfRule type="expression" dxfId="17" priority="2">
      <formula>$F$16</formula>
    </cfRule>
  </conditionalFormatting>
  <conditionalFormatting sqref="B26:D26">
    <cfRule type="expression" dxfId="16" priority="6">
      <formula>$F$28</formula>
    </cfRule>
  </conditionalFormatting>
  <conditionalFormatting sqref="B28:D28">
    <cfRule type="expression" dxfId="15" priority="4">
      <formula>$F$26</formula>
    </cfRule>
    <cfRule type="expression" dxfId="14" priority="5">
      <formula>$F$29</formula>
    </cfRule>
  </conditionalFormatting>
  <conditionalFormatting sqref="F19">
    <cfRule type="expression" dxfId="13" priority="11" stopIfTrue="1">
      <formula>$F$29</formula>
    </cfRule>
    <cfRule type="expression" dxfId="12" priority="12" stopIfTrue="1">
      <formula>$F$16</formula>
    </cfRule>
  </conditionalFormatting>
  <conditionalFormatting sqref="F29">
    <cfRule type="expression" dxfId="11" priority="9" stopIfTrue="1">
      <formula>$F$19</formula>
    </cfRule>
    <cfRule type="expression" dxfId="10" priority="10">
      <formula>$F$26</formula>
    </cfRule>
  </conditionalFormatting>
  <dataValidations disablePrompts="1" count="2">
    <dataValidation type="list" allowBlank="1" showInputMessage="1" showErrorMessage="1" sqref="C5" xr:uid="{AE25778C-BE49-4D14-833B-024BA6E17B6E}">
      <formula1>"Full depth, Stub"</formula1>
    </dataValidation>
    <dataValidation type="list" allowBlank="1" showInputMessage="1" showErrorMessage="1" sqref="D3" xr:uid="{8BBCE85A-2A95-46F1-9C1A-2933380836A1}">
      <formula1>"English, Metric"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1B83-3A8D-4555-89BC-7785DB3A7CF1}">
  <sheetPr>
    <tabColor rgb="FF00B050"/>
  </sheetPr>
  <dimension ref="B1:CC202"/>
  <sheetViews>
    <sheetView zoomScaleNormal="100" workbookViewId="0">
      <selection activeCell="V31" sqref="V31"/>
    </sheetView>
  </sheetViews>
  <sheetFormatPr defaultRowHeight="15" customHeight="1"/>
  <cols>
    <col min="2" max="2" width="30.5703125" style="1" customWidth="1"/>
    <col min="3" max="3" width="13" style="1" customWidth="1"/>
    <col min="4" max="4" width="10.140625" style="1" customWidth="1"/>
    <col min="5" max="5" width="9.7109375" bestFit="1" customWidth="1"/>
    <col min="7" max="7" width="13.28515625" customWidth="1"/>
    <col min="8" max="8" width="23.28515625" style="1" bestFit="1" customWidth="1"/>
    <col min="9" max="9" width="13" style="1" customWidth="1"/>
    <col min="10" max="10" width="10.140625" style="1" customWidth="1"/>
    <col min="13" max="13" width="13.42578125" bestFit="1" customWidth="1"/>
    <col min="14" max="14" width="23.28515625" bestFit="1" customWidth="1"/>
    <col min="15" max="15" width="15.5703125" bestFit="1" customWidth="1"/>
    <col min="16" max="16" width="16" bestFit="1" customWidth="1"/>
    <col min="17" max="17" width="14.5703125" bestFit="1" customWidth="1"/>
  </cols>
  <sheetData>
    <row r="1" spans="2:81" ht="15" customHeight="1" thickBot="1">
      <c r="R1" s="18"/>
      <c r="Y1" s="18"/>
      <c r="AF1" s="18"/>
      <c r="AM1" s="18"/>
      <c r="AT1" s="18"/>
      <c r="BA1" s="18"/>
      <c r="BH1" s="18"/>
      <c r="BO1" s="18"/>
      <c r="BV1" s="18"/>
      <c r="CC1" s="18"/>
    </row>
    <row r="2" spans="2:81" ht="15" customHeight="1">
      <c r="C2"/>
      <c r="D2"/>
      <c r="H2"/>
      <c r="I2"/>
      <c r="J2"/>
      <c r="M2" s="29" t="s">
        <v>28</v>
      </c>
      <c r="N2" s="30"/>
      <c r="O2" s="30"/>
      <c r="P2" s="31"/>
      <c r="R2" s="18"/>
      <c r="Y2" s="18"/>
      <c r="AF2" s="18"/>
      <c r="AM2" s="18"/>
      <c r="AT2" s="18"/>
      <c r="BA2" s="18"/>
      <c r="BH2" s="18"/>
      <c r="BO2" s="18"/>
      <c r="BV2" s="18"/>
      <c r="CC2" s="18"/>
    </row>
    <row r="3" spans="2:81" ht="15" customHeight="1">
      <c r="B3" s="2" t="s">
        <v>0</v>
      </c>
      <c r="C3" s="3" t="s">
        <v>1</v>
      </c>
      <c r="D3" s="4" t="s">
        <v>29</v>
      </c>
      <c r="E3" s="14"/>
      <c r="F3" s="14"/>
      <c r="H3" s="5" t="s">
        <v>6</v>
      </c>
      <c r="I3" s="5"/>
      <c r="J3" s="5"/>
      <c r="M3" s="22" t="s">
        <v>21</v>
      </c>
      <c r="N3" s="23" t="s">
        <v>22</v>
      </c>
      <c r="O3" s="23" t="str">
        <f>IF($D$3="English","Addendum (a)/P", "Addendum (a)*m")</f>
        <v>Addendum (a)*m</v>
      </c>
      <c r="P3" s="24" t="str">
        <f>IF($D$3="English","Dedendum (b)/P", "Dedendum (b)*m")</f>
        <v>Dedendum (b)*m</v>
      </c>
      <c r="Q3" t="s">
        <v>37</v>
      </c>
      <c r="R3" s="18"/>
      <c r="Y3" s="18"/>
      <c r="AF3" s="18"/>
      <c r="AM3" s="18"/>
      <c r="AT3" s="18"/>
      <c r="BA3" s="18"/>
      <c r="BH3" s="18"/>
      <c r="BO3" s="18"/>
      <c r="BV3" s="18"/>
      <c r="CC3" s="18"/>
    </row>
    <row r="4" spans="2:81" ht="15" customHeight="1">
      <c r="M4" s="25" t="s">
        <v>23</v>
      </c>
      <c r="N4" s="26">
        <v>20</v>
      </c>
      <c r="O4" s="26">
        <v>1</v>
      </c>
      <c r="P4" s="32">
        <v>1.25</v>
      </c>
      <c r="Q4" t="s">
        <v>24</v>
      </c>
      <c r="R4" s="18"/>
      <c r="Y4" s="18"/>
      <c r="AF4" s="18"/>
      <c r="AM4" s="18"/>
      <c r="AT4" s="18"/>
      <c r="BA4" s="18"/>
      <c r="BH4" s="18"/>
      <c r="BO4" s="18"/>
      <c r="BV4" s="18"/>
      <c r="CC4" s="18"/>
    </row>
    <row r="5" spans="2:81" ht="15" customHeight="1">
      <c r="B5" s="10" t="s">
        <v>21</v>
      </c>
      <c r="C5" s="10" t="s">
        <v>23</v>
      </c>
      <c r="D5" s="10"/>
      <c r="H5" s="11" t="s">
        <v>33</v>
      </c>
      <c r="I5" s="41">
        <f>C13/C23</f>
        <v>4</v>
      </c>
      <c r="J5" s="16" t="s">
        <v>34</v>
      </c>
      <c r="M5" s="25" t="s">
        <v>23</v>
      </c>
      <c r="N5" s="26">
        <v>22.5</v>
      </c>
      <c r="O5" s="26">
        <v>1</v>
      </c>
      <c r="P5" s="32">
        <v>1.25</v>
      </c>
      <c r="Q5" t="s">
        <v>24</v>
      </c>
      <c r="R5" s="18"/>
      <c r="Y5" s="18"/>
      <c r="AF5" s="18"/>
      <c r="AM5" s="18"/>
      <c r="AT5" s="18"/>
      <c r="BA5" s="18"/>
      <c r="BH5" s="18"/>
      <c r="BO5" s="18"/>
      <c r="BV5" s="18"/>
      <c r="CC5" s="18"/>
    </row>
    <row r="6" spans="2:81" ht="15" customHeight="1">
      <c r="B6" s="10" t="s">
        <v>26</v>
      </c>
      <c r="C6" s="10"/>
      <c r="D6" s="10" t="s">
        <v>27</v>
      </c>
      <c r="H6" s="11" t="s">
        <v>32</v>
      </c>
      <c r="I6" s="11">
        <f>I14/2 + I24/2</f>
        <v>112.5</v>
      </c>
      <c r="J6" s="11" t="str">
        <f>IF($D$3="English","in", "mm")</f>
        <v>mm</v>
      </c>
      <c r="M6" s="25" t="s">
        <v>23</v>
      </c>
      <c r="N6" s="26">
        <v>25</v>
      </c>
      <c r="O6" s="26">
        <v>1</v>
      </c>
      <c r="P6" s="32">
        <v>1.25</v>
      </c>
      <c r="Q6" t="s">
        <v>24</v>
      </c>
      <c r="R6" s="18"/>
      <c r="Y6" s="18"/>
      <c r="AF6" s="18"/>
      <c r="AM6" s="18"/>
      <c r="AT6" s="18"/>
      <c r="BA6" s="18"/>
      <c r="BH6" s="18"/>
      <c r="BO6" s="18"/>
      <c r="BV6" s="18"/>
      <c r="CC6" s="18"/>
    </row>
    <row r="7" spans="2:81" ht="15" customHeight="1" thickBot="1">
      <c r="H7" s="11" t="s">
        <v>30</v>
      </c>
      <c r="I7" s="11" t="e">
        <f>IF($D$3="English",VLOOKUP($C$6,$N$11:$P$13,2,FALSE)/I15, VLOOKUP($C$6,$N$11:$P$13,2,FALSE)*I15)</f>
        <v>#N/A</v>
      </c>
      <c r="J7" s="11" t="str">
        <f>IF($D$3="English","in/tooth", "mm/tooth")</f>
        <v>mm/tooth</v>
      </c>
      <c r="M7" s="27" t="s">
        <v>25</v>
      </c>
      <c r="N7" s="28">
        <v>20</v>
      </c>
      <c r="O7" s="28">
        <v>0.8</v>
      </c>
      <c r="P7" s="33">
        <v>1</v>
      </c>
      <c r="R7" s="18"/>
      <c r="Y7" s="18"/>
      <c r="AF7" s="18"/>
      <c r="AM7" s="18"/>
      <c r="AT7" s="18"/>
      <c r="BA7" s="18"/>
      <c r="BH7" s="18"/>
      <c r="BO7" s="18"/>
      <c r="BV7" s="18"/>
      <c r="CC7" s="18"/>
    </row>
    <row r="8" spans="2:81" ht="15" customHeight="1">
      <c r="H8" s="11" t="s">
        <v>31</v>
      </c>
      <c r="I8" s="11" t="e">
        <f>IF($D$3="English",VLOOKUP($C$6,$N$11:$P$13,3,FALSE)/I15, VLOOKUP($C$6,$N$11:$P$13,3,FALSE)*I15)</f>
        <v>#N/A</v>
      </c>
      <c r="J8" s="11" t="str">
        <f>IF($D$3="English","in/tooth", "mm/tooth")</f>
        <v>mm/tooth</v>
      </c>
      <c r="Y8" s="18"/>
      <c r="AF8" s="18"/>
      <c r="AM8" s="18"/>
      <c r="AT8" s="18"/>
      <c r="BA8" s="18"/>
      <c r="BH8" s="18"/>
      <c r="BO8" s="18"/>
      <c r="BV8" s="18"/>
      <c r="CC8" s="18"/>
    </row>
    <row r="9" spans="2:81" ht="15" customHeight="1">
      <c r="H9" s="11" t="s">
        <v>35</v>
      </c>
      <c r="I9" s="11" t="e">
        <f>I8-I7</f>
        <v>#N/A</v>
      </c>
      <c r="J9" s="11" t="str">
        <f>IF($D$3="English","in", "mm")</f>
        <v>mm</v>
      </c>
      <c r="Y9" s="18"/>
      <c r="AF9" s="18"/>
      <c r="AM9" s="18"/>
      <c r="AT9" s="18"/>
      <c r="BA9" s="18"/>
      <c r="BH9" s="18"/>
      <c r="BO9" s="18"/>
      <c r="BV9" s="18"/>
      <c r="CC9" s="18"/>
    </row>
    <row r="10" spans="2:81" ht="15" customHeight="1" thickBot="1">
      <c r="Y10" s="18"/>
      <c r="AF10" s="18"/>
      <c r="AM10" s="18"/>
      <c r="AT10" s="18"/>
      <c r="BA10" s="18"/>
      <c r="BH10" s="18"/>
      <c r="BO10" s="18"/>
      <c r="BV10" s="18"/>
      <c r="CC10" s="18"/>
    </row>
    <row r="11" spans="2:81" ht="15" customHeight="1">
      <c r="B11" s="6" t="s">
        <v>9</v>
      </c>
      <c r="C11" s="7"/>
      <c r="D11" s="7"/>
      <c r="E11" s="7"/>
      <c r="F11" s="7"/>
      <c r="H11" s="8" t="s">
        <v>19</v>
      </c>
      <c r="I11" s="9"/>
      <c r="J11" s="9"/>
      <c r="M11" s="39" t="str" cm="1">
        <f t="array" ref="M11:P13">_xlfn._xlws.FILTER(M4:P7,M4:M7=C5,M8:P10=NA())</f>
        <v>Full depth</v>
      </c>
      <c r="N11" s="34">
        <v>20</v>
      </c>
      <c r="O11" s="34">
        <v>1</v>
      </c>
      <c r="P11" s="36">
        <v>1.25</v>
      </c>
      <c r="Y11" s="18"/>
      <c r="AF11" s="18"/>
      <c r="AM11" s="18"/>
      <c r="AT11" s="18"/>
      <c r="BA11" s="18"/>
      <c r="BH11" s="18"/>
      <c r="BO11" s="18"/>
      <c r="BV11" s="18"/>
      <c r="CC11" s="18"/>
    </row>
    <row r="12" spans="2:81" ht="15" customHeight="1">
      <c r="B12" s="10" t="s">
        <v>11</v>
      </c>
      <c r="C12" s="10">
        <v>1600</v>
      </c>
      <c r="D12" s="10" t="s">
        <v>2</v>
      </c>
      <c r="E12" s="10" t="s">
        <v>17</v>
      </c>
      <c r="F12" s="12" t="b">
        <f>NOT(C12=0)</f>
        <v>1</v>
      </c>
      <c r="H12" s="11" t="s">
        <v>11</v>
      </c>
      <c r="I12" s="11">
        <f>C13</f>
        <v>1600</v>
      </c>
      <c r="J12" s="11" t="s">
        <v>2</v>
      </c>
      <c r="M12" s="20" t="str">
        <v>Full depth</v>
      </c>
      <c r="N12" s="1">
        <v>22.5</v>
      </c>
      <c r="O12" s="1">
        <v>1</v>
      </c>
      <c r="P12" s="37">
        <v>1.25</v>
      </c>
      <c r="Y12" s="18"/>
      <c r="AF12" s="18"/>
      <c r="AM12" s="18"/>
      <c r="AT12" s="18"/>
      <c r="BA12" s="18"/>
      <c r="BH12" s="18"/>
      <c r="BO12" s="18"/>
      <c r="BV12" s="18"/>
      <c r="CC12" s="18"/>
    </row>
    <row r="13" spans="2:81" ht="15" customHeight="1" thickBot="1">
      <c r="B13" s="11"/>
      <c r="C13" s="11">
        <f>IF(F12,C12,C23*(C27/C17))</f>
        <v>1600</v>
      </c>
      <c r="D13" s="11" t="s">
        <v>2</v>
      </c>
      <c r="H13" s="11" t="s">
        <v>15</v>
      </c>
      <c r="I13" s="11">
        <f>C15</f>
        <v>15</v>
      </c>
      <c r="J13" s="16" t="s">
        <v>8</v>
      </c>
      <c r="M13" s="21" t="str">
        <v>Full depth</v>
      </c>
      <c r="N13" s="35">
        <v>25</v>
      </c>
      <c r="O13" s="35">
        <v>1</v>
      </c>
      <c r="P13" s="38">
        <v>1.25</v>
      </c>
      <c r="Y13" s="18"/>
      <c r="AF13" s="18"/>
      <c r="AM13" s="18"/>
      <c r="AT13" s="18"/>
      <c r="BA13" s="18"/>
      <c r="BH13" s="18"/>
      <c r="BO13" s="18"/>
      <c r="BV13" s="18"/>
      <c r="CC13" s="18"/>
    </row>
    <row r="14" spans="2:81" ht="15" customHeight="1">
      <c r="B14" s="10" t="s">
        <v>15</v>
      </c>
      <c r="C14" s="10">
        <v>15</v>
      </c>
      <c r="D14" s="15" t="s">
        <v>8</v>
      </c>
      <c r="E14" s="10" t="s">
        <v>18</v>
      </c>
      <c r="F14" s="12" t="b">
        <f>NOT(C14=0)</f>
        <v>1</v>
      </c>
      <c r="H14" s="11" t="s">
        <v>13</v>
      </c>
      <c r="I14" s="11">
        <f>C17</f>
        <v>45</v>
      </c>
      <c r="J14" s="11" t="str">
        <f>IF($D$3="English","in", "mm")</f>
        <v>mm</v>
      </c>
      <c r="M14" s="1"/>
      <c r="R14" s="18"/>
      <c r="Y14" s="18"/>
      <c r="AF14" s="18"/>
      <c r="AM14" s="18"/>
      <c r="AT14" s="18"/>
      <c r="BA14" s="18"/>
      <c r="BH14" s="18"/>
      <c r="BO14" s="18"/>
      <c r="BV14" s="18"/>
      <c r="CC14" s="18"/>
    </row>
    <row r="15" spans="2:81" ht="15" customHeight="1">
      <c r="B15" s="11"/>
      <c r="C15" s="11">
        <f>IF(F14,C14,IF($D$3="English",C19*C17,(C19^-1)*C17))</f>
        <v>15</v>
      </c>
      <c r="D15" s="16" t="s">
        <v>8</v>
      </c>
      <c r="H15" s="11" t="str">
        <f>IF($D$3="English","Diametrial Pitch, P (N/d)", "Module, m (d/N)")</f>
        <v>Module, m (d/N)</v>
      </c>
      <c r="I15" s="11">
        <f>C19</f>
        <v>3</v>
      </c>
      <c r="J15" s="16" t="str">
        <f>IF($D$3="English","teeth/in", "mm/tooth")</f>
        <v>mm/tooth</v>
      </c>
      <c r="M15" s="1"/>
      <c r="R15" s="18"/>
      <c r="Y15" s="18"/>
      <c r="AF15" s="18"/>
      <c r="AM15" s="18"/>
      <c r="AT15" s="18"/>
      <c r="BA15" s="18"/>
      <c r="BH15" s="18"/>
      <c r="BO15" s="18"/>
      <c r="BV15" s="18"/>
      <c r="CC15" s="18"/>
    </row>
    <row r="16" spans="2:81" ht="15" customHeight="1">
      <c r="B16" s="10" t="s">
        <v>13</v>
      </c>
      <c r="C16" s="10"/>
      <c r="D16" s="10" t="str">
        <f>IF($D$3="English","in", "mm")</f>
        <v>mm</v>
      </c>
      <c r="E16" s="14" t="s">
        <v>7</v>
      </c>
      <c r="F16" s="13" t="b">
        <v>0</v>
      </c>
      <c r="H16" s="11" t="s">
        <v>36</v>
      </c>
      <c r="I16" s="40">
        <f>IF($D$3="English",PI()/I15, PI()*I15)</f>
        <v>9.4247779607693793</v>
      </c>
      <c r="J16" s="11" t="str">
        <f>IF($D$3="English","in", "mm")</f>
        <v>mm</v>
      </c>
      <c r="M16" s="1"/>
      <c r="R16" s="18"/>
      <c r="Y16" s="18"/>
      <c r="AF16" s="18"/>
      <c r="AM16" s="18"/>
      <c r="AT16" s="18"/>
      <c r="BA16" s="18"/>
      <c r="BH16" s="18"/>
      <c r="BO16" s="18"/>
      <c r="BV16" s="18"/>
      <c r="CC16" s="18"/>
    </row>
    <row r="17" spans="2:81" ht="15" customHeight="1">
      <c r="B17" s="11"/>
      <c r="C17" s="11">
        <f>IF(F16,C16,IF(F14,IF($D$3="English",(C19^-1)*C14, C19*C14),C27*(C23/C13)))</f>
        <v>45</v>
      </c>
      <c r="D17" s="11" t="str">
        <f>IF($D$3="English","in", "mm")</f>
        <v>mm</v>
      </c>
      <c r="M17" s="1"/>
      <c r="R17" s="18"/>
      <c r="Y17" s="18"/>
      <c r="AF17" s="18"/>
      <c r="AM17" s="18"/>
      <c r="AT17" s="18"/>
      <c r="BA17" s="18"/>
      <c r="BH17" s="18"/>
      <c r="BO17" s="18"/>
      <c r="BV17" s="18"/>
      <c r="CC17" s="18"/>
    </row>
    <row r="18" spans="2:81" ht="15" customHeight="1">
      <c r="B18" s="10" t="str">
        <f>IF($D$3="English","Diametrial Pitch, P (N/d)", "Module, m (d/N)")</f>
        <v>Module, m (d/N)</v>
      </c>
      <c r="C18" s="10">
        <v>3</v>
      </c>
      <c r="D18" s="15" t="str">
        <f>IF($D$3="English","teeth/in", "mm/tooth")</f>
        <v>mm/tooth</v>
      </c>
      <c r="E18" s="14" t="str">
        <f>IF($D$3="English","P known", "m known")</f>
        <v>m known</v>
      </c>
      <c r="F18" s="12" t="b">
        <f>NOT(F16)</f>
        <v>1</v>
      </c>
      <c r="M18" s="1"/>
      <c r="R18" s="18"/>
      <c r="Y18" s="18"/>
      <c r="AF18" s="18"/>
      <c r="AM18" s="18"/>
      <c r="AT18" s="18"/>
      <c r="BA18" s="18"/>
      <c r="BH18" s="18"/>
      <c r="BO18" s="18"/>
      <c r="BV18" s="18"/>
      <c r="CC18" s="18"/>
    </row>
    <row r="19" spans="2:81" ht="15" customHeight="1">
      <c r="B19" s="11"/>
      <c r="C19" s="11">
        <f>IF(F18,IF(F19,IF(F29,"Pitch Wrong",C29),C18),IF($D$3="English",C14/C17, C17/C14))</f>
        <v>3</v>
      </c>
      <c r="D19" s="16" t="str">
        <f>IF($D$3="English","teeth/in", "mm/tooth")</f>
        <v>mm/tooth</v>
      </c>
      <c r="E19" s="14" t="s">
        <v>16</v>
      </c>
      <c r="F19" s="19" t="b">
        <v>0</v>
      </c>
      <c r="G19" s="17" t="s">
        <v>20</v>
      </c>
      <c r="H19" s="17"/>
      <c r="M19" s="1"/>
      <c r="R19" s="18"/>
      <c r="Y19" s="18"/>
      <c r="AF19" s="18"/>
      <c r="AM19" s="18"/>
      <c r="AT19" s="18"/>
      <c r="BA19" s="18"/>
      <c r="BH19" s="18"/>
      <c r="BO19" s="18"/>
      <c r="BV19" s="18"/>
      <c r="CC19" s="18"/>
    </row>
    <row r="20" spans="2:81" ht="15" customHeight="1">
      <c r="M20" s="1"/>
      <c r="R20" s="18"/>
      <c r="Y20" s="18"/>
      <c r="AF20" s="18"/>
      <c r="AM20" s="18"/>
      <c r="AT20" s="18"/>
      <c r="BA20" s="18"/>
      <c r="BH20" s="18"/>
      <c r="BO20" s="18"/>
      <c r="BV20" s="18"/>
      <c r="CC20" s="18"/>
    </row>
    <row r="21" spans="2:81" ht="15" customHeight="1">
      <c r="B21" s="6" t="s">
        <v>4</v>
      </c>
      <c r="C21" s="7"/>
      <c r="D21" s="7"/>
      <c r="E21" s="7"/>
      <c r="F21" s="7"/>
      <c r="H21" s="8" t="s">
        <v>5</v>
      </c>
      <c r="I21" s="9"/>
      <c r="J21" s="9"/>
      <c r="M21" s="1"/>
      <c r="R21" s="18"/>
      <c r="Y21" s="18"/>
      <c r="AF21" s="18"/>
      <c r="AM21" s="18"/>
      <c r="AT21" s="18"/>
      <c r="BA21" s="18"/>
      <c r="BH21" s="18"/>
      <c r="BO21" s="18"/>
      <c r="BV21" s="18"/>
      <c r="CC21" s="18"/>
    </row>
    <row r="22" spans="2:81" ht="15" customHeight="1">
      <c r="B22" s="10" t="s">
        <v>10</v>
      </c>
      <c r="C22" s="10"/>
      <c r="D22" s="10" t="s">
        <v>2</v>
      </c>
      <c r="E22" s="10" t="s">
        <v>17</v>
      </c>
      <c r="F22" s="12" t="b">
        <f>NOT(C22=0)</f>
        <v>0</v>
      </c>
      <c r="H22" s="11" t="s">
        <v>10</v>
      </c>
      <c r="I22" s="11">
        <f>C23</f>
        <v>400</v>
      </c>
      <c r="J22" s="11" t="s">
        <v>2</v>
      </c>
      <c r="M22" s="1"/>
      <c r="R22" s="18"/>
      <c r="Y22" s="18"/>
      <c r="AF22" s="18"/>
      <c r="AM22" s="18"/>
      <c r="AT22" s="18"/>
      <c r="BA22" s="18"/>
      <c r="BH22" s="18"/>
      <c r="BO22" s="18"/>
      <c r="BV22" s="18"/>
      <c r="CC22" s="18"/>
    </row>
    <row r="23" spans="2:81" ht="15" customHeight="1">
      <c r="B23" s="11"/>
      <c r="C23" s="11">
        <f>IF(F22,C22,C13*(C17/C27))</f>
        <v>400</v>
      </c>
      <c r="D23" s="11" t="s">
        <v>2</v>
      </c>
      <c r="H23" s="11" t="s">
        <v>14</v>
      </c>
      <c r="I23" s="11">
        <f>C25</f>
        <v>60</v>
      </c>
      <c r="J23" s="16" t="s">
        <v>8</v>
      </c>
      <c r="M23" s="1"/>
      <c r="R23" s="18"/>
      <c r="Y23" s="18"/>
      <c r="AF23" s="18"/>
      <c r="AM23" s="18"/>
      <c r="AT23" s="18"/>
      <c r="BA23" s="18"/>
      <c r="BH23" s="18"/>
      <c r="BO23" s="18"/>
      <c r="BV23" s="18"/>
      <c r="CC23" s="18"/>
    </row>
    <row r="24" spans="2:81" ht="15" customHeight="1">
      <c r="B24" s="10" t="s">
        <v>14</v>
      </c>
      <c r="C24" s="10">
        <v>60</v>
      </c>
      <c r="D24" s="15" t="s">
        <v>8</v>
      </c>
      <c r="E24" s="10" t="s">
        <v>18</v>
      </c>
      <c r="F24" s="12" t="b">
        <f>NOT(C24=0)</f>
        <v>1</v>
      </c>
      <c r="H24" s="11" t="s">
        <v>12</v>
      </c>
      <c r="I24" s="11">
        <f>C27</f>
        <v>180</v>
      </c>
      <c r="J24" s="11" t="str">
        <f>IF($D$3="English","in", "mm")</f>
        <v>mm</v>
      </c>
      <c r="K24" s="1"/>
      <c r="R24" s="18"/>
      <c r="Y24" s="18"/>
      <c r="AF24" s="18"/>
      <c r="AM24" s="18"/>
      <c r="AT24" s="18"/>
      <c r="BA24" s="18"/>
      <c r="BH24" s="18"/>
      <c r="BO24" s="18"/>
      <c r="BV24" s="18"/>
      <c r="CC24" s="18"/>
    </row>
    <row r="25" spans="2:81" ht="15" customHeight="1">
      <c r="B25" s="11"/>
      <c r="C25" s="11">
        <f>IF(F24,C24,IF($D$3="English",C29*C27,(C29^-1)*C27))</f>
        <v>60</v>
      </c>
      <c r="D25" s="16" t="s">
        <v>8</v>
      </c>
      <c r="H25" s="11" t="str">
        <f>IF($D$3="English","Diametrial Pitch, P (N/d)", "Module, m (d/N)")</f>
        <v>Module, m (d/N)</v>
      </c>
      <c r="I25" s="11">
        <f>C29</f>
        <v>3</v>
      </c>
      <c r="J25" s="11" t="str">
        <f>IF($D$3="English","teeth/in", "mm/tooth")</f>
        <v>mm/tooth</v>
      </c>
      <c r="K25" s="1"/>
      <c r="R25" s="18"/>
      <c r="Y25" s="18"/>
      <c r="AF25" s="18"/>
      <c r="AM25" s="18"/>
      <c r="AT25" s="18"/>
      <c r="BA25" s="18"/>
      <c r="BH25" s="18"/>
      <c r="BO25" s="18"/>
      <c r="BV25" s="18"/>
      <c r="CC25" s="18"/>
    </row>
    <row r="26" spans="2:81" ht="15" customHeight="1">
      <c r="B26" s="10" t="s">
        <v>12</v>
      </c>
      <c r="C26" s="10"/>
      <c r="D26" s="10" t="str">
        <f>IF($D$3="English","in", "mm")</f>
        <v>mm</v>
      </c>
      <c r="E26" s="14" t="s">
        <v>7</v>
      </c>
      <c r="F26" s="13" t="b">
        <v>0</v>
      </c>
      <c r="H26" s="11" t="s">
        <v>36</v>
      </c>
      <c r="I26" s="40">
        <f>IF($D$3="English",PI()/I25, PI()*I25)</f>
        <v>9.4247779607693793</v>
      </c>
      <c r="J26" s="11" t="str">
        <f>IF($D$3="English","in", "mm")</f>
        <v>mm</v>
      </c>
      <c r="K26" s="1"/>
      <c r="R26" s="18"/>
      <c r="Y26" s="18"/>
      <c r="AF26" s="18"/>
      <c r="AM26" s="18"/>
      <c r="AT26" s="18"/>
      <c r="BA26" s="18"/>
      <c r="BH26" s="18"/>
      <c r="BO26" s="18"/>
      <c r="BV26" s="18"/>
      <c r="CC26" s="18"/>
    </row>
    <row r="27" spans="2:81" ht="15" customHeight="1">
      <c r="B27" s="11"/>
      <c r="C27" s="11">
        <f>IF(F26,C26,IF(F24,IF($D$3="English",(C29^-1)*C24, C29*C24),C17*(C13/C23)))</f>
        <v>180</v>
      </c>
      <c r="D27" s="11" t="str">
        <f>IF($D$3="English","in", "mm")</f>
        <v>mm</v>
      </c>
      <c r="K27" s="1"/>
      <c r="R27" s="18"/>
      <c r="Y27" s="18"/>
      <c r="AF27" s="18"/>
      <c r="AM27" s="18"/>
      <c r="AT27" s="18"/>
      <c r="BA27" s="18"/>
      <c r="BH27" s="18"/>
      <c r="BO27" s="18"/>
      <c r="BV27" s="18"/>
      <c r="CC27" s="18"/>
    </row>
    <row r="28" spans="2:81" ht="15" customHeight="1">
      <c r="B28" s="10" t="str">
        <f>IF($D$3="English","Diametrial Pitch, P (N/d)", "Module, m (d/N)")</f>
        <v>Module, m (d/N)</v>
      </c>
      <c r="C28" s="10"/>
      <c r="D28" s="10" t="str">
        <f>IF($D$3="English","teeth/in", "mm/tooth")</f>
        <v>mm/tooth</v>
      </c>
      <c r="E28" s="14" t="str">
        <f>IF($D$3="English","P known", "m known")</f>
        <v>m known</v>
      </c>
      <c r="F28" s="12" t="b">
        <f>NOT(F26)</f>
        <v>1</v>
      </c>
      <c r="K28" s="1"/>
      <c r="R28" s="18"/>
      <c r="Y28" s="18"/>
      <c r="AF28" s="18"/>
      <c r="AM28" s="18"/>
      <c r="AT28" s="18"/>
      <c r="BA28" s="18"/>
      <c r="BH28" s="18"/>
      <c r="BO28" s="18"/>
      <c r="BV28" s="18"/>
      <c r="CC28" s="18"/>
    </row>
    <row r="29" spans="2:81" ht="15" customHeight="1">
      <c r="B29" s="11"/>
      <c r="C29" s="11">
        <f>IF(F28,IF(F29,IF(F19,"Pitch Wrong",C19),C28),IF($D$3="English",C24/C27, C27/C24))</f>
        <v>3</v>
      </c>
      <c r="D29" s="11" t="str">
        <f>IF($D$3="English","teeth/in", "mm/tooth")</f>
        <v>mm/tooth</v>
      </c>
      <c r="E29" s="14" t="s">
        <v>16</v>
      </c>
      <c r="F29" s="19" t="b">
        <v>1</v>
      </c>
      <c r="G29" s="17" t="s">
        <v>20</v>
      </c>
      <c r="H29" s="17"/>
      <c r="K29" s="1"/>
      <c r="R29" s="18"/>
      <c r="Y29" s="18"/>
      <c r="AF29" s="18"/>
      <c r="AM29" s="18"/>
      <c r="AT29" s="18"/>
      <c r="BA29" s="18"/>
      <c r="BH29" s="18"/>
      <c r="BO29" s="18"/>
      <c r="BV29" s="18"/>
      <c r="CC29" s="18"/>
    </row>
    <row r="30" spans="2:81" ht="15" customHeight="1">
      <c r="K30" s="1"/>
      <c r="R30" s="18"/>
      <c r="Y30" s="18"/>
      <c r="AF30" s="18"/>
      <c r="AM30" s="18"/>
      <c r="AT30" s="18"/>
      <c r="BA30" s="18"/>
      <c r="BH30" s="18"/>
      <c r="BO30" s="18"/>
      <c r="BV30" s="18"/>
      <c r="CC30" s="18"/>
    </row>
    <row r="31" spans="2:81" ht="15" customHeight="1">
      <c r="K31" s="1"/>
      <c r="R31" s="18"/>
      <c r="Y31" s="18"/>
      <c r="AF31" s="18"/>
      <c r="AM31" s="18"/>
      <c r="AT31" s="18"/>
      <c r="BA31" s="18"/>
      <c r="BH31" s="18"/>
      <c r="BO31" s="18"/>
      <c r="BV31" s="18"/>
      <c r="CC31" s="18"/>
    </row>
    <row r="32" spans="2:81" ht="15" customHeight="1">
      <c r="K32" s="1"/>
      <c r="R32" s="18"/>
      <c r="Y32" s="18"/>
      <c r="AF32" s="18"/>
      <c r="AM32" s="18"/>
      <c r="AT32" s="18"/>
      <c r="BA32" s="18"/>
      <c r="BH32" s="18"/>
      <c r="BO32" s="18"/>
      <c r="BV32" s="18"/>
      <c r="CC32" s="18"/>
    </row>
    <row r="33" spans="11:81" ht="15" customHeight="1">
      <c r="K33" s="1"/>
      <c r="R33" s="18"/>
      <c r="Y33" s="18"/>
      <c r="AF33" s="18"/>
      <c r="AM33" s="18"/>
      <c r="AT33" s="18"/>
      <c r="BA33" s="18"/>
      <c r="BH33" s="18"/>
      <c r="BO33" s="18"/>
      <c r="BV33" s="18"/>
      <c r="CC33" s="18"/>
    </row>
    <row r="34" spans="11:81" ht="15" customHeight="1">
      <c r="K34" s="1"/>
      <c r="R34" s="18"/>
      <c r="Y34" s="18"/>
      <c r="AF34" s="18"/>
      <c r="AM34" s="18"/>
      <c r="AT34" s="18"/>
      <c r="BA34" s="18"/>
      <c r="BH34" s="18"/>
      <c r="BO34" s="18"/>
      <c r="BV34" s="18"/>
      <c r="CC34" s="18"/>
    </row>
    <row r="35" spans="11:81" ht="15" customHeight="1">
      <c r="K35" s="1"/>
      <c r="R35" s="18"/>
      <c r="Y35" s="18"/>
      <c r="AF35" s="18"/>
      <c r="AM35" s="18"/>
      <c r="AT35" s="18"/>
      <c r="BA35" s="18"/>
      <c r="BH35" s="18"/>
      <c r="BO35" s="18"/>
      <c r="BV35" s="18"/>
      <c r="CC35" s="18"/>
    </row>
    <row r="36" spans="11:81" ht="15" customHeight="1">
      <c r="K36" s="1"/>
      <c r="R36" s="18"/>
      <c r="Y36" s="18"/>
      <c r="AF36" s="18"/>
      <c r="AM36" s="18"/>
      <c r="AT36" s="18"/>
      <c r="BA36" s="18"/>
      <c r="BH36" s="18"/>
      <c r="BO36" s="18"/>
      <c r="BV36" s="18"/>
      <c r="CC36" s="18"/>
    </row>
    <row r="37" spans="11:81" ht="15" customHeight="1">
      <c r="K37" s="1"/>
      <c r="R37" s="18"/>
      <c r="Y37" s="18"/>
      <c r="AF37" s="18"/>
      <c r="AM37" s="18"/>
      <c r="AT37" s="18"/>
      <c r="BA37" s="18"/>
      <c r="BH37" s="18"/>
      <c r="BO37" s="18"/>
      <c r="BV37" s="18"/>
      <c r="CC37" s="18"/>
    </row>
    <row r="38" spans="11:81" ht="15" customHeight="1">
      <c r="K38" s="1"/>
      <c r="R38" s="18"/>
      <c r="Y38" s="18"/>
      <c r="AF38" s="18"/>
      <c r="AM38" s="18"/>
      <c r="AT38" s="18"/>
      <c r="BA38" s="18"/>
      <c r="BH38" s="18"/>
      <c r="BO38" s="18"/>
      <c r="BV38" s="18"/>
      <c r="CC38" s="18"/>
    </row>
    <row r="39" spans="11:81" ht="15" customHeight="1">
      <c r="K39" s="1"/>
      <c r="R39" s="18"/>
      <c r="Y39" s="18"/>
      <c r="AF39" s="18"/>
      <c r="AM39" s="18"/>
      <c r="AT39" s="18"/>
      <c r="BA39" s="18"/>
      <c r="BH39" s="18"/>
      <c r="BO39" s="18"/>
      <c r="BV39" s="18"/>
      <c r="CC39" s="18"/>
    </row>
    <row r="40" spans="11:81" ht="15" customHeight="1">
      <c r="K40" s="1"/>
      <c r="R40" s="18"/>
      <c r="Y40" s="18"/>
      <c r="AF40" s="18"/>
      <c r="AM40" s="18"/>
      <c r="AT40" s="18"/>
      <c r="BA40" s="18"/>
      <c r="BH40" s="18"/>
      <c r="BO40" s="18"/>
      <c r="BV40" s="18"/>
      <c r="CC40" s="18"/>
    </row>
    <row r="41" spans="11:81" ht="15" customHeight="1">
      <c r="K41" s="1"/>
      <c r="R41" s="18"/>
      <c r="Y41" s="18"/>
      <c r="AF41" s="18"/>
      <c r="AM41" s="18"/>
      <c r="AT41" s="18"/>
      <c r="BA41" s="18"/>
      <c r="BH41" s="18"/>
      <c r="BO41" s="18"/>
      <c r="BV41" s="18"/>
      <c r="CC41" s="18"/>
    </row>
    <row r="42" spans="11:81" ht="15" customHeight="1">
      <c r="R42" s="18"/>
      <c r="Y42" s="18"/>
      <c r="AF42" s="18"/>
      <c r="AM42" s="18"/>
      <c r="AT42" s="18"/>
      <c r="BA42" s="18"/>
      <c r="BH42" s="18"/>
      <c r="BO42" s="18"/>
      <c r="BV42" s="18"/>
      <c r="CC42" s="18"/>
    </row>
    <row r="43" spans="11:81" ht="15" customHeight="1">
      <c r="R43" s="18"/>
      <c r="Y43" s="18"/>
      <c r="AF43" s="18"/>
      <c r="AM43" s="18"/>
      <c r="AT43" s="18"/>
      <c r="BA43" s="18"/>
      <c r="BH43" s="18"/>
      <c r="BO43" s="18"/>
      <c r="BV43" s="18"/>
      <c r="CC43" s="18"/>
    </row>
    <row r="44" spans="11:81" ht="15" customHeight="1">
      <c r="R44" s="18"/>
      <c r="Y44" s="18"/>
      <c r="AF44" s="18"/>
      <c r="AM44" s="18"/>
      <c r="AT44" s="18"/>
      <c r="BA44" s="18"/>
      <c r="BH44" s="18"/>
      <c r="BO44" s="18"/>
      <c r="BV44" s="18"/>
      <c r="CC44" s="18"/>
    </row>
    <row r="45" spans="11:81" ht="15" customHeight="1">
      <c r="R45" s="18"/>
      <c r="Y45" s="18"/>
      <c r="AF45" s="18"/>
      <c r="AM45" s="18"/>
      <c r="AT45" s="18"/>
      <c r="BA45" s="18"/>
      <c r="BH45" s="18"/>
      <c r="BO45" s="18"/>
      <c r="BV45" s="18"/>
      <c r="CC45" s="18"/>
    </row>
    <row r="46" spans="11:81" ht="15" customHeight="1">
      <c r="R46" s="18"/>
      <c r="Y46" s="18"/>
      <c r="AF46" s="18"/>
      <c r="AM46" s="18"/>
      <c r="AT46" s="18"/>
      <c r="BA46" s="18"/>
      <c r="BH46" s="18"/>
      <c r="BO46" s="18"/>
      <c r="BV46" s="18"/>
      <c r="CC46" s="18"/>
    </row>
    <row r="47" spans="11:81" ht="15" customHeight="1">
      <c r="R47" s="18"/>
      <c r="Y47" s="18"/>
      <c r="AF47" s="18"/>
      <c r="AM47" s="18"/>
      <c r="AT47" s="18"/>
      <c r="BA47" s="18"/>
      <c r="BH47" s="18"/>
      <c r="BO47" s="18"/>
      <c r="BV47" s="18"/>
      <c r="CC47" s="18"/>
    </row>
    <row r="48" spans="11:81" ht="15" customHeight="1">
      <c r="R48" s="18"/>
      <c r="Y48" s="18"/>
      <c r="AF48" s="18"/>
      <c r="AM48" s="18"/>
      <c r="AT48" s="18"/>
      <c r="BA48" s="18"/>
      <c r="BH48" s="18"/>
      <c r="BO48" s="18"/>
      <c r="BV48" s="18"/>
      <c r="CC48" s="18"/>
    </row>
    <row r="49" spans="18:81" ht="15" customHeight="1">
      <c r="R49" s="18"/>
      <c r="Y49" s="18"/>
      <c r="AF49" s="18"/>
      <c r="AM49" s="18"/>
      <c r="AT49" s="18"/>
      <c r="BA49" s="18"/>
      <c r="BH49" s="18"/>
      <c r="BO49" s="18"/>
      <c r="BV49" s="18"/>
      <c r="CC49" s="18"/>
    </row>
    <row r="50" spans="18:81" ht="15" customHeight="1">
      <c r="R50" s="18"/>
      <c r="Y50" s="18"/>
      <c r="AF50" s="18"/>
      <c r="AM50" s="18"/>
      <c r="AT50" s="18"/>
      <c r="BA50" s="18"/>
      <c r="BH50" s="18"/>
      <c r="BO50" s="18"/>
      <c r="BV50" s="18"/>
      <c r="CC50" s="18"/>
    </row>
    <row r="51" spans="18:81" ht="15" customHeight="1">
      <c r="R51" s="18"/>
      <c r="Y51" s="18"/>
      <c r="AF51" s="18"/>
      <c r="AM51" s="18"/>
      <c r="AT51" s="18"/>
      <c r="BA51" s="18"/>
      <c r="BH51" s="18"/>
      <c r="BO51" s="18"/>
      <c r="BV51" s="18"/>
      <c r="CC51" s="18"/>
    </row>
    <row r="52" spans="18:81" ht="15" customHeight="1">
      <c r="R52" s="18"/>
      <c r="Y52" s="18"/>
      <c r="AF52" s="18"/>
      <c r="AM52" s="18"/>
      <c r="AT52" s="18"/>
      <c r="BA52" s="18"/>
      <c r="BH52" s="18"/>
      <c r="BO52" s="18"/>
      <c r="BV52" s="18"/>
      <c r="CC52" s="18"/>
    </row>
    <row r="53" spans="18:81" ht="15" customHeight="1">
      <c r="R53" s="18"/>
      <c r="Y53" s="18"/>
      <c r="AF53" s="18"/>
      <c r="AM53" s="18"/>
      <c r="AT53" s="18"/>
      <c r="BA53" s="18"/>
      <c r="BH53" s="18"/>
      <c r="BO53" s="18"/>
      <c r="BV53" s="18"/>
      <c r="CC53" s="18"/>
    </row>
    <row r="54" spans="18:81" ht="15" customHeight="1">
      <c r="R54" s="18"/>
      <c r="Y54" s="18"/>
      <c r="AF54" s="18"/>
      <c r="AM54" s="18"/>
      <c r="AT54" s="18"/>
      <c r="BA54" s="18"/>
      <c r="BH54" s="18"/>
      <c r="BO54" s="18"/>
      <c r="BV54" s="18"/>
      <c r="CC54" s="18"/>
    </row>
    <row r="55" spans="18:81" ht="15" customHeight="1">
      <c r="R55" s="18"/>
      <c r="Y55" s="18"/>
      <c r="AF55" s="18"/>
      <c r="AM55" s="18"/>
      <c r="AT55" s="18"/>
      <c r="BA55" s="18"/>
      <c r="BH55" s="18"/>
      <c r="BO55" s="18"/>
      <c r="BV55" s="18"/>
      <c r="CC55" s="18"/>
    </row>
    <row r="56" spans="18:81" ht="15" customHeight="1">
      <c r="R56" s="18"/>
      <c r="Y56" s="18"/>
      <c r="AF56" s="18"/>
      <c r="AM56" s="18"/>
      <c r="AT56" s="18"/>
      <c r="BA56" s="18"/>
      <c r="BH56" s="18"/>
      <c r="BO56" s="18"/>
      <c r="BV56" s="18"/>
      <c r="CC56" s="18"/>
    </row>
    <row r="57" spans="18:81" ht="15" customHeight="1">
      <c r="R57" s="18"/>
      <c r="Y57" s="18"/>
      <c r="AF57" s="18"/>
      <c r="AM57" s="18"/>
      <c r="AT57" s="18"/>
      <c r="BA57" s="18"/>
      <c r="BH57" s="18"/>
      <c r="BO57" s="18"/>
      <c r="BV57" s="18"/>
      <c r="CC57" s="18"/>
    </row>
    <row r="58" spans="18:81" ht="15" customHeight="1">
      <c r="R58" s="18"/>
      <c r="Y58" s="18"/>
      <c r="AF58" s="18"/>
      <c r="AM58" s="18"/>
      <c r="AT58" s="18"/>
      <c r="BA58" s="18"/>
      <c r="BH58" s="18"/>
      <c r="BO58" s="18"/>
      <c r="BV58" s="18"/>
      <c r="CC58" s="18"/>
    </row>
    <row r="59" spans="18:81" ht="15" customHeight="1">
      <c r="R59" s="18"/>
      <c r="Y59" s="18"/>
      <c r="AF59" s="18"/>
      <c r="AM59" s="18"/>
      <c r="AT59" s="18"/>
      <c r="BA59" s="18"/>
      <c r="BH59" s="18"/>
      <c r="BO59" s="18"/>
      <c r="BV59" s="18"/>
      <c r="CC59" s="18"/>
    </row>
    <row r="60" spans="18:81" ht="15" customHeight="1">
      <c r="R60" s="18"/>
      <c r="Y60" s="18"/>
      <c r="AF60" s="18"/>
      <c r="AM60" s="18"/>
      <c r="AT60" s="18"/>
      <c r="BA60" s="18"/>
      <c r="BH60" s="18"/>
      <c r="BO60" s="18"/>
      <c r="BV60" s="18"/>
      <c r="CC60" s="18"/>
    </row>
    <row r="61" spans="18:81" ht="15" customHeight="1">
      <c r="R61" s="18"/>
      <c r="Y61" s="18"/>
      <c r="AF61" s="18"/>
      <c r="AM61" s="18"/>
      <c r="AT61" s="18"/>
      <c r="BA61" s="18"/>
      <c r="BH61" s="18"/>
      <c r="BO61" s="18"/>
      <c r="BV61" s="18"/>
      <c r="CC61" s="18"/>
    </row>
    <row r="62" spans="18:81" ht="15" customHeight="1">
      <c r="R62" s="18"/>
      <c r="Y62" s="18"/>
      <c r="AF62" s="18"/>
      <c r="AM62" s="18"/>
      <c r="AT62" s="18"/>
      <c r="BA62" s="18"/>
      <c r="BH62" s="18"/>
      <c r="BO62" s="18"/>
      <c r="BV62" s="18"/>
      <c r="CC62" s="18"/>
    </row>
    <row r="63" spans="18:81" ht="15" customHeight="1">
      <c r="R63" s="18"/>
      <c r="Y63" s="18"/>
      <c r="AF63" s="18"/>
      <c r="AM63" s="18"/>
      <c r="AT63" s="18"/>
      <c r="BA63" s="18"/>
      <c r="BH63" s="18"/>
      <c r="BO63" s="18"/>
      <c r="BV63" s="18"/>
      <c r="CC63" s="18"/>
    </row>
    <row r="64" spans="18:81" ht="15" customHeight="1">
      <c r="R64" s="18"/>
      <c r="Y64" s="18"/>
      <c r="AF64" s="18"/>
      <c r="AM64" s="18"/>
      <c r="AT64" s="18"/>
      <c r="BA64" s="18"/>
      <c r="BH64" s="18"/>
      <c r="BO64" s="18"/>
      <c r="BV64" s="18"/>
      <c r="CC64" s="18"/>
    </row>
    <row r="73" spans="10:10" ht="15" customHeight="1">
      <c r="J73"/>
    </row>
    <row r="202" spans="2:2" ht="15" customHeight="1">
      <c r="B202"/>
    </row>
  </sheetData>
  <conditionalFormatting sqref="B16:D16">
    <cfRule type="expression" dxfId="9" priority="6">
      <formula>$F$18</formula>
    </cfRule>
  </conditionalFormatting>
  <conditionalFormatting sqref="B18:D18">
    <cfRule type="expression" dxfId="8" priority="1">
      <formula>$F$19</formula>
    </cfRule>
    <cfRule type="expression" dxfId="7" priority="5">
      <formula>$F$16</formula>
    </cfRule>
  </conditionalFormatting>
  <conditionalFormatting sqref="B26:D26">
    <cfRule type="expression" dxfId="6" priority="4">
      <formula>$F$28</formula>
    </cfRule>
  </conditionalFormatting>
  <conditionalFormatting sqref="B28:D28">
    <cfRule type="expression" dxfId="5" priority="2">
      <formula>$F$26</formula>
    </cfRule>
    <cfRule type="expression" dxfId="4" priority="3">
      <formula>$F$29</formula>
    </cfRule>
  </conditionalFormatting>
  <conditionalFormatting sqref="F19">
    <cfRule type="expression" dxfId="3" priority="9" stopIfTrue="1">
      <formula>$F$29</formula>
    </cfRule>
    <cfRule type="expression" dxfId="2" priority="10" stopIfTrue="1">
      <formula>$F$16</formula>
    </cfRule>
  </conditionalFormatting>
  <conditionalFormatting sqref="F29">
    <cfRule type="expression" dxfId="1" priority="7" stopIfTrue="1">
      <formula>$F$19</formula>
    </cfRule>
    <cfRule type="expression" dxfId="0" priority="8">
      <formula>$F$26</formula>
    </cfRule>
  </conditionalFormatting>
  <dataValidations count="2">
    <dataValidation type="list" allowBlank="1" showInputMessage="1" showErrorMessage="1" sqref="D3" xr:uid="{8C3DB506-BAD7-4CC6-8AEC-5C5BA03C6E0A}">
      <formula1>"English, Metric"</formula1>
    </dataValidation>
    <dataValidation type="list" allowBlank="1" showInputMessage="1" showErrorMessage="1" sqref="C5" xr:uid="{E7A067DA-9213-497F-BCA3-91C5F9E3C575}">
      <formula1>"Full depth, Stub"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L24 Gears</vt:lpstr>
      <vt:lpstr>L24 Quiz P1</vt:lpstr>
      <vt:lpstr>L24 Quiz 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Caiden Logan Bonney</dc:creator>
  <cp:lastModifiedBy>Caiden Logan Bonney</cp:lastModifiedBy>
  <dcterms:created xsi:type="dcterms:W3CDTF">2025-03-01T01:25:50Z</dcterms:created>
  <dcterms:modified xsi:type="dcterms:W3CDTF">2025-12-10T12:13:50Z</dcterms:modified>
</cp:coreProperties>
</file>