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329 Mechanical Systems Design/"/>
    </mc:Choice>
  </mc:AlternateContent>
  <xr:revisionPtr revIDLastSave="723" documentId="11_0B1D56BE9CDCCE836B02CE7A5FB0D4A9BBFD1C62" xr6:coauthVersionLast="47" xr6:coauthVersionMax="47" xr10:uidLastSave="{D687844B-B344-486C-8FE4-7A06435763F1}"/>
  <bookViews>
    <workbookView xWindow="19095" yWindow="0" windowWidth="19410" windowHeight="20985" xr2:uid="{00000000-000D-0000-FFFF-FFFF00000000}"/>
  </bookViews>
  <sheets>
    <sheet name="Whirling Calcul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J6" i="1"/>
  <c r="J5" i="1" s="1"/>
  <c r="J7" i="1"/>
  <c r="K7" i="1"/>
  <c r="J8" i="1" l="1"/>
  <c r="J3" i="1"/>
  <c r="D6" i="1"/>
  <c r="K11" i="1"/>
  <c r="K12" i="1"/>
  <c r="K10" i="1"/>
  <c r="K8" i="1"/>
  <c r="K6" i="1"/>
  <c r="K5" i="1"/>
  <c r="K4" i="1"/>
  <c r="K3" i="1"/>
  <c r="G11" i="1"/>
  <c r="G12" i="1"/>
  <c r="G10" i="1"/>
  <c r="D11" i="1"/>
  <c r="D12" i="1"/>
  <c r="D10" i="1"/>
  <c r="C7" i="1"/>
  <c r="D7" i="1"/>
  <c r="D5" i="1"/>
  <c r="D4" i="1"/>
  <c r="D3" i="1"/>
  <c r="J15" i="1" l="1"/>
  <c r="K15" i="1" l="1"/>
  <c r="L15" i="1"/>
  <c r="J4" i="1" l="1"/>
  <c r="J11" i="1" l="1"/>
  <c r="J10" i="1"/>
  <c r="J12" i="1"/>
  <c r="J16" i="1" l="1" a="1"/>
  <c r="J16" i="1" s="1"/>
  <c r="K16" i="1" s="1"/>
  <c r="L16" i="1" l="1"/>
  <c r="J17" i="1"/>
  <c r="L17" i="1" s="1"/>
  <c r="K1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<sst xmlns="http://schemas.openxmlformats.org/spreadsheetml/2006/main" count="29" uniqueCount="29">
  <si>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INPUTS</t>
  </si>
  <si>
    <t>OUTPUTS</t>
  </si>
  <si>
    <t>y deflection magnitude at 1</t>
  </si>
  <si>
    <t>y deflection magnitude at 2</t>
  </si>
  <si>
    <t>y deflection magnitude at 3</t>
  </si>
  <si>
    <t>I</t>
  </si>
  <si>
    <t>1/EI</t>
  </si>
  <si>
    <t>reaction at A</t>
  </si>
  <si>
    <t>reaction at B</t>
  </si>
  <si>
    <t>integration constant, C</t>
  </si>
  <si>
    <t>Metric</t>
  </si>
  <si>
    <t>Whirling of Shaft</t>
  </si>
  <si>
    <t>Whirling of Weights (no shaft)</t>
  </si>
  <si>
    <t>rad/s</t>
  </si>
  <si>
    <t>rpm</t>
  </si>
  <si>
    <t>Hz</t>
  </si>
  <si>
    <t>acceleration of gravity</t>
  </si>
  <si>
    <t>Weight 1</t>
  </si>
  <si>
    <t>Weight 2</t>
  </si>
  <si>
    <t>Weight 3</t>
  </si>
  <si>
    <t>position 1</t>
  </si>
  <si>
    <t>position 2</t>
  </si>
  <si>
    <t>position 3</t>
  </si>
  <si>
    <t>m/L</t>
  </si>
  <si>
    <t>Shaft Length, L</t>
  </si>
  <si>
    <t>Shaft diameter, d</t>
  </si>
  <si>
    <t>Shaft modulus, E</t>
  </si>
  <si>
    <t>Shaft density, ρ</t>
  </si>
  <si>
    <t>Dunkerleys of shaft and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</si>
</sst>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0.E+00"/>
    <numFmt numFmtId="165" formatCode="0.0000"/>
    <numFmt numFmtId="166" formatCode="0.0000000000"/>
    <numFmt numFmtId="167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164" fontId="0" fillId="2" borderId="0" xfId="0" applyNumberFormat="1" applyFill="1"/>
    <xf numFmtId="0" fontId="0" fillId="5" borderId="0" xfId="0" applyFill="1"/>
    <xf numFmtId="165" fontId="0" fillId="3" borderId="0" xfId="0" applyNumberFormat="1" applyFill="1"/>
    <xf numFmtId="165" fontId="0" fillId="5" borderId="0" xfId="0" applyNumberFormat="1" applyFill="1"/>
    <xf numFmtId="166" fontId="0" fillId="4" borderId="0" xfId="0" applyNumberFormat="1" applyFill="1"/>
    <xf numFmtId="0" fontId="0" fillId="2" borderId="1" xfId="0" applyFill="1" applyBorder="1"/>
    <xf numFmtId="167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7"/>
  <sheetViews>
    <sheetView tabSelected="1" workbookViewId="0">
      <selection activeCell="E24" sqref="E24"/>
    </sheetView>
  </sheetViews>
  <sheetFormatPr defaultColWidth="8.85546875" defaultRowHeight="15" x14ac:dyDescent="0.25"/>
  <cols>
    <col min="2" max="2" width="20.42578125" bestFit="1" customWidth="1"/>
    <col min="3" max="4" width="9.140625" customWidth="1"/>
    <col min="5" max="5" width="9.7109375" bestFit="1" customWidth="1"/>
    <col min="6" max="7" width="9.140625" customWidth="1"/>
    <col min="9" max="9" width="28.28515625" bestFit="1" customWidth="1"/>
    <col min="10" max="10" width="12.42578125" bestFit="1" customWidth="1"/>
    <col min="11" max="11" width="10.140625" bestFit="1" customWidth="1"/>
    <col min="12" max="12" width="9.140625" customWidth="1"/>
  </cols>
  <sheetData>
    <row r="2" spans="2:12" x14ac:dyDescent="0.25">
      <c r="B2" s="1" t="s">
        <v>0</v>
      </c>
      <c r="C2" s="2"/>
      <c r="D2" s="11" t="s">
        <v>10</v>
      </c>
      <c r="I2" s="3" t="s">
        <v>1</v>
      </c>
      <c r="J2" s="4"/>
      <c r="K2" s="4"/>
    </row>
    <row r="3" spans="2:12" x14ac:dyDescent="0.25">
      <c r="B3" s="2" t="s">
        <v>24</v>
      </c>
      <c r="C3" s="2">
        <v>0.78</v>
      </c>
      <c r="D3" s="2" t="str">
        <f>IF($D$2="English","in",IF($D$2="Metric", "m", "Unit Selection Error"))</f>
        <v>m</v>
      </c>
      <c r="I3" s="4" t="s">
        <v>5</v>
      </c>
      <c r="J3" s="4">
        <f>((PI()*(C4)^4)/64)</f>
        <v>7.8539816339744827E-9</v>
      </c>
      <c r="K3" s="4" t="str">
        <f>IF($D$2="English","in^4",IF($D$2="Metric", "m^4", "Unit Selection Error"))</f>
        <v>m^4</v>
      </c>
    </row>
    <row r="4" spans="2:12" x14ac:dyDescent="0.25">
      <c r="B4" s="2" t="s">
        <v>25</v>
      </c>
      <c r="C4" s="2">
        <v>0.02</v>
      </c>
      <c r="D4" s="2" t="str">
        <f>IF($D$2="English","in",IF($D$2="Metric", "m", "Unit Selection Error"))</f>
        <v>m</v>
      </c>
      <c r="I4" s="4" t="s">
        <v>6</v>
      </c>
      <c r="J4" s="4">
        <f>(C5*J3)^-1</f>
        <v>1.7683882565766149E-3</v>
      </c>
      <c r="K4" s="4" t="str">
        <f>IF($D$2="English","1/(lbf-in^2)",IF($D$2="Metric", "1/(N-m^2)", "Unit Selection Error"))</f>
        <v>1/(N-m^2)</v>
      </c>
    </row>
    <row r="5" spans="2:12" x14ac:dyDescent="0.25">
      <c r="B5" s="2" t="s">
        <v>26</v>
      </c>
      <c r="C5" s="6">
        <f>72*10^9</f>
        <v>72000000000</v>
      </c>
      <c r="D5" s="2" t="str">
        <f>IF($D$2="English","psi",IF($D$2="Metric", "Pa", "Unit Selection Error"))</f>
        <v>Pa</v>
      </c>
      <c r="I5" s="4" t="s">
        <v>7</v>
      </c>
      <c r="J5" s="4">
        <f>-(C10+C11+C12+J6)</f>
        <v>-208.71794871794873</v>
      </c>
      <c r="K5" s="4" t="str">
        <f>IF($D$2="English","lbf",IF($D$2="Metric", "N", "Unit Selection Error"))</f>
        <v>N</v>
      </c>
    </row>
    <row r="6" spans="2:12" x14ac:dyDescent="0.25">
      <c r="B6" s="2" t="s">
        <v>27</v>
      </c>
      <c r="C6" s="2">
        <v>2700</v>
      </c>
      <c r="D6" s="2" t="str">
        <f>IF($D$2="English","lbm/in^3",IF($D$2="Metric", "kg/m^3", "Unit Selection Error"))</f>
        <v>kg/m^3</v>
      </c>
      <c r="I6" s="4" t="s">
        <v>8</v>
      </c>
      <c r="J6" s="4">
        <f>(C10*F10+C11*F11+C12*F12)/-C3</f>
        <v>-193.28205128205127</v>
      </c>
      <c r="K6" s="4" t="str">
        <f>IF($D$2="English","lbf",IF($D$2="Metric", "N", "Unit Selection Error"))</f>
        <v>N</v>
      </c>
    </row>
    <row r="7" spans="2:12" x14ac:dyDescent="0.25">
      <c r="B7" t="s">
        <v>16</v>
      </c>
      <c r="C7">
        <f>IF($D$2="English",386.1,IF($D$2="Metric", 9.81, "Unit Selection Error"))</f>
        <v>9.81</v>
      </c>
      <c r="D7" t="str">
        <f>IF($D$2="English","in/s^2",IF($D$2="Metric", "m/s^2", "Unit Selection Error"))</f>
        <v>m/s^2</v>
      </c>
      <c r="I7" s="4" t="s">
        <v>23</v>
      </c>
      <c r="J7" s="4">
        <f>(PI()/4)*C4^2*C3*C6/C3</f>
        <v>0.84823001646924423</v>
      </c>
      <c r="K7" s="4" t="str">
        <f>IF($D$2="English","lbm/in",IF($D$2="Metric", "kg/m", "Unit Selection Error"))</f>
        <v>kg/m</v>
      </c>
    </row>
    <row r="8" spans="2:12" x14ac:dyDescent="0.25">
      <c r="I8" s="4" t="s">
        <v>9</v>
      </c>
      <c r="J8" s="8">
        <f>-(1/(6*C3))*(J5*(C3^3)+C10*(C3-F10)^3+C11*(C3-F11)^3+C12*(C3-F12)^3)</f>
        <v>12.76864957264957</v>
      </c>
      <c r="K8" s="4" t="str">
        <f>IF($D$2="English","in^2",IF($D$2="Metric", "m^2", "Unit Selection Error"))</f>
        <v>m^2</v>
      </c>
    </row>
    <row r="10" spans="2:12" x14ac:dyDescent="0.25">
      <c r="B10" s="2" t="s">
        <v>17</v>
      </c>
      <c r="C10" s="2">
        <v>157</v>
      </c>
      <c r="D10" s="2" t="str">
        <f>IF($D$2="English","lbf",IF($D$2="Metric", "N", "Unit Selection Error"))</f>
        <v>N</v>
      </c>
      <c r="E10" s="2" t="s">
        <v>20</v>
      </c>
      <c r="F10" s="2">
        <v>0.18</v>
      </c>
      <c r="G10" s="2" t="str">
        <f>IF($D$2="English","in",IF($D$2="Metric", "m", "Unit Selection Error"))</f>
        <v>m</v>
      </c>
      <c r="I10" s="5" t="s">
        <v>2</v>
      </c>
      <c r="J10" s="10">
        <f>($J$4/6)*($J$5*(F10^3)+$C$10*((F10-$F$10)^3)*(F10&gt;$F$10)+$C$11*((F10-$F$11)^3)*(F10&gt;$F$11)+$C$12*((F10-$F$12)^3)*(F10&gt;$F$12))+$J$4*$J$8*F10</f>
        <v>3.7056276650857998E-3</v>
      </c>
      <c r="K10" s="5" t="str">
        <f>IF($D$2="English","in",IF($D$2="Metric", "m", "Unit Selection Error"))</f>
        <v>m</v>
      </c>
    </row>
    <row r="11" spans="2:12" x14ac:dyDescent="0.25">
      <c r="B11" s="2" t="s">
        <v>18</v>
      </c>
      <c r="C11" s="2">
        <v>245</v>
      </c>
      <c r="D11" s="2" t="str">
        <f>IF($D$2="English","lbf",IF($D$2="Metric", "N", "Unit Selection Error"))</f>
        <v>N</v>
      </c>
      <c r="E11" s="2" t="s">
        <v>21</v>
      </c>
      <c r="F11" s="2">
        <v>0.5</v>
      </c>
      <c r="G11" s="2" t="str">
        <f>IF($D$2="English","in",IF($D$2="Metric", "m", "Unit Selection Error"))</f>
        <v>m</v>
      </c>
      <c r="I11" s="5" t="s">
        <v>3</v>
      </c>
      <c r="J11" s="10">
        <f>($J$4/6)*($J$5*(F11^3)+$C$10*((F11-$F$10)^3)*(F11&gt;$F$10)+$C$11*((F11-$F$11)^3)*(F11&gt;$F$11)+$C$12*((F11-$F$12)^3)*(F11&gt;$F$12))+$J$4*$J$8*F11</f>
        <v>5.1167669120191417E-3</v>
      </c>
      <c r="K11" s="5" t="str">
        <f>IF($D$2="English","in",IF($D$2="Metric", "m", "Unit Selection Error"))</f>
        <v>m</v>
      </c>
    </row>
    <row r="12" spans="2:12" x14ac:dyDescent="0.25">
      <c r="B12" s="2" t="s">
        <v>19</v>
      </c>
      <c r="C12" s="2">
        <v>0</v>
      </c>
      <c r="D12" s="2" t="str">
        <f>IF($D$2="English","lbf",IF($D$2="Metric", "N", "Unit Selection Error"))</f>
        <v>N</v>
      </c>
      <c r="E12" s="2" t="s">
        <v>22</v>
      </c>
      <c r="F12" s="2">
        <v>0</v>
      </c>
      <c r="G12" s="2" t="str">
        <f>IF($D$2="English","in",IF($D$2="Metric", "m", "Unit Selection Error"))</f>
        <v>m</v>
      </c>
      <c r="I12" s="5" t="s">
        <v>4</v>
      </c>
      <c r="J12" s="10">
        <f>($J$4/6)*($J$5*(F12^3)+$C$10*((F12-$F$10)^3)*(F12&gt;$F$10)+$C$11*((F12-$F$11)^3)*(F12&gt;$F$11)+$C$12*((F12-$F$12)^3)*(F12&gt;$F$12))+$J$4*$J$8*F12</f>
        <v>0</v>
      </c>
      <c r="K12" s="5" t="str">
        <f>IF($D$2="English","in",IF($D$2="Metric", "m", "Unit Selection Error"))</f>
        <v>m</v>
      </c>
    </row>
    <row r="14" spans="2:12" x14ac:dyDescent="0.25">
      <c r="I14" s="4"/>
      <c r="J14" s="4" t="s">
        <v>13</v>
      </c>
      <c r="K14" s="4" t="s">
        <v>14</v>
      </c>
      <c r="L14" s="7" t="s">
        <v>15</v>
      </c>
    </row>
    <row r="15" spans="2:12" x14ac:dyDescent="0.25">
      <c r="I15" s="4" t="s">
        <v>11</v>
      </c>
      <c r="J15" s="12">
        <f>(PI()/C3)^2*SQRT((C5*J3)/J7)</f>
        <v>418.8561634787913</v>
      </c>
      <c r="K15" s="8">
        <f>J15*60/(2*PI())</f>
        <v>3999.7817317293984</v>
      </c>
      <c r="L15" s="9">
        <f>J15/(2*PI())</f>
        <v>66.663028862156636</v>
      </c>
    </row>
    <row r="16" spans="2:12" x14ac:dyDescent="0.25">
      <c r="I16" s="4" t="s">
        <v>12</v>
      </c>
      <c r="J16" s="12" cm="1">
        <f t="array" ref="J16">SQRT((C7*SUM(C10:C12*J10:J12))/SUM(C10:C12*(J10:J12)^2))</f>
        <v>45.835400442285135</v>
      </c>
      <c r="K16" s="8">
        <f t="shared" ref="K16:K17" si="0">J16*60/(2*PI())</f>
        <v>437.69583293916747</v>
      </c>
      <c r="L16" s="9">
        <f>J16/(2*PI())</f>
        <v>7.2949305489861249</v>
      </c>
    </row>
    <row r="17" spans="9:12" x14ac:dyDescent="0.25">
      <c r="I17" s="4" t="s">
        <v>28</v>
      </c>
      <c r="J17" s="12">
        <f>SQRT((((J15)^2)^-1+((J16)^2)^-1)^-1)</f>
        <v>45.563403487763182</v>
      </c>
      <c r="K17" s="8">
        <f t="shared" si="0"/>
        <v>435.09845335008094</v>
      </c>
      <c r="L17" s="9">
        <f>J17/(2*PI())</f>
        <v>7.2516408891680149</v>
      </c>
    </row>
  </sheetData>
  <phoneticPr fontId="2" type="noConversion"/>
  <dataValidations count="1">
    <dataValidation type="list" allowBlank="1" showInputMessage="1" showErrorMessage="1" sqref="D2" xr:uid="{049A5DF8-096D-48CD-99C3-E5F127C08A65}">
      <formula1>"English, Metric"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Whirling 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2025-01-13T08:32:02Z</dcterms:created>
  <dcterms:modified xsi:type="dcterms:W3CDTF">2025-02-08T07:54:34Z</dcterms:modified>
  <cp:category/>
  <cp:contentStatus/>
</cp:coreProperties>
</file>