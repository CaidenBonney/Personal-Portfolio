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3933" documentId="11_0B1D56BE9CDCCE836B02CE7A5FB0D4A9BBFD1C62" xr6:coauthVersionLast="47" xr6:coauthVersionMax="47" xr10:uidLastSave="{91C5306D-EF2F-4896-BBC1-426B13FDDD92}"/>
  <bookViews>
    <workbookView xWindow="10455" yWindow="0" windowWidth="28050" windowHeight="20985" tabRatio="773" xr2:uid="{00000000-000D-0000-FFFF-FFFF00000000}"/>
  </bookViews>
  <sheets>
    <sheet name="Calculating Stiffness" sheetId="2" r:id="rId1"/>
    <sheet name="Quiz on Spreadsheet 3 Q1" sheetId="12" r:id="rId2"/>
    <sheet name="Quiz on Spreadsheet 3 Q2" sheetId="13" r:id="rId3"/>
    <sheet name="Quiz on Spreadsheet 3 Q3" sheetId="14" r:id="rId4"/>
    <sheet name="Sample Quiz Q1" sheetId="4" r:id="rId5"/>
    <sheet name="Sample Quiz Q2" sheetId="8" r:id="rId6"/>
    <sheet name="Another Sample Quiz Q1" sheetId="9" r:id="rId7"/>
    <sheet name="Another Sample Quiz Q2" sheetId="10" r:id="rId8"/>
    <sheet name="Another Sample Quiz Q3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F9" i="14"/>
  <c r="F8" i="14"/>
  <c r="F7" i="14"/>
  <c r="F6" i="14"/>
  <c r="D34" i="14"/>
  <c r="D33" i="14"/>
  <c r="T31" i="14"/>
  <c r="S31" i="14"/>
  <c r="D31" i="14"/>
  <c r="D30" i="14"/>
  <c r="D28" i="14"/>
  <c r="AG27" i="14"/>
  <c r="AA27" i="14"/>
  <c r="D27" i="14"/>
  <c r="AG26" i="14"/>
  <c r="AA26" i="14"/>
  <c r="AG25" i="14"/>
  <c r="AA25" i="14"/>
  <c r="C25" i="14"/>
  <c r="AG24" i="14"/>
  <c r="AA24" i="14"/>
  <c r="AG23" i="14"/>
  <c r="AA23" i="14"/>
  <c r="AG22" i="14"/>
  <c r="AA22" i="14"/>
  <c r="D22" i="14"/>
  <c r="C22" i="14"/>
  <c r="C11" i="14" s="1"/>
  <c r="B22" i="14"/>
  <c r="AG21" i="14"/>
  <c r="AA21" i="14"/>
  <c r="D21" i="14"/>
  <c r="C21" i="14"/>
  <c r="AG20" i="14"/>
  <c r="AA20" i="14"/>
  <c r="D20" i="14"/>
  <c r="C20" i="14"/>
  <c r="AG19" i="14"/>
  <c r="AA19" i="14"/>
  <c r="D19" i="14"/>
  <c r="AG18" i="14"/>
  <c r="AA18" i="14"/>
  <c r="D18" i="14"/>
  <c r="AG17" i="14"/>
  <c r="AA17" i="14"/>
  <c r="K17" i="14"/>
  <c r="D17" i="14"/>
  <c r="C17" i="14"/>
  <c r="C18" i="14" s="1"/>
  <c r="AG16" i="14"/>
  <c r="AA16" i="14"/>
  <c r="K16" i="14"/>
  <c r="D16" i="14"/>
  <c r="C16" i="14"/>
  <c r="J13" i="14" s="1"/>
  <c r="AG15" i="14"/>
  <c r="AA15" i="14"/>
  <c r="D15" i="14"/>
  <c r="AG14" i="14"/>
  <c r="AA14" i="14"/>
  <c r="K14" i="14"/>
  <c r="AG13" i="14"/>
  <c r="AA13" i="14"/>
  <c r="Y13" i="14"/>
  <c r="X13" i="14"/>
  <c r="W13" i="14"/>
  <c r="K13" i="14"/>
  <c r="D13" i="14"/>
  <c r="AG12" i="14"/>
  <c r="AA12" i="14"/>
  <c r="Y12" i="14"/>
  <c r="X12" i="14"/>
  <c r="W12" i="14"/>
  <c r="K12" i="14"/>
  <c r="D12" i="14"/>
  <c r="C12" i="14"/>
  <c r="AG11" i="14"/>
  <c r="AA11" i="14"/>
  <c r="Y11" i="14"/>
  <c r="X11" i="14"/>
  <c r="W11" i="14"/>
  <c r="AG10" i="14"/>
  <c r="AA10" i="14"/>
  <c r="Y10" i="14"/>
  <c r="X10" i="14"/>
  <c r="W10" i="14"/>
  <c r="M10" i="14"/>
  <c r="N10" i="14" s="1"/>
  <c r="K10" i="14"/>
  <c r="J10" i="14"/>
  <c r="AG9" i="14"/>
  <c r="AA9" i="14"/>
  <c r="Y9" i="14"/>
  <c r="X9" i="14"/>
  <c r="W9" i="14"/>
  <c r="K9" i="14"/>
  <c r="G9" i="14"/>
  <c r="L10" i="14"/>
  <c r="D9" i="14"/>
  <c r="AG8" i="14"/>
  <c r="AA8" i="14"/>
  <c r="Y8" i="14"/>
  <c r="X8" i="14"/>
  <c r="W8" i="14"/>
  <c r="G8" i="14"/>
  <c r="L9" i="14"/>
  <c r="D8" i="14"/>
  <c r="AG7" i="14"/>
  <c r="AA7" i="14"/>
  <c r="Y7" i="14"/>
  <c r="X7" i="14"/>
  <c r="W7" i="14"/>
  <c r="G7" i="14"/>
  <c r="L7" i="14"/>
  <c r="D7" i="14"/>
  <c r="AG6" i="14"/>
  <c r="AE6" i="14"/>
  <c r="AD6" i="14"/>
  <c r="AC6" i="14"/>
  <c r="AA6" i="14"/>
  <c r="Y6" i="14"/>
  <c r="X6" i="14"/>
  <c r="W6" i="14"/>
  <c r="K6" i="14"/>
  <c r="J6" i="14"/>
  <c r="G6" i="14"/>
  <c r="L6" i="14"/>
  <c r="D6" i="14"/>
  <c r="M5" i="14"/>
  <c r="L5" i="14"/>
  <c r="K5" i="14"/>
  <c r="J5" i="14"/>
  <c r="F9" i="13"/>
  <c r="F8" i="13"/>
  <c r="F7" i="13"/>
  <c r="F6" i="13"/>
  <c r="D34" i="13"/>
  <c r="D33" i="13"/>
  <c r="T31" i="13"/>
  <c r="S31" i="13"/>
  <c r="D31" i="13"/>
  <c r="D30" i="13"/>
  <c r="D28" i="13"/>
  <c r="AG27" i="13"/>
  <c r="AA27" i="13"/>
  <c r="D27" i="13"/>
  <c r="AG26" i="13"/>
  <c r="AA26" i="13"/>
  <c r="AG25" i="13"/>
  <c r="AA25" i="13"/>
  <c r="C25" i="13"/>
  <c r="AG24" i="13"/>
  <c r="AA24" i="13"/>
  <c r="AG23" i="13"/>
  <c r="AA23" i="13"/>
  <c r="AG22" i="13"/>
  <c r="AA22" i="13"/>
  <c r="D22" i="13"/>
  <c r="C22" i="13"/>
  <c r="B22" i="13"/>
  <c r="AG21" i="13"/>
  <c r="AA21" i="13"/>
  <c r="D21" i="13"/>
  <c r="C21" i="13"/>
  <c r="AG20" i="13"/>
  <c r="AA20" i="13"/>
  <c r="D20" i="13"/>
  <c r="C20" i="13"/>
  <c r="AG19" i="13"/>
  <c r="AA19" i="13"/>
  <c r="D19" i="13"/>
  <c r="AG18" i="13"/>
  <c r="AA18" i="13"/>
  <c r="D18" i="13"/>
  <c r="AG17" i="13"/>
  <c r="AA17" i="13"/>
  <c r="K17" i="13"/>
  <c r="D17" i="13"/>
  <c r="C17" i="13"/>
  <c r="C18" i="13" s="1"/>
  <c r="AG16" i="13"/>
  <c r="AA16" i="13"/>
  <c r="K16" i="13"/>
  <c r="D16" i="13"/>
  <c r="C16" i="13"/>
  <c r="J14" i="13" s="1"/>
  <c r="AG15" i="13"/>
  <c r="AA15" i="13"/>
  <c r="D15" i="13"/>
  <c r="AG14" i="13"/>
  <c r="AA14" i="13"/>
  <c r="K14" i="13"/>
  <c r="AG13" i="13"/>
  <c r="AA13" i="13"/>
  <c r="Y13" i="13"/>
  <c r="X13" i="13"/>
  <c r="W13" i="13"/>
  <c r="K13" i="13"/>
  <c r="D13" i="13"/>
  <c r="AG12" i="13"/>
  <c r="AA12" i="13"/>
  <c r="Y12" i="13"/>
  <c r="X12" i="13"/>
  <c r="W12" i="13"/>
  <c r="K12" i="13"/>
  <c r="D12" i="13"/>
  <c r="C12" i="13"/>
  <c r="AG11" i="13"/>
  <c r="AA11" i="13"/>
  <c r="Y11" i="13"/>
  <c r="X11" i="13"/>
  <c r="W11" i="13"/>
  <c r="C11" i="13"/>
  <c r="AG10" i="13"/>
  <c r="AA10" i="13"/>
  <c r="Y10" i="13"/>
  <c r="X10" i="13"/>
  <c r="W10" i="13"/>
  <c r="K10" i="13"/>
  <c r="J10" i="13"/>
  <c r="AG9" i="13"/>
  <c r="AA9" i="13"/>
  <c r="Y9" i="13"/>
  <c r="X9" i="13"/>
  <c r="W9" i="13"/>
  <c r="K9" i="13"/>
  <c r="G9" i="13"/>
  <c r="L10" i="13"/>
  <c r="M10" i="13" s="1"/>
  <c r="N10" i="13" s="1"/>
  <c r="D9" i="13"/>
  <c r="AG8" i="13"/>
  <c r="AA8" i="13"/>
  <c r="Y8" i="13"/>
  <c r="X8" i="13"/>
  <c r="W8" i="13"/>
  <c r="G8" i="13"/>
  <c r="L9" i="13"/>
  <c r="D8" i="13"/>
  <c r="AG7" i="13"/>
  <c r="AA7" i="13"/>
  <c r="Y7" i="13"/>
  <c r="X7" i="13"/>
  <c r="W7" i="13"/>
  <c r="G7" i="13"/>
  <c r="L7" i="13"/>
  <c r="D7" i="13"/>
  <c r="AG6" i="13"/>
  <c r="AE6" i="13"/>
  <c r="AD6" i="13"/>
  <c r="AC6" i="13"/>
  <c r="AA6" i="13"/>
  <c r="Y6" i="13"/>
  <c r="X6" i="13"/>
  <c r="W6" i="13"/>
  <c r="K6" i="13"/>
  <c r="J6" i="13"/>
  <c r="G6" i="13"/>
  <c r="L6" i="13"/>
  <c r="D6" i="13"/>
  <c r="M5" i="13"/>
  <c r="L5" i="13"/>
  <c r="K5" i="13"/>
  <c r="J5" i="13"/>
  <c r="F9" i="12"/>
  <c r="F8" i="12"/>
  <c r="F7" i="12"/>
  <c r="F6" i="12"/>
  <c r="D34" i="12"/>
  <c r="D33" i="12"/>
  <c r="T31" i="12"/>
  <c r="S31" i="12"/>
  <c r="D31" i="12"/>
  <c r="D30" i="12"/>
  <c r="D28" i="12"/>
  <c r="AG27" i="12"/>
  <c r="AA27" i="12"/>
  <c r="D27" i="12"/>
  <c r="AG26" i="12"/>
  <c r="AA26" i="12"/>
  <c r="AG25" i="12"/>
  <c r="AA25" i="12"/>
  <c r="C25" i="12"/>
  <c r="AG24" i="12"/>
  <c r="AA24" i="12"/>
  <c r="AG23" i="12"/>
  <c r="AA23" i="12"/>
  <c r="AG22" i="12"/>
  <c r="AA22" i="12"/>
  <c r="D22" i="12"/>
  <c r="C22" i="12"/>
  <c r="B22" i="12"/>
  <c r="AG21" i="12"/>
  <c r="AA21" i="12"/>
  <c r="D21" i="12"/>
  <c r="C21" i="12"/>
  <c r="AG20" i="12"/>
  <c r="AA20" i="12"/>
  <c r="D20" i="12"/>
  <c r="C20" i="12"/>
  <c r="AG19" i="12"/>
  <c r="AA19" i="12"/>
  <c r="D19" i="12"/>
  <c r="AG18" i="12"/>
  <c r="AA18" i="12"/>
  <c r="D18" i="12"/>
  <c r="AG17" i="12"/>
  <c r="AA17" i="12"/>
  <c r="K17" i="12"/>
  <c r="D17" i="12"/>
  <c r="C17" i="12"/>
  <c r="C18" i="12" s="1"/>
  <c r="C27" i="12" s="1"/>
  <c r="AG16" i="12"/>
  <c r="AA16" i="12"/>
  <c r="K16" i="12"/>
  <c r="D16" i="12"/>
  <c r="C16" i="12"/>
  <c r="J14" i="12" s="1"/>
  <c r="AG15" i="12"/>
  <c r="AA15" i="12"/>
  <c r="D15" i="12"/>
  <c r="AG14" i="12"/>
  <c r="AA14" i="12"/>
  <c r="K14" i="12"/>
  <c r="AG13" i="12"/>
  <c r="AA13" i="12"/>
  <c r="Y13" i="12"/>
  <c r="X13" i="12"/>
  <c r="W13" i="12"/>
  <c r="K13" i="12"/>
  <c r="D13" i="12"/>
  <c r="AG12" i="12"/>
  <c r="AA12" i="12"/>
  <c r="Y12" i="12"/>
  <c r="X12" i="12"/>
  <c r="W12" i="12"/>
  <c r="K12" i="12"/>
  <c r="D12" i="12"/>
  <c r="C12" i="12"/>
  <c r="AG11" i="12"/>
  <c r="AA11" i="12"/>
  <c r="Y11" i="12"/>
  <c r="X11" i="12"/>
  <c r="W11" i="12"/>
  <c r="C11" i="12"/>
  <c r="AG10" i="12"/>
  <c r="AA10" i="12"/>
  <c r="Y10" i="12"/>
  <c r="X10" i="12"/>
  <c r="W10" i="12"/>
  <c r="K10" i="12"/>
  <c r="J10" i="12"/>
  <c r="AG9" i="12"/>
  <c r="AA9" i="12"/>
  <c r="Y9" i="12"/>
  <c r="X9" i="12"/>
  <c r="W9" i="12"/>
  <c r="K9" i="12"/>
  <c r="G9" i="12"/>
  <c r="L10" i="12"/>
  <c r="M10" i="12" s="1"/>
  <c r="N10" i="12" s="1"/>
  <c r="D9" i="12"/>
  <c r="AG8" i="12"/>
  <c r="AA8" i="12"/>
  <c r="Y8" i="12"/>
  <c r="X8" i="12"/>
  <c r="W8" i="12"/>
  <c r="G8" i="12"/>
  <c r="L9" i="12"/>
  <c r="D8" i="12"/>
  <c r="AG7" i="12"/>
  <c r="AA7" i="12"/>
  <c r="Y7" i="12"/>
  <c r="X7" i="12"/>
  <c r="W7" i="12"/>
  <c r="G7" i="12"/>
  <c r="L7" i="12"/>
  <c r="D7" i="12"/>
  <c r="AG6" i="12"/>
  <c r="AE6" i="12"/>
  <c r="AD6" i="12"/>
  <c r="AC6" i="12"/>
  <c r="AA6" i="12"/>
  <c r="Y6" i="12"/>
  <c r="X6" i="12"/>
  <c r="W6" i="12"/>
  <c r="K6" i="12"/>
  <c r="J6" i="12"/>
  <c r="G6" i="12"/>
  <c r="L6" i="12"/>
  <c r="D6" i="12"/>
  <c r="M5" i="12"/>
  <c r="L5" i="12"/>
  <c r="K5" i="12"/>
  <c r="J5" i="12"/>
  <c r="F8" i="11"/>
  <c r="F7" i="11"/>
  <c r="F9" i="11"/>
  <c r="F6" i="11"/>
  <c r="C12" i="11"/>
  <c r="D34" i="11"/>
  <c r="D33" i="11"/>
  <c r="T31" i="11"/>
  <c r="S31" i="11"/>
  <c r="D31" i="11"/>
  <c r="D30" i="11"/>
  <c r="D28" i="11"/>
  <c r="AG27" i="11"/>
  <c r="AA27" i="11"/>
  <c r="D27" i="11"/>
  <c r="AG26" i="11"/>
  <c r="AA26" i="11"/>
  <c r="AG25" i="11"/>
  <c r="AA25" i="11"/>
  <c r="C25" i="11"/>
  <c r="C16" i="11" s="1"/>
  <c r="J14" i="11" s="1"/>
  <c r="AG24" i="11"/>
  <c r="AA24" i="11"/>
  <c r="AG23" i="11"/>
  <c r="AA23" i="11"/>
  <c r="AG22" i="11"/>
  <c r="AA22" i="11"/>
  <c r="D22" i="11"/>
  <c r="C22" i="11"/>
  <c r="C11" i="11" s="1"/>
  <c r="B22" i="11"/>
  <c r="AG21" i="11"/>
  <c r="AA21" i="11"/>
  <c r="D21" i="11"/>
  <c r="C21" i="11"/>
  <c r="AG20" i="11"/>
  <c r="AA20" i="11"/>
  <c r="D20" i="11"/>
  <c r="C20" i="11"/>
  <c r="AG19" i="11"/>
  <c r="AA19" i="11"/>
  <c r="D19" i="11"/>
  <c r="AG18" i="11"/>
  <c r="AA18" i="11"/>
  <c r="D18" i="11"/>
  <c r="AG17" i="11"/>
  <c r="AA17" i="11"/>
  <c r="K17" i="11"/>
  <c r="D17" i="11"/>
  <c r="C17" i="11"/>
  <c r="C18" i="11" s="1"/>
  <c r="AG16" i="11"/>
  <c r="AA16" i="11"/>
  <c r="K16" i="11"/>
  <c r="D16" i="11"/>
  <c r="AG15" i="11"/>
  <c r="AA15" i="11"/>
  <c r="D15" i="11"/>
  <c r="AG14" i="11"/>
  <c r="AA14" i="11"/>
  <c r="K14" i="11"/>
  <c r="AG13" i="11"/>
  <c r="AA13" i="11"/>
  <c r="Y13" i="11"/>
  <c r="X13" i="11"/>
  <c r="W13" i="11"/>
  <c r="K13" i="11"/>
  <c r="D13" i="11"/>
  <c r="K5" i="11" s="1"/>
  <c r="AG12" i="11"/>
  <c r="AA12" i="11"/>
  <c r="Y12" i="11"/>
  <c r="X12" i="11"/>
  <c r="W12" i="11"/>
  <c r="K12" i="11"/>
  <c r="D12" i="11"/>
  <c r="AG11" i="11"/>
  <c r="AA11" i="11"/>
  <c r="Y11" i="11"/>
  <c r="X11" i="11"/>
  <c r="W11" i="11"/>
  <c r="AG10" i="11"/>
  <c r="AA10" i="11"/>
  <c r="Y10" i="11"/>
  <c r="X10" i="11"/>
  <c r="W10" i="11"/>
  <c r="K10" i="11"/>
  <c r="J10" i="11"/>
  <c r="AG9" i="11"/>
  <c r="AA9" i="11"/>
  <c r="Y9" i="11"/>
  <c r="X9" i="11"/>
  <c r="W9" i="11"/>
  <c r="K9" i="11"/>
  <c r="G9" i="11"/>
  <c r="L10" i="11"/>
  <c r="M10" i="11" s="1"/>
  <c r="N10" i="11" s="1"/>
  <c r="D9" i="11"/>
  <c r="AG8" i="11"/>
  <c r="AA8" i="11"/>
  <c r="Y8" i="11"/>
  <c r="X8" i="11"/>
  <c r="W8" i="11"/>
  <c r="G8" i="11"/>
  <c r="L9" i="11"/>
  <c r="D8" i="11"/>
  <c r="AG7" i="11"/>
  <c r="AA7" i="11"/>
  <c r="Y7" i="11"/>
  <c r="X7" i="11"/>
  <c r="W7" i="11"/>
  <c r="G7" i="11"/>
  <c r="L7" i="11"/>
  <c r="D7" i="11"/>
  <c r="AG6" i="11"/>
  <c r="AE6" i="11"/>
  <c r="AD6" i="11"/>
  <c r="AC6" i="11"/>
  <c r="AA6" i="11"/>
  <c r="Y6" i="11"/>
  <c r="X6" i="11"/>
  <c r="W6" i="11"/>
  <c r="K6" i="11"/>
  <c r="J6" i="11"/>
  <c r="G6" i="11"/>
  <c r="L6" i="11"/>
  <c r="D6" i="11"/>
  <c r="M5" i="11"/>
  <c r="L5" i="11"/>
  <c r="J5" i="11"/>
  <c r="F8" i="10"/>
  <c r="D34" i="10"/>
  <c r="D33" i="10"/>
  <c r="T31" i="10"/>
  <c r="S31" i="10"/>
  <c r="D31" i="10"/>
  <c r="D30" i="10"/>
  <c r="D28" i="10"/>
  <c r="AG27" i="10"/>
  <c r="AA27" i="10"/>
  <c r="D27" i="10"/>
  <c r="AG26" i="10"/>
  <c r="AA26" i="10"/>
  <c r="AG25" i="10"/>
  <c r="AA25" i="10"/>
  <c r="C25" i="10"/>
  <c r="AG24" i="10"/>
  <c r="AA24" i="10"/>
  <c r="AG23" i="10"/>
  <c r="AA23" i="10"/>
  <c r="AG22" i="10"/>
  <c r="AA22" i="10"/>
  <c r="D22" i="10"/>
  <c r="C22" i="10"/>
  <c r="B22" i="10"/>
  <c r="AG21" i="10"/>
  <c r="AA21" i="10"/>
  <c r="D21" i="10"/>
  <c r="C21" i="10"/>
  <c r="AG20" i="10"/>
  <c r="AA20" i="10"/>
  <c r="D20" i="10"/>
  <c r="C20" i="10"/>
  <c r="AG19" i="10"/>
  <c r="AA19" i="10"/>
  <c r="D19" i="10"/>
  <c r="AG18" i="10"/>
  <c r="AA18" i="10"/>
  <c r="D18" i="10"/>
  <c r="AG17" i="10"/>
  <c r="AA17" i="10"/>
  <c r="K17" i="10"/>
  <c r="D17" i="10"/>
  <c r="C17" i="10"/>
  <c r="C18" i="10" s="1"/>
  <c r="AG16" i="10"/>
  <c r="AA16" i="10"/>
  <c r="K16" i="10"/>
  <c r="D16" i="10"/>
  <c r="C16" i="10"/>
  <c r="J14" i="10" s="1"/>
  <c r="AG15" i="10"/>
  <c r="AA15" i="10"/>
  <c r="D15" i="10"/>
  <c r="AG14" i="10"/>
  <c r="AA14" i="10"/>
  <c r="K14" i="10"/>
  <c r="AG13" i="10"/>
  <c r="AA13" i="10"/>
  <c r="Y13" i="10"/>
  <c r="X13" i="10"/>
  <c r="W13" i="10"/>
  <c r="K13" i="10"/>
  <c r="D13" i="10"/>
  <c r="AG12" i="10"/>
  <c r="AA12" i="10"/>
  <c r="Y12" i="10"/>
  <c r="X12" i="10"/>
  <c r="W12" i="10"/>
  <c r="K12" i="10"/>
  <c r="D12" i="10"/>
  <c r="C12" i="10"/>
  <c r="AG11" i="10"/>
  <c r="AA11" i="10"/>
  <c r="Y11" i="10"/>
  <c r="X11" i="10"/>
  <c r="W11" i="10"/>
  <c r="C11" i="10"/>
  <c r="AG10" i="10"/>
  <c r="AA10" i="10"/>
  <c r="Y10" i="10"/>
  <c r="X10" i="10"/>
  <c r="W10" i="10"/>
  <c r="K10" i="10"/>
  <c r="J10" i="10"/>
  <c r="AG9" i="10"/>
  <c r="AA9" i="10"/>
  <c r="Y9" i="10"/>
  <c r="X9" i="10"/>
  <c r="W9" i="10"/>
  <c r="K9" i="10"/>
  <c r="G9" i="10"/>
  <c r="F9" i="10"/>
  <c r="L10" i="10" s="1"/>
  <c r="M10" i="10" s="1"/>
  <c r="N10" i="10" s="1"/>
  <c r="D9" i="10"/>
  <c r="AG8" i="10"/>
  <c r="AA8" i="10"/>
  <c r="Y8" i="10"/>
  <c r="X8" i="10"/>
  <c r="W8" i="10"/>
  <c r="G8" i="10"/>
  <c r="L9" i="10"/>
  <c r="D8" i="10"/>
  <c r="AG7" i="10"/>
  <c r="AA7" i="10"/>
  <c r="Y7" i="10"/>
  <c r="X7" i="10"/>
  <c r="W7" i="10"/>
  <c r="G7" i="10"/>
  <c r="F7" i="10"/>
  <c r="L7" i="10" s="1"/>
  <c r="D7" i="10"/>
  <c r="AG6" i="10"/>
  <c r="AE6" i="10"/>
  <c r="AD6" i="10"/>
  <c r="AC6" i="10"/>
  <c r="AA6" i="10"/>
  <c r="Y6" i="10"/>
  <c r="X6" i="10"/>
  <c r="W6" i="10"/>
  <c r="K6" i="10"/>
  <c r="J6" i="10"/>
  <c r="G6" i="10"/>
  <c r="F6" i="10"/>
  <c r="L6" i="10" s="1"/>
  <c r="M6" i="10" s="1"/>
  <c r="N6" i="10" s="1"/>
  <c r="D6" i="10"/>
  <c r="M5" i="10"/>
  <c r="L5" i="10"/>
  <c r="K5" i="10"/>
  <c r="J5" i="10"/>
  <c r="D34" i="9"/>
  <c r="D33" i="9"/>
  <c r="T31" i="9"/>
  <c r="S31" i="9"/>
  <c r="D31" i="9"/>
  <c r="D30" i="9"/>
  <c r="D28" i="9"/>
  <c r="AG27" i="9"/>
  <c r="AA27" i="9"/>
  <c r="D27" i="9"/>
  <c r="AG26" i="9"/>
  <c r="AA26" i="9"/>
  <c r="AG25" i="9"/>
  <c r="AA25" i="9"/>
  <c r="C25" i="9"/>
  <c r="AG24" i="9"/>
  <c r="AA24" i="9"/>
  <c r="AG23" i="9"/>
  <c r="AA23" i="9"/>
  <c r="AG22" i="9"/>
  <c r="AA22" i="9"/>
  <c r="D22" i="9"/>
  <c r="C22" i="9"/>
  <c r="C11" i="9" s="1"/>
  <c r="B22" i="9"/>
  <c r="AG21" i="9"/>
  <c r="AA21" i="9"/>
  <c r="D21" i="9"/>
  <c r="C21" i="9"/>
  <c r="AG20" i="9"/>
  <c r="AA20" i="9"/>
  <c r="D20" i="9"/>
  <c r="C20" i="9"/>
  <c r="AG19" i="9"/>
  <c r="AA19" i="9"/>
  <c r="D19" i="9"/>
  <c r="AG18" i="9"/>
  <c r="AA18" i="9"/>
  <c r="D18" i="9"/>
  <c r="AG17" i="9"/>
  <c r="AA17" i="9"/>
  <c r="K17" i="9"/>
  <c r="D17" i="9"/>
  <c r="C17" i="9"/>
  <c r="C18" i="9" s="1"/>
  <c r="C27" i="9" s="1"/>
  <c r="AG16" i="9"/>
  <c r="AA16" i="9"/>
  <c r="K16" i="9"/>
  <c r="D16" i="9"/>
  <c r="C16" i="9"/>
  <c r="J14" i="9" s="1"/>
  <c r="AG15" i="9"/>
  <c r="AA15" i="9"/>
  <c r="D15" i="9"/>
  <c r="AG14" i="9"/>
  <c r="AA14" i="9"/>
  <c r="K14" i="9"/>
  <c r="AG13" i="9"/>
  <c r="AA13" i="9"/>
  <c r="Y13" i="9"/>
  <c r="X13" i="9"/>
  <c r="W13" i="9"/>
  <c r="K13" i="9"/>
  <c r="D13" i="9"/>
  <c r="AG12" i="9"/>
  <c r="AA12" i="9"/>
  <c r="Y12" i="9"/>
  <c r="X12" i="9"/>
  <c r="W12" i="9"/>
  <c r="K12" i="9"/>
  <c r="D12" i="9"/>
  <c r="C12" i="9"/>
  <c r="AG11" i="9"/>
  <c r="AA11" i="9"/>
  <c r="Y11" i="9"/>
  <c r="X11" i="9"/>
  <c r="W11" i="9"/>
  <c r="AG10" i="9"/>
  <c r="AA10" i="9"/>
  <c r="Y10" i="9"/>
  <c r="X10" i="9"/>
  <c r="W10" i="9"/>
  <c r="K10" i="9"/>
  <c r="J10" i="9"/>
  <c r="AG9" i="9"/>
  <c r="AA9" i="9"/>
  <c r="Y9" i="9"/>
  <c r="X9" i="9"/>
  <c r="W9" i="9"/>
  <c r="K9" i="9"/>
  <c r="G9" i="9"/>
  <c r="F9" i="9"/>
  <c r="L10" i="9" s="1"/>
  <c r="M10" i="9" s="1"/>
  <c r="N10" i="9" s="1"/>
  <c r="D9" i="9"/>
  <c r="AG8" i="9"/>
  <c r="AA8" i="9"/>
  <c r="Y8" i="9"/>
  <c r="X8" i="9"/>
  <c r="W8" i="9"/>
  <c r="G8" i="9"/>
  <c r="F8" i="9"/>
  <c r="L9" i="9" s="1"/>
  <c r="D8" i="9"/>
  <c r="AG7" i="9"/>
  <c r="AA7" i="9"/>
  <c r="Y7" i="9"/>
  <c r="X7" i="9"/>
  <c r="W7" i="9"/>
  <c r="G7" i="9"/>
  <c r="F7" i="9"/>
  <c r="L7" i="9" s="1"/>
  <c r="D7" i="9"/>
  <c r="AG6" i="9"/>
  <c r="AE6" i="9"/>
  <c r="AD6" i="9"/>
  <c r="AC6" i="9"/>
  <c r="AA6" i="9"/>
  <c r="Y6" i="9"/>
  <c r="X6" i="9"/>
  <c r="W6" i="9"/>
  <c r="L6" i="9"/>
  <c r="K6" i="9"/>
  <c r="K7" i="9" s="1"/>
  <c r="J6" i="9"/>
  <c r="M6" i="9" s="1"/>
  <c r="N6" i="9" s="1"/>
  <c r="G6" i="9"/>
  <c r="F6" i="9"/>
  <c r="D6" i="9"/>
  <c r="M5" i="9"/>
  <c r="L5" i="9"/>
  <c r="K5" i="9"/>
  <c r="J5" i="9"/>
  <c r="F7" i="2"/>
  <c r="D34" i="2"/>
  <c r="D33" i="2"/>
  <c r="D31" i="2"/>
  <c r="D30" i="2"/>
  <c r="D28" i="2"/>
  <c r="D27" i="2"/>
  <c r="K16" i="2"/>
  <c r="K17" i="2"/>
  <c r="K7" i="14" l="1"/>
  <c r="C27" i="14"/>
  <c r="M6" i="14"/>
  <c r="N6" i="14" s="1"/>
  <c r="C28" i="14"/>
  <c r="C19" i="14"/>
  <c r="C30" i="14" s="1"/>
  <c r="C31" i="14" s="1"/>
  <c r="J14" i="14"/>
  <c r="C27" i="13"/>
  <c r="K7" i="13"/>
  <c r="C28" i="13"/>
  <c r="J7" i="13"/>
  <c r="J8" i="13"/>
  <c r="J13" i="13"/>
  <c r="M6" i="13"/>
  <c r="N6" i="13" s="1"/>
  <c r="C19" i="13"/>
  <c r="C30" i="13" s="1"/>
  <c r="C31" i="13" s="1"/>
  <c r="K7" i="12"/>
  <c r="J7" i="12"/>
  <c r="J9" i="12" s="1"/>
  <c r="M9" i="12" s="1"/>
  <c r="N9" i="12" s="1"/>
  <c r="J8" i="12"/>
  <c r="C28" i="12"/>
  <c r="C19" i="12"/>
  <c r="C30" i="12" s="1"/>
  <c r="C31" i="12" s="1"/>
  <c r="M6" i="12"/>
  <c r="N6" i="12" s="1"/>
  <c r="J13" i="12"/>
  <c r="K7" i="11"/>
  <c r="C27" i="11"/>
  <c r="M6" i="11"/>
  <c r="N6" i="11" s="1"/>
  <c r="J7" i="11"/>
  <c r="J8" i="11"/>
  <c r="C28" i="11"/>
  <c r="C19" i="11"/>
  <c r="C30" i="11" s="1"/>
  <c r="C31" i="11" s="1"/>
  <c r="J9" i="11"/>
  <c r="M9" i="11" s="1"/>
  <c r="N9" i="11" s="1"/>
  <c r="J13" i="11"/>
  <c r="K7" i="10"/>
  <c r="C27" i="10"/>
  <c r="J7" i="10"/>
  <c r="J8" i="10"/>
  <c r="C28" i="10"/>
  <c r="C19" i="10"/>
  <c r="C30" i="10" s="1"/>
  <c r="C31" i="10" s="1"/>
  <c r="J9" i="10"/>
  <c r="M9" i="10" s="1"/>
  <c r="N9" i="10" s="1"/>
  <c r="J13" i="10"/>
  <c r="J8" i="9"/>
  <c r="J7" i="9"/>
  <c r="C28" i="9"/>
  <c r="J9" i="9"/>
  <c r="M9" i="9" s="1"/>
  <c r="N9" i="9" s="1"/>
  <c r="C19" i="9"/>
  <c r="C30" i="9" s="1"/>
  <c r="C31" i="9" s="1"/>
  <c r="J13" i="9"/>
  <c r="B22" i="2"/>
  <c r="AE6" i="2"/>
  <c r="AD6" i="2"/>
  <c r="AC6" i="2"/>
  <c r="Y6" i="2"/>
  <c r="X6" i="2"/>
  <c r="W6" i="2"/>
  <c r="Y9" i="2"/>
  <c r="Y13" i="2"/>
  <c r="X13" i="2"/>
  <c r="W13" i="2"/>
  <c r="Y12" i="2"/>
  <c r="X12" i="2"/>
  <c r="W12" i="2"/>
  <c r="Y11" i="2"/>
  <c r="X11" i="2"/>
  <c r="W11" i="2"/>
  <c r="Y10" i="2"/>
  <c r="X10" i="2"/>
  <c r="W10" i="2"/>
  <c r="X9" i="2"/>
  <c r="W9" i="2"/>
  <c r="Y8" i="2"/>
  <c r="X8" i="2"/>
  <c r="W8" i="2"/>
  <c r="Y7" i="2"/>
  <c r="X7" i="2"/>
  <c r="W7" i="2"/>
  <c r="T31" i="2"/>
  <c r="S31" i="2"/>
  <c r="C22" i="2"/>
  <c r="C21" i="2"/>
  <c r="AG27" i="2"/>
  <c r="AA27" i="2"/>
  <c r="AG26" i="2"/>
  <c r="AA26" i="2"/>
  <c r="AG25" i="2"/>
  <c r="AA25" i="2"/>
  <c r="AG24" i="2"/>
  <c r="AA24" i="2"/>
  <c r="AG23" i="2"/>
  <c r="AA23" i="2"/>
  <c r="AG22" i="2"/>
  <c r="AA22" i="2"/>
  <c r="AG21" i="2"/>
  <c r="AA21" i="2"/>
  <c r="AG20" i="2"/>
  <c r="AA20" i="2"/>
  <c r="AG19" i="2"/>
  <c r="AA19" i="2"/>
  <c r="AG18" i="2"/>
  <c r="AA18" i="2"/>
  <c r="AG17" i="2"/>
  <c r="AA17" i="2"/>
  <c r="AG16" i="2"/>
  <c r="AA16" i="2"/>
  <c r="AG15" i="2"/>
  <c r="AA15" i="2"/>
  <c r="AG14" i="2"/>
  <c r="AA14" i="2"/>
  <c r="AG13" i="2"/>
  <c r="AA13" i="2"/>
  <c r="AG12" i="2"/>
  <c r="AA12" i="2"/>
  <c r="AG11" i="2"/>
  <c r="AA11" i="2"/>
  <c r="AG10" i="2"/>
  <c r="AA10" i="2"/>
  <c r="AG9" i="2"/>
  <c r="AA9" i="2"/>
  <c r="AG8" i="2"/>
  <c r="AA8" i="2"/>
  <c r="AG7" i="2"/>
  <c r="AA7" i="2"/>
  <c r="AG6" i="2"/>
  <c r="AA6" i="2"/>
  <c r="C17" i="2"/>
  <c r="G9" i="2"/>
  <c r="G8" i="2"/>
  <c r="G7" i="2"/>
  <c r="G6" i="2"/>
  <c r="K13" i="2"/>
  <c r="K14" i="2"/>
  <c r="D17" i="2"/>
  <c r="K12" i="2"/>
  <c r="M5" i="2"/>
  <c r="D21" i="2"/>
  <c r="D20" i="2"/>
  <c r="D19" i="2"/>
  <c r="D18" i="2"/>
  <c r="D16" i="2"/>
  <c r="D15" i="2"/>
  <c r="D22" i="2"/>
  <c r="D13" i="2"/>
  <c r="D12" i="2"/>
  <c r="D7" i="2"/>
  <c r="D8" i="2"/>
  <c r="D9" i="2"/>
  <c r="D6" i="2"/>
  <c r="F9" i="8"/>
  <c r="D32" i="8"/>
  <c r="D31" i="8"/>
  <c r="D29" i="8"/>
  <c r="D28" i="8"/>
  <c r="D26" i="8"/>
  <c r="D25" i="8"/>
  <c r="C23" i="8"/>
  <c r="D20" i="8"/>
  <c r="D19" i="8"/>
  <c r="C19" i="8"/>
  <c r="D18" i="8"/>
  <c r="K17" i="8"/>
  <c r="D17" i="8"/>
  <c r="K16" i="8"/>
  <c r="D16" i="8"/>
  <c r="C16" i="8"/>
  <c r="C17" i="8" s="1"/>
  <c r="C25" i="8" s="1"/>
  <c r="D15" i="8"/>
  <c r="C15" i="8"/>
  <c r="J13" i="8" s="1"/>
  <c r="K14" i="8"/>
  <c r="D14" i="8"/>
  <c r="K13" i="8"/>
  <c r="D13" i="8"/>
  <c r="K12" i="8"/>
  <c r="D12" i="8"/>
  <c r="C12" i="8"/>
  <c r="K10" i="8"/>
  <c r="J10" i="8"/>
  <c r="K9" i="8"/>
  <c r="G9" i="8"/>
  <c r="L10" i="8"/>
  <c r="D9" i="8"/>
  <c r="G8" i="8"/>
  <c r="F8" i="8"/>
  <c r="L9" i="8" s="1"/>
  <c r="D8" i="8"/>
  <c r="L7" i="8"/>
  <c r="K7" i="8"/>
  <c r="G7" i="8"/>
  <c r="F7" i="8"/>
  <c r="D7" i="8"/>
  <c r="K6" i="8"/>
  <c r="J6" i="8"/>
  <c r="M6" i="8" s="1"/>
  <c r="N6" i="8" s="1"/>
  <c r="G6" i="8"/>
  <c r="F6" i="8"/>
  <c r="L6" i="8" s="1"/>
  <c r="D6" i="8"/>
  <c r="M5" i="8"/>
  <c r="L5" i="8"/>
  <c r="K5" i="8"/>
  <c r="J5" i="8"/>
  <c r="F8" i="2"/>
  <c r="J7" i="14" l="1"/>
  <c r="J8" i="14"/>
  <c r="C33" i="14"/>
  <c r="J9" i="13"/>
  <c r="M9" i="13" s="1"/>
  <c r="N9" i="13" s="1"/>
  <c r="K8" i="13"/>
  <c r="M7" i="13"/>
  <c r="N7" i="13" s="1"/>
  <c r="L8" i="13"/>
  <c r="M8" i="13" s="1"/>
  <c r="N8" i="13" s="1"/>
  <c r="C33" i="13"/>
  <c r="J12" i="13"/>
  <c r="C33" i="12"/>
  <c r="L8" i="12"/>
  <c r="M8" i="12" s="1"/>
  <c r="N8" i="12" s="1"/>
  <c r="M7" i="12"/>
  <c r="N7" i="12" s="1"/>
  <c r="K8" i="12"/>
  <c r="J12" i="12"/>
  <c r="J12" i="11"/>
  <c r="C33" i="11"/>
  <c r="K8" i="11"/>
  <c r="M7" i="11"/>
  <c r="N7" i="11" s="1"/>
  <c r="L8" i="11"/>
  <c r="C33" i="10"/>
  <c r="L8" i="10"/>
  <c r="M7" i="10"/>
  <c r="N7" i="10" s="1"/>
  <c r="K8" i="10"/>
  <c r="J12" i="10"/>
  <c r="J12" i="9"/>
  <c r="C33" i="9"/>
  <c r="K8" i="9"/>
  <c r="M7" i="9"/>
  <c r="N7" i="9" s="1"/>
  <c r="L8" i="9"/>
  <c r="M8" i="9"/>
  <c r="N8" i="9" s="1"/>
  <c r="M10" i="8"/>
  <c r="N10" i="8" s="1"/>
  <c r="C26" i="8"/>
  <c r="J14" i="8"/>
  <c r="C18" i="8"/>
  <c r="C28" i="8" s="1"/>
  <c r="C29" i="8" s="1"/>
  <c r="C34" i="14" l="1"/>
  <c r="K8" i="14"/>
  <c r="M7" i="14"/>
  <c r="N7" i="14" s="1"/>
  <c r="L8" i="14"/>
  <c r="M8" i="14" s="1"/>
  <c r="N8" i="14" s="1"/>
  <c r="J9" i="14"/>
  <c r="M9" i="14" s="1"/>
  <c r="N9" i="14" s="1"/>
  <c r="J16" i="13"/>
  <c r="J17" i="13" s="1"/>
  <c r="C34" i="13"/>
  <c r="J16" i="12"/>
  <c r="J17" i="12" s="1"/>
  <c r="C34" i="12"/>
  <c r="J19" i="12"/>
  <c r="M8" i="11"/>
  <c r="N8" i="11" s="1"/>
  <c r="J16" i="11" s="1"/>
  <c r="J19" i="11" s="1"/>
  <c r="C34" i="11"/>
  <c r="M8" i="10"/>
  <c r="N8" i="10" s="1"/>
  <c r="J16" i="10" s="1"/>
  <c r="C34" i="10"/>
  <c r="J16" i="9"/>
  <c r="J17" i="9" s="1"/>
  <c r="J19" i="9"/>
  <c r="C34" i="9"/>
  <c r="J8" i="8"/>
  <c r="J7" i="8"/>
  <c r="C31" i="8"/>
  <c r="J16" i="14" l="1"/>
  <c r="J12" i="14"/>
  <c r="J19" i="13"/>
  <c r="J17" i="11"/>
  <c r="J17" i="10"/>
  <c r="J19" i="10"/>
  <c r="C32" i="8"/>
  <c r="K8" i="8"/>
  <c r="M7" i="8"/>
  <c r="N7" i="8" s="1"/>
  <c r="L8" i="8"/>
  <c r="M8" i="8" s="1"/>
  <c r="N8" i="8" s="1"/>
  <c r="J9" i="8"/>
  <c r="M9" i="8" s="1"/>
  <c r="N9" i="8" s="1"/>
  <c r="J17" i="14" l="1"/>
  <c r="J19" i="14"/>
  <c r="J16" i="8"/>
  <c r="J12" i="8"/>
  <c r="J17" i="8" l="1"/>
  <c r="J19" i="8"/>
  <c r="F6" i="2" l="1"/>
  <c r="C12" i="2"/>
  <c r="D32" i="4"/>
  <c r="D31" i="4"/>
  <c r="D29" i="4"/>
  <c r="D28" i="4"/>
  <c r="D26" i="4"/>
  <c r="D25" i="4"/>
  <c r="C23" i="4"/>
  <c r="D20" i="4"/>
  <c r="D19" i="4"/>
  <c r="C19" i="4"/>
  <c r="D18" i="4"/>
  <c r="K17" i="4"/>
  <c r="D17" i="4"/>
  <c r="K16" i="4"/>
  <c r="D16" i="4"/>
  <c r="C16" i="4"/>
  <c r="C17" i="4" s="1"/>
  <c r="C25" i="4" s="1"/>
  <c r="D15" i="4"/>
  <c r="K14" i="4"/>
  <c r="D14" i="4"/>
  <c r="K5" i="4" s="1"/>
  <c r="K13" i="4"/>
  <c r="D13" i="4"/>
  <c r="K12" i="4"/>
  <c r="D12" i="4"/>
  <c r="C12" i="4"/>
  <c r="K10" i="4"/>
  <c r="K9" i="4" s="1"/>
  <c r="J10" i="4"/>
  <c r="M10" i="4" s="1"/>
  <c r="N10" i="4" s="1"/>
  <c r="G9" i="4"/>
  <c r="F9" i="4"/>
  <c r="L10" i="4" s="1"/>
  <c r="D9" i="4"/>
  <c r="G8" i="4"/>
  <c r="F8" i="4"/>
  <c r="L9" i="4" s="1"/>
  <c r="D8" i="4"/>
  <c r="L7" i="4"/>
  <c r="K7" i="4"/>
  <c r="G7" i="4"/>
  <c r="F7" i="4"/>
  <c r="D7" i="4"/>
  <c r="K6" i="4"/>
  <c r="J6" i="4"/>
  <c r="G6" i="4"/>
  <c r="F6" i="4"/>
  <c r="L6" i="4" s="1"/>
  <c r="D6" i="4"/>
  <c r="M5" i="4"/>
  <c r="L5" i="4"/>
  <c r="J5" i="4"/>
  <c r="C18" i="2"/>
  <c r="F9" i="2"/>
  <c r="L10" i="2" s="1"/>
  <c r="L9" i="2"/>
  <c r="L7" i="2"/>
  <c r="L6" i="2"/>
  <c r="K6" i="2"/>
  <c r="J10" i="2"/>
  <c r="J6" i="2"/>
  <c r="C20" i="2"/>
  <c r="K10" i="2"/>
  <c r="C15" i="4" l="1"/>
  <c r="J13" i="4" s="1"/>
  <c r="K9" i="2"/>
  <c r="C26" i="4"/>
  <c r="M6" i="4"/>
  <c r="N6" i="4" s="1"/>
  <c r="M6" i="2"/>
  <c r="N6" i="2" s="1"/>
  <c r="K7" i="2"/>
  <c r="C27" i="2"/>
  <c r="C28" i="2" s="1"/>
  <c r="L5" i="2"/>
  <c r="C25" i="2"/>
  <c r="J5" i="2"/>
  <c r="K5" i="2"/>
  <c r="J14" i="4" l="1"/>
  <c r="C18" i="4"/>
  <c r="C28" i="4" s="1"/>
  <c r="C29" i="4" s="1"/>
  <c r="J7" i="4"/>
  <c r="J8" i="4"/>
  <c r="C16" i="2"/>
  <c r="C19" i="2" s="1"/>
  <c r="C30" i="2" s="1"/>
  <c r="C31" i="2" s="1"/>
  <c r="C31" i="4" l="1"/>
  <c r="C32" i="4" s="1"/>
  <c r="L8" i="4"/>
  <c r="K8" i="4"/>
  <c r="M7" i="4"/>
  <c r="N7" i="4" s="1"/>
  <c r="J9" i="4"/>
  <c r="M9" i="4" s="1"/>
  <c r="N9" i="4" s="1"/>
  <c r="C33" i="2"/>
  <c r="C34" i="2" s="1"/>
  <c r="J13" i="2"/>
  <c r="J14" i="2"/>
  <c r="J7" i="2" s="1"/>
  <c r="J12" i="4" l="1"/>
  <c r="M8" i="4"/>
  <c r="N8" i="4" s="1"/>
  <c r="J16" i="4" s="1"/>
  <c r="J17" i="4" s="1"/>
  <c r="J8" i="2"/>
  <c r="L8" i="2"/>
  <c r="K8" i="2"/>
  <c r="M7" i="2"/>
  <c r="N7" i="2" s="1"/>
  <c r="M10" i="2"/>
  <c r="N10" i="2" s="1"/>
  <c r="J9" i="2" l="1"/>
  <c r="J12" i="2" s="1"/>
  <c r="M8" i="2"/>
  <c r="N8" i="2" s="1"/>
  <c r="M9" i="2" l="1"/>
  <c r="N9" i="2" s="1"/>
  <c r="J16" i="2" l="1"/>
  <c r="J17" i="2" s="1"/>
  <c r="J19" i="2" l="1"/>
</calcChain>
</file>

<file path=xl/sharedStrings.xml><?xml version="1.0" encoding="utf-8"?>
<sst xmlns="http://schemas.openxmlformats.org/spreadsheetml/2006/main" count="573" uniqueCount="58">
  <si>
    <t>INPUTS</t>
  </si>
  <si>
    <t>OUTPUTS</t>
  </si>
  <si>
    <t>English</t>
  </si>
  <si>
    <t>Bolt Elastic Modulus, E</t>
  </si>
  <si>
    <t>Bolt diameter, d</t>
  </si>
  <si>
    <t>Bolt Length, L</t>
  </si>
  <si>
    <r>
      <t>Fastener Stiffness, k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</si>
  <si>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Area of unthreaded portion, A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</si>
  <si>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Area of threaded portion, A</t>
    </r>
    <r>
      <rPr>
        <vertAlign val="subscript"/>
        <sz val="11"/>
        <color theme="1"/>
        <rFont val="Aptos Narrow"/>
        <family val="2"/>
        <scheme val="minor"/>
      </rPr>
      <t>t</t>
    </r>
  </si>
  <si>
    <t>Threaded into bottom member</t>
  </si>
  <si>
    <t>Threaded into nut</t>
  </si>
  <si>
    <t>Elastic Modulus</t>
  </si>
  <si>
    <t>E top washer</t>
  </si>
  <si>
    <t>E top member</t>
  </si>
  <si>
    <t>E bottom washer</t>
  </si>
  <si>
    <t>E bottom member</t>
  </si>
  <si>
    <t>Bolt Properties</t>
  </si>
  <si>
    <t>Member Properties</t>
  </si>
  <si>
    <t>Units:</t>
  </si>
  <si>
    <t>Frusta Dimensions</t>
  </si>
  <si>
    <t>Segment</t>
  </si>
  <si>
    <t>1/k</t>
  </si>
  <si>
    <r>
      <t>Threaded bolt length, L</t>
    </r>
    <r>
      <rPr>
        <vertAlign val="subscript"/>
        <sz val="11"/>
        <color theme="1"/>
        <rFont val="Aptos Narrow"/>
        <family val="2"/>
        <scheme val="minor"/>
      </rPr>
      <t>T</t>
    </r>
  </si>
  <si>
    <t>Grip length, l</t>
  </si>
  <si>
    <t>Half grip length, l/2</t>
  </si>
  <si>
    <r>
      <t>Unthreaded bolt length, l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</si>
  <si>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Threaded bolt length in grip, l</t>
    </r>
    <r>
      <rPr>
        <vertAlign val="subscript"/>
        <sz val="11"/>
        <color theme="1"/>
        <rFont val="Aptos Narrow"/>
        <family val="2"/>
        <scheme val="minor"/>
      </rPr>
      <t>t</t>
    </r>
  </si>
  <si>
    <t>.</t>
  </si>
  <si>
    <r>
      <t>Bottom Washer Length, t</t>
    </r>
    <r>
      <rPr>
        <vertAlign val="subscript"/>
        <sz val="11"/>
        <color theme="1"/>
        <rFont val="Aptos Narrow"/>
        <family val="2"/>
        <scheme val="minor"/>
      </rPr>
      <t>bw</t>
    </r>
  </si>
  <si>
    <r>
      <t>Top Washer Length, t</t>
    </r>
    <r>
      <rPr>
        <vertAlign val="subscript"/>
        <sz val="11"/>
        <color theme="1"/>
        <rFont val="Aptos Narrow"/>
        <family val="2"/>
        <scheme val="minor"/>
      </rPr>
      <t>tw</t>
    </r>
  </si>
  <si>
    <r>
      <t>Top Member Length, t</t>
    </r>
    <r>
      <rPr>
        <vertAlign val="subscript"/>
        <sz val="11"/>
        <color theme="1"/>
        <rFont val="Aptos Narrow"/>
        <family val="2"/>
        <scheme val="minor"/>
      </rPr>
      <t>tm</t>
    </r>
  </si>
  <si>
    <r>
      <t>Bottom Member Length, t</t>
    </r>
    <r>
      <rPr>
        <vertAlign val="subscript"/>
        <sz val="11"/>
        <color theme="1"/>
        <rFont val="Aptos Narrow"/>
        <family val="2"/>
        <scheme val="minor"/>
      </rPr>
      <t>bm</t>
    </r>
  </si>
  <si>
    <t>Apex angle, α</t>
  </si>
  <si>
    <t>degrees</t>
  </si>
  <si>
    <t>Thickness check</t>
  </si>
  <si>
    <r>
      <t>Member Stiffness, k</t>
    </r>
    <r>
      <rPr>
        <vertAlign val="subscript"/>
        <sz val="11"/>
        <color theme="1"/>
        <rFont val="Aptos Narrow"/>
        <family val="2"/>
        <scheme val="minor"/>
      </rPr>
      <t>m</t>
    </r>
  </si>
  <si>
    <t>&lt;---- Note that if this option is selected also change Bottom Washer Length to 0</t>
  </si>
  <si>
    <t>Metric</t>
  </si>
  <si>
    <t>Fully Threaded</t>
  </si>
  <si>
    <r>
      <t>Unthreaded Fastener Stiffness, k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</si>
  <si>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Threaded Fastener Stiffness, k</t>
    </r>
    <r>
      <rPr>
        <vertAlign val="subscript"/>
        <sz val="11"/>
        <color theme="1"/>
        <rFont val="Aptos Narrow"/>
        <family val="2"/>
        <scheme val="minor"/>
      </rPr>
      <t>t</t>
    </r>
  </si>
  <si>
    <t>Joint Compliance</t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</si>
  <si>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</si>
  <si>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Pitch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</si>
  <si>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</si>
  <si>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</si>
  <si>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UNC</t>
  </si>
  <si>
    <t>UNF</t>
  </si>
  <si>
    <t>Size Designation</t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</si>
  <si>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</si>
  <si>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Threads per Inch </t>
    </r>
    <r>
      <rPr>
        <b/>
        <i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</si>
  <si>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</si>
  <si>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</si>
  <si>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Bolt elastic modulus, E</t>
  </si>
  <si>
    <t>Series</t>
  </si>
  <si>
    <t>Table 8-1</t>
  </si>
  <si>
    <t>Table 8-2</t>
  </si>
  <si>
    <t>Joint Compliance,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</si>
</sst>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#0.0E+00"/>
    <numFmt numFmtId="166" formatCode="##0.00E+00"/>
    <numFmt numFmtId="167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164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2" borderId="0" xfId="0" applyNumberFormat="1" applyFill="1" applyAlignment="1">
      <alignment vertical="center"/>
    </xf>
    <xf numFmtId="165" fontId="0" fillId="3" borderId="0" xfId="0" applyNumberFormat="1" applyFill="1" applyAlignment="1">
      <alignment vertical="center"/>
    </xf>
    <xf numFmtId="166" fontId="0" fillId="3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1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167" fontId="0" fillId="3" borderId="0" xfId="0" applyNumberFormat="1" applyFill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2" fontId="0" fillId="0" borderId="6" xfId="0" applyNumberFormat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12" fontId="0" fillId="0" borderId="18" xfId="0" applyNumberFormat="1" applyBorder="1" applyAlignment="1">
      <alignment vertical="center" wrapText="1"/>
    </xf>
    <xf numFmtId="12" fontId="0" fillId="0" borderId="20" xfId="0" applyNumberFormat="1" applyBorder="1" applyAlignment="1">
      <alignment vertical="center" wrapText="1"/>
    </xf>
    <xf numFmtId="12" fontId="0" fillId="0" borderId="24" xfId="0" applyNumberFormat="1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23" xfId="0" applyFill="1" applyBorder="1" applyAlignment="1">
      <alignment vertical="center"/>
    </xf>
    <xf numFmtId="0" fontId="1" fillId="7" borderId="0" xfId="0" applyFont="1" applyFill="1" applyAlignment="1">
      <alignment horizontal="center" vertical="center" wrapText="1"/>
    </xf>
    <xf numFmtId="0" fontId="0" fillId="9" borderId="1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</cellXfs>
  <cellStyles count="1">
    <cellStyle name="Normal" xfId="0" builtinId="0"/>
  </cellStyles>
  <dxfs count="70"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2043575</xdr:colOff>
      <xdr:row>56</xdr:row>
      <xdr:rowOff>53531</xdr:rowOff>
    </xdr:from>
    <xdr:to>
      <xdr:col>9</xdr:col>
      <xdr:colOff>458326</xdr:colOff>
      <xdr:row>67</xdr:row>
      <xdr:rowOff>53531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94BC41-DA15-4C17-65A4-286E4D257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888" y="10721531"/>
          <a:ext cx="6391938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428624</xdr:colOff>
      <xdr:row>68</xdr:row>
      <xdr:rowOff>100014</xdr:rowOff>
    </xdr:from>
    <xdr:to>
      <xdr:col>11</xdr:col>
      <xdr:colOff>496305</xdr:colOff>
      <xdr:row>132</xdr:row>
      <xdr:rowOff>88823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586235-24FB-4FC6-82FB-CB99D24A9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937" y="13054014"/>
          <a:ext cx="9711743" cy="1218080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1299501</xdr:colOff>
      <xdr:row>35</xdr:row>
      <xdr:rowOff>86538</xdr:rowOff>
    </xdr:from>
    <xdr:to>
      <xdr:col>9</xdr:col>
      <xdr:colOff>736216</xdr:colOff>
      <xdr:row>53</xdr:row>
      <xdr:rowOff>17958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1FF51CD-E96C-9520-435A-17D36B1C4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051" y="6754038"/>
          <a:ext cx="7399615" cy="3360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32</xdr:row>
      <xdr:rowOff>76200</xdr:rowOff>
    </xdr:from>
    <xdr:to>
      <xdr:col>24</xdr:col>
      <xdr:colOff>638175</xdr:colOff>
      <xdr:row>84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945C3E6-BB7A-0B36-8A04-0423D50D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28</xdr:row>
      <xdr:rowOff>69273</xdr:rowOff>
    </xdr:from>
    <xdr:to>
      <xdr:col>36</xdr:col>
      <xdr:colOff>357620</xdr:colOff>
      <xdr:row>75</xdr:row>
      <xdr:rowOff>69273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47AE89-1315-EC46-4772-FB5A1C0D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2636" y="5403273"/>
          <a:ext cx="9536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2043575</xdr:colOff>
      <xdr:row>56</xdr:row>
      <xdr:rowOff>53531</xdr:rowOff>
    </xdr:from>
    <xdr:to>
      <xdr:col>9</xdr:col>
      <xdr:colOff>458326</xdr:colOff>
      <xdr:row>67</xdr:row>
      <xdr:rowOff>53531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E29B5-EE72-4CFB-9595-A91FEB678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4600" y="10721531"/>
          <a:ext cx="6387176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428624</xdr:colOff>
      <xdr:row>68</xdr:row>
      <xdr:rowOff>100014</xdr:rowOff>
    </xdr:from>
    <xdr:to>
      <xdr:col>11</xdr:col>
      <xdr:colOff>496305</xdr:colOff>
      <xdr:row>132</xdr:row>
      <xdr:rowOff>88823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E83FEF-03FC-4505-A2F3-2E3C86FDD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4" y="13054014"/>
          <a:ext cx="9706981" cy="1218080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1299501</xdr:colOff>
      <xdr:row>35</xdr:row>
      <xdr:rowOff>86538</xdr:rowOff>
    </xdr:from>
    <xdr:to>
      <xdr:col>9</xdr:col>
      <xdr:colOff>736216</xdr:colOff>
      <xdr:row>53</xdr:row>
      <xdr:rowOff>17958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F8D1DC26-6A8B-4F52-9339-6F734DA4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051" y="6754038"/>
          <a:ext cx="7399615" cy="3360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32</xdr:row>
      <xdr:rowOff>76200</xdr:rowOff>
    </xdr:from>
    <xdr:to>
      <xdr:col>24</xdr:col>
      <xdr:colOff>638175</xdr:colOff>
      <xdr:row>84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A85A44-C69B-48A4-8FAF-1E84B79E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747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28</xdr:row>
      <xdr:rowOff>69273</xdr:rowOff>
    </xdr:from>
    <xdr:to>
      <xdr:col>36</xdr:col>
      <xdr:colOff>357620</xdr:colOff>
      <xdr:row>75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217AB3-D516-4866-81A4-EC5A6979F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45700" y="5403273"/>
          <a:ext cx="9549245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2043575</xdr:colOff>
      <xdr:row>56</xdr:row>
      <xdr:rowOff>53531</xdr:rowOff>
    </xdr:from>
    <xdr:to>
      <xdr:col>9</xdr:col>
      <xdr:colOff>458326</xdr:colOff>
      <xdr:row>67</xdr:row>
      <xdr:rowOff>53531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4ADF3-537D-40DC-AA05-97B1D2E10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4600" y="10721531"/>
          <a:ext cx="6387176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428624</xdr:colOff>
      <xdr:row>68</xdr:row>
      <xdr:rowOff>100014</xdr:rowOff>
    </xdr:from>
    <xdr:to>
      <xdr:col>11</xdr:col>
      <xdr:colOff>496305</xdr:colOff>
      <xdr:row>132</xdr:row>
      <xdr:rowOff>88823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679862-D32A-4308-A823-63303F6AD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4" y="13054014"/>
          <a:ext cx="9706981" cy="1218080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1299501</xdr:colOff>
      <xdr:row>35</xdr:row>
      <xdr:rowOff>86538</xdr:rowOff>
    </xdr:from>
    <xdr:to>
      <xdr:col>9</xdr:col>
      <xdr:colOff>736216</xdr:colOff>
      <xdr:row>53</xdr:row>
      <xdr:rowOff>17958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49B0D218-4EF4-483D-9214-036102440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051" y="6754038"/>
          <a:ext cx="7399615" cy="3360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32</xdr:row>
      <xdr:rowOff>76200</xdr:rowOff>
    </xdr:from>
    <xdr:to>
      <xdr:col>24</xdr:col>
      <xdr:colOff>638175</xdr:colOff>
      <xdr:row>84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CD0F26B-11A3-40C6-8279-80D88235F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747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28</xdr:row>
      <xdr:rowOff>69273</xdr:rowOff>
    </xdr:from>
    <xdr:to>
      <xdr:col>36</xdr:col>
      <xdr:colOff>357620</xdr:colOff>
      <xdr:row>75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40D4DC-0897-405A-8D74-E47F1C5BB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26650" y="5403273"/>
          <a:ext cx="9549245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2043575</xdr:colOff>
      <xdr:row>56</xdr:row>
      <xdr:rowOff>53531</xdr:rowOff>
    </xdr:from>
    <xdr:to>
      <xdr:col>9</xdr:col>
      <xdr:colOff>458326</xdr:colOff>
      <xdr:row>67</xdr:row>
      <xdr:rowOff>53531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43EB3-5660-4B7A-B329-DD3FD0720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4600" y="10721531"/>
          <a:ext cx="6387176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428624</xdr:colOff>
      <xdr:row>68</xdr:row>
      <xdr:rowOff>100014</xdr:rowOff>
    </xdr:from>
    <xdr:to>
      <xdr:col>11</xdr:col>
      <xdr:colOff>496305</xdr:colOff>
      <xdr:row>132</xdr:row>
      <xdr:rowOff>88823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A3F797-5601-45AF-A9C3-FA65D8F2C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4" y="13054014"/>
          <a:ext cx="9706981" cy="1218080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1299501</xdr:colOff>
      <xdr:row>35</xdr:row>
      <xdr:rowOff>86538</xdr:rowOff>
    </xdr:from>
    <xdr:to>
      <xdr:col>9</xdr:col>
      <xdr:colOff>736216</xdr:colOff>
      <xdr:row>53</xdr:row>
      <xdr:rowOff>17958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2E05C71-64BC-4B5B-8539-F35505406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051" y="6754038"/>
          <a:ext cx="7399615" cy="3360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32</xdr:row>
      <xdr:rowOff>76200</xdr:rowOff>
    </xdr:from>
    <xdr:to>
      <xdr:col>24</xdr:col>
      <xdr:colOff>638175</xdr:colOff>
      <xdr:row>84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AE8180-8032-440F-8582-3B30F4D7A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747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28</xdr:row>
      <xdr:rowOff>69273</xdr:rowOff>
    </xdr:from>
    <xdr:to>
      <xdr:col>36</xdr:col>
      <xdr:colOff>357620</xdr:colOff>
      <xdr:row>75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E45CBC-8D45-46B5-8076-41A04061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26650" y="5403273"/>
          <a:ext cx="9549245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44726</xdr:colOff>
      <xdr:row>2</xdr:row>
      <xdr:rowOff>50730</xdr:rowOff>
    </xdr:from>
    <xdr:to>
      <xdr:col>25</xdr:col>
      <xdr:colOff>463929</xdr:colOff>
      <xdr:row>13</xdr:row>
      <xdr:rowOff>50730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0E155-A4B2-42A1-AD5A-42C47A4B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4901" y="431730"/>
          <a:ext cx="6324703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514351</xdr:colOff>
      <xdr:row>36</xdr:row>
      <xdr:rowOff>100013</xdr:rowOff>
    </xdr:from>
    <xdr:to>
      <xdr:col>8</xdr:col>
      <xdr:colOff>77236</xdr:colOff>
      <xdr:row>88</xdr:row>
      <xdr:rowOff>147638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43AB1F-DA21-4D80-9673-722F9145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1" y="6958013"/>
          <a:ext cx="6659010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414338</xdr:colOff>
      <xdr:row>36</xdr:row>
      <xdr:rowOff>119063</xdr:rowOff>
    </xdr:from>
    <xdr:to>
      <xdr:col>22</xdr:col>
      <xdr:colOff>87892</xdr:colOff>
      <xdr:row>83</xdr:row>
      <xdr:rowOff>119063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BE7EFD-03A5-4511-8202-0385A6F96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0463" y="6977063"/>
          <a:ext cx="9541454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333375</xdr:colOff>
      <xdr:row>54</xdr:row>
      <xdr:rowOff>76201</xdr:rowOff>
    </xdr:from>
    <xdr:to>
      <xdr:col>38</xdr:col>
      <xdr:colOff>567743</xdr:colOff>
      <xdr:row>118</xdr:row>
      <xdr:rowOff>65010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DD127C-AE85-4163-9D11-58A6A302C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297400" y="10363201"/>
          <a:ext cx="9683168" cy="12180809"/>
        </a:xfrm>
        <a:prstGeom prst="rect">
          <a:avLst/>
        </a:prstGeom>
      </xdr:spPr>
    </xdr:pic>
    <xdr:clientData/>
  </xdr:twoCellAnchor>
  <xdr:twoCellAnchor editAs="oneCell">
    <xdr:from>
      <xdr:col>22</xdr:col>
      <xdr:colOff>251884</xdr:colOff>
      <xdr:row>35</xdr:row>
      <xdr:rowOff>90487</xdr:rowOff>
    </xdr:from>
    <xdr:to>
      <xdr:col>34</xdr:col>
      <xdr:colOff>540119</xdr:colOff>
      <xdr:row>53</xdr:row>
      <xdr:rowOff>21907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A2AA93FE-D162-49F4-9098-DEB4B64A9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15909" y="6757987"/>
          <a:ext cx="7374835" cy="336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44726</xdr:colOff>
      <xdr:row>2</xdr:row>
      <xdr:rowOff>50730</xdr:rowOff>
    </xdr:from>
    <xdr:to>
      <xdr:col>25</xdr:col>
      <xdr:colOff>463929</xdr:colOff>
      <xdr:row>13</xdr:row>
      <xdr:rowOff>50730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3B4DC-AA71-40CC-8BE2-950E7AE02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4901" y="431730"/>
          <a:ext cx="6324703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514351</xdr:colOff>
      <xdr:row>36</xdr:row>
      <xdr:rowOff>100013</xdr:rowOff>
    </xdr:from>
    <xdr:to>
      <xdr:col>8</xdr:col>
      <xdr:colOff>77236</xdr:colOff>
      <xdr:row>88</xdr:row>
      <xdr:rowOff>147638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BF81F6-17D1-45FE-A685-DBE026AB0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1" y="6958013"/>
          <a:ext cx="6659010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414338</xdr:colOff>
      <xdr:row>36</xdr:row>
      <xdr:rowOff>119063</xdr:rowOff>
    </xdr:from>
    <xdr:to>
      <xdr:col>22</xdr:col>
      <xdr:colOff>87892</xdr:colOff>
      <xdr:row>83</xdr:row>
      <xdr:rowOff>119063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071F25-7210-4CE3-8C7F-C2275FE31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0463" y="6977063"/>
          <a:ext cx="9541454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333375</xdr:colOff>
      <xdr:row>54</xdr:row>
      <xdr:rowOff>76201</xdr:rowOff>
    </xdr:from>
    <xdr:to>
      <xdr:col>38</xdr:col>
      <xdr:colOff>567743</xdr:colOff>
      <xdr:row>118</xdr:row>
      <xdr:rowOff>65010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388F14-B215-4F23-BB40-8F60D969C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297400" y="10363201"/>
          <a:ext cx="9683168" cy="12180809"/>
        </a:xfrm>
        <a:prstGeom prst="rect">
          <a:avLst/>
        </a:prstGeom>
      </xdr:spPr>
    </xdr:pic>
    <xdr:clientData/>
  </xdr:twoCellAnchor>
  <xdr:twoCellAnchor editAs="oneCell">
    <xdr:from>
      <xdr:col>22</xdr:col>
      <xdr:colOff>251884</xdr:colOff>
      <xdr:row>35</xdr:row>
      <xdr:rowOff>90487</xdr:rowOff>
    </xdr:from>
    <xdr:to>
      <xdr:col>34</xdr:col>
      <xdr:colOff>540119</xdr:colOff>
      <xdr:row>53</xdr:row>
      <xdr:rowOff>21907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3ACDD90A-1360-4B81-9AEB-180EBE095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215909" y="6757987"/>
          <a:ext cx="7374835" cy="336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2043575</xdr:colOff>
      <xdr:row>56</xdr:row>
      <xdr:rowOff>53531</xdr:rowOff>
    </xdr:from>
    <xdr:to>
      <xdr:col>9</xdr:col>
      <xdr:colOff>458326</xdr:colOff>
      <xdr:row>67</xdr:row>
      <xdr:rowOff>53531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40A7E-D100-4218-869A-AD019AACF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4600" y="10721531"/>
          <a:ext cx="6387176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428624</xdr:colOff>
      <xdr:row>68</xdr:row>
      <xdr:rowOff>100014</xdr:rowOff>
    </xdr:from>
    <xdr:to>
      <xdr:col>11</xdr:col>
      <xdr:colOff>496305</xdr:colOff>
      <xdr:row>132</xdr:row>
      <xdr:rowOff>88823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4DE05C-F098-4A63-9C7F-892FCE845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4" y="13054014"/>
          <a:ext cx="9706981" cy="1218080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1299501</xdr:colOff>
      <xdr:row>35</xdr:row>
      <xdr:rowOff>86538</xdr:rowOff>
    </xdr:from>
    <xdr:to>
      <xdr:col>9</xdr:col>
      <xdr:colOff>736216</xdr:colOff>
      <xdr:row>53</xdr:row>
      <xdr:rowOff>17958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90FE6C24-BAF1-453A-AB74-1230AD6AC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051" y="6754038"/>
          <a:ext cx="7399615" cy="3360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32</xdr:row>
      <xdr:rowOff>76200</xdr:rowOff>
    </xdr:from>
    <xdr:to>
      <xdr:col>24</xdr:col>
      <xdr:colOff>638175</xdr:colOff>
      <xdr:row>84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CB97B0-17B4-4A54-A053-76DFACC0A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747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28</xdr:row>
      <xdr:rowOff>69273</xdr:rowOff>
    </xdr:from>
    <xdr:to>
      <xdr:col>36</xdr:col>
      <xdr:colOff>357620</xdr:colOff>
      <xdr:row>75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515B2C-EC0E-4E3F-BB2A-B6245E1A7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45700" y="5403273"/>
          <a:ext cx="9549245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2043575</xdr:colOff>
      <xdr:row>56</xdr:row>
      <xdr:rowOff>53531</xdr:rowOff>
    </xdr:from>
    <xdr:to>
      <xdr:col>9</xdr:col>
      <xdr:colOff>458326</xdr:colOff>
      <xdr:row>67</xdr:row>
      <xdr:rowOff>53531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46BDB-5EF5-4D23-B7CC-A388E183C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4600" y="10721531"/>
          <a:ext cx="6387176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428624</xdr:colOff>
      <xdr:row>68</xdr:row>
      <xdr:rowOff>100014</xdr:rowOff>
    </xdr:from>
    <xdr:to>
      <xdr:col>11</xdr:col>
      <xdr:colOff>496305</xdr:colOff>
      <xdr:row>132</xdr:row>
      <xdr:rowOff>88823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AA95D3-D43B-417D-8663-545152DD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4" y="13054014"/>
          <a:ext cx="9706981" cy="1218080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1299501</xdr:colOff>
      <xdr:row>35</xdr:row>
      <xdr:rowOff>86538</xdr:rowOff>
    </xdr:from>
    <xdr:to>
      <xdr:col>9</xdr:col>
      <xdr:colOff>736216</xdr:colOff>
      <xdr:row>53</xdr:row>
      <xdr:rowOff>17958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3A66ABF3-398D-40AB-9FC3-42516E531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051" y="6754038"/>
          <a:ext cx="7399615" cy="3360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32</xdr:row>
      <xdr:rowOff>76200</xdr:rowOff>
    </xdr:from>
    <xdr:to>
      <xdr:col>24</xdr:col>
      <xdr:colOff>638175</xdr:colOff>
      <xdr:row>84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A8B3A5-A1B3-4500-989F-DDE7CED2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747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28</xdr:row>
      <xdr:rowOff>69273</xdr:rowOff>
    </xdr:from>
    <xdr:to>
      <xdr:col>36</xdr:col>
      <xdr:colOff>357620</xdr:colOff>
      <xdr:row>75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F6C051-01CD-439A-A206-6A057D454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26650" y="5403273"/>
          <a:ext cx="9549245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2043575</xdr:colOff>
      <xdr:row>56</xdr:row>
      <xdr:rowOff>53531</xdr:rowOff>
    </xdr:from>
    <xdr:to>
      <xdr:col>9</xdr:col>
      <xdr:colOff>458326</xdr:colOff>
      <xdr:row>67</xdr:row>
      <xdr:rowOff>53531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56D43D-9459-4824-B622-06D7BFCCA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4600" y="10721531"/>
          <a:ext cx="6387176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428624</xdr:colOff>
      <xdr:row>68</xdr:row>
      <xdr:rowOff>100014</xdr:rowOff>
    </xdr:from>
    <xdr:to>
      <xdr:col>11</xdr:col>
      <xdr:colOff>496305</xdr:colOff>
      <xdr:row>132</xdr:row>
      <xdr:rowOff>88823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09FCEC-7A3D-4F2F-B91C-7A1FAF811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4" y="13054014"/>
          <a:ext cx="9706981" cy="12180809"/>
        </a:xfrm>
        <a:prstGeom prst="rect">
          <a:avLst/>
        </a:prstGeom>
      </xdr:spPr>
    </xdr:pic>
    <xdr:clientData/>
  </xdr:twoCellAnchor>
  <xdr:twoCellAnchor editAs="oneCell">
    <xdr:from>
      <xdr:col>1</xdr:col>
      <xdr:colOff>1299501</xdr:colOff>
      <xdr:row>35</xdr:row>
      <xdr:rowOff>86538</xdr:rowOff>
    </xdr:from>
    <xdr:to>
      <xdr:col>9</xdr:col>
      <xdr:colOff>736216</xdr:colOff>
      <xdr:row>53</xdr:row>
      <xdr:rowOff>17958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EC347A3-E0E5-46C2-B640-0A0A10CD4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051" y="6754038"/>
          <a:ext cx="7399615" cy="3360420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32</xdr:row>
      <xdr:rowOff>76200</xdr:rowOff>
    </xdr:from>
    <xdr:to>
      <xdr:col>24</xdr:col>
      <xdr:colOff>638175</xdr:colOff>
      <xdr:row>84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5EC03C-1656-4F23-B723-EBDB2C8EE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7475" y="6172200"/>
          <a:ext cx="705802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571500</xdr:colOff>
      <xdr:row>28</xdr:row>
      <xdr:rowOff>69273</xdr:rowOff>
    </xdr:from>
    <xdr:to>
      <xdr:col>36</xdr:col>
      <xdr:colOff>357620</xdr:colOff>
      <xdr:row>75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1A0EDA-F84D-4F38-96EC-F2A5A17C7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26650" y="5403273"/>
          <a:ext cx="9549245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2B78-6474-452A-AE1C-75BFF1E08805}">
  <sheetPr>
    <tabColor rgb="FFC00000"/>
  </sheetPr>
  <dimension ref="B2:AL150"/>
  <sheetViews>
    <sheetView tabSelected="1" zoomScaleNormal="100" workbookViewId="0">
      <selection activeCell="J33" sqref="J33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3" style="6" customWidth="1"/>
    <col min="4" max="4" width="10.140625" style="6" customWidth="1"/>
    <col min="5" max="5" width="17.4257812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" width="8.85546875" style="6"/>
    <col min="17" max="17" width="16.85546875" style="6" bestFit="1" customWidth="1"/>
    <col min="18" max="18" width="7.5703125" style="6" bestFit="1" customWidth="1"/>
    <col min="19" max="19" width="15.140625" style="6" customWidth="1"/>
    <col min="20" max="20" width="15.85546875" style="6" customWidth="1"/>
    <col min="21" max="21" width="8.85546875" style="6" bestFit="1"/>
    <col min="22" max="22" width="16.85546875" style="6" bestFit="1" customWidth="1"/>
    <col min="23" max="23" width="7.5703125" style="6" bestFit="1" customWidth="1"/>
    <col min="24" max="24" width="15.140625" style="6" customWidth="1"/>
    <col min="25" max="25" width="15.85546875" style="6" customWidth="1"/>
    <col min="26" max="26" width="9.140625" style="6"/>
    <col min="27" max="28" width="16.85546875" style="6" bestFit="1" customWidth="1"/>
    <col min="29" max="29" width="12" style="6" bestFit="1" customWidth="1"/>
    <col min="30" max="30" width="15.140625" style="6" customWidth="1"/>
    <col min="31" max="31" width="15.85546875" style="6" customWidth="1"/>
    <col min="32" max="32" width="8.85546875" style="6" bestFit="1"/>
    <col min="33" max="34" width="16.85546875" style="6" bestFit="1" customWidth="1"/>
    <col min="35" max="35" width="12" style="6" bestFit="1" customWidth="1"/>
    <col min="36" max="36" width="15.140625" style="6" customWidth="1"/>
    <col min="37" max="37" width="15.85546875" style="6" customWidth="1"/>
    <col min="38" max="16384" width="8.85546875" style="6"/>
  </cols>
  <sheetData>
    <row r="2" spans="2:37" ht="15" customHeight="1" thickBot="1" x14ac:dyDescent="0.3">
      <c r="B2" s="3" t="s">
        <v>0</v>
      </c>
      <c r="C2" s="4" t="s">
        <v>18</v>
      </c>
      <c r="D2" s="5" t="s">
        <v>2</v>
      </c>
      <c r="I2" s="7" t="s">
        <v>1</v>
      </c>
      <c r="J2" s="2"/>
      <c r="K2" s="2"/>
      <c r="L2" s="2"/>
      <c r="M2" s="2"/>
      <c r="N2" s="2"/>
      <c r="Q2" s="6" t="s">
        <v>55</v>
      </c>
      <c r="AA2" s="6" t="s">
        <v>56</v>
      </c>
    </row>
    <row r="3" spans="2:37" ht="15" customHeight="1" x14ac:dyDescent="0.25">
      <c r="Q3" s="38"/>
      <c r="R3" s="39"/>
      <c r="S3" s="39"/>
      <c r="T3" s="39"/>
      <c r="U3" s="40" t="s">
        <v>37</v>
      </c>
      <c r="V3" s="39"/>
      <c r="W3" s="39"/>
      <c r="X3" s="39"/>
      <c r="Y3" s="41"/>
      <c r="AA3" s="38"/>
      <c r="AB3" s="39"/>
      <c r="AC3" s="39"/>
      <c r="AD3" s="39"/>
      <c r="AE3" s="39"/>
      <c r="AF3" s="40" t="s">
        <v>2</v>
      </c>
      <c r="AG3" s="39"/>
      <c r="AH3" s="39"/>
      <c r="AI3" s="39"/>
      <c r="AJ3" s="39"/>
      <c r="AK3" s="41"/>
    </row>
    <row r="4" spans="2:37" ht="15" customHeight="1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  <c r="Q4" s="58" t="s">
        <v>46</v>
      </c>
      <c r="R4" s="59"/>
      <c r="S4" s="59"/>
      <c r="T4" s="59"/>
      <c r="U4" s="55"/>
      <c r="V4" s="59" t="s">
        <v>47</v>
      </c>
      <c r="W4" s="59"/>
      <c r="X4" s="59"/>
      <c r="Y4" s="60"/>
      <c r="AA4" s="58" t="s">
        <v>46</v>
      </c>
      <c r="AB4" s="59"/>
      <c r="AC4" s="59"/>
      <c r="AD4" s="59"/>
      <c r="AE4" s="59"/>
      <c r="AF4" s="55"/>
      <c r="AG4" s="59" t="s">
        <v>47</v>
      </c>
      <c r="AH4" s="59"/>
      <c r="AI4" s="59"/>
      <c r="AJ4" s="59"/>
      <c r="AK4" s="60"/>
    </row>
    <row r="5" spans="2:37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[in]</v>
      </c>
      <c r="K5" s="15" t="str">
        <f>_xlfn.CONCAT("D ", "[",D13,"]")</f>
        <v>D [in]</v>
      </c>
      <c r="L5" s="15" t="str">
        <f>_xlfn.CONCAT("E ", "[",G6,"]")</f>
        <v>E [psi]</v>
      </c>
      <c r="M5" s="15" t="str">
        <f>_xlfn.CONCAT("k ", "[",D33,"]")</f>
        <v>k [lbf/in]</v>
      </c>
      <c r="N5" s="15" t="s">
        <v>21</v>
      </c>
      <c r="Q5" s="42" t="s">
        <v>44</v>
      </c>
      <c r="R5" s="33" t="s">
        <v>43</v>
      </c>
      <c r="S5" s="33" t="s">
        <v>42</v>
      </c>
      <c r="T5" s="34" t="s">
        <v>45</v>
      </c>
      <c r="U5" s="55"/>
      <c r="V5" s="32" t="s">
        <v>44</v>
      </c>
      <c r="W5" s="33" t="s">
        <v>43</v>
      </c>
      <c r="X5" s="33" t="s">
        <v>42</v>
      </c>
      <c r="Y5" s="43" t="s">
        <v>45</v>
      </c>
      <c r="AA5" s="42" t="s">
        <v>48</v>
      </c>
      <c r="AB5" s="32" t="s">
        <v>49</v>
      </c>
      <c r="AC5" s="33" t="s">
        <v>50</v>
      </c>
      <c r="AD5" s="33" t="s">
        <v>51</v>
      </c>
      <c r="AE5" s="34" t="s">
        <v>52</v>
      </c>
      <c r="AF5" s="55"/>
      <c r="AG5" s="32" t="s">
        <v>48</v>
      </c>
      <c r="AH5" s="32" t="s">
        <v>49</v>
      </c>
      <c r="AI5" s="33" t="s">
        <v>50</v>
      </c>
      <c r="AJ5" s="33" t="s">
        <v>51</v>
      </c>
      <c r="AK5" s="43" t="s">
        <v>52</v>
      </c>
    </row>
    <row r="6" spans="2:37" ht="15" customHeight="1" x14ac:dyDescent="0.25">
      <c r="B6" s="1" t="s">
        <v>29</v>
      </c>
      <c r="C6" s="1">
        <v>9.5000000000000001E-2</v>
      </c>
      <c r="D6" s="1" t="str">
        <f>IF($D$2="English","in", "mm")</f>
        <v>in</v>
      </c>
      <c r="E6" s="13" t="s">
        <v>12</v>
      </c>
      <c r="F6" s="22">
        <f>30*10^6</f>
        <v>30000000</v>
      </c>
      <c r="G6" s="1" t="str">
        <f t="shared" ref="G6:G9" si="0">IF($D$2="English","psi","Pa")</f>
        <v>psi</v>
      </c>
      <c r="I6" s="16">
        <v>1</v>
      </c>
      <c r="J6" s="2">
        <f>C6</f>
        <v>9.5000000000000001E-2</v>
      </c>
      <c r="K6" s="2">
        <f>1.5*C13</f>
        <v>0.75</v>
      </c>
      <c r="L6" s="23">
        <f>F6</f>
        <v>30000000</v>
      </c>
      <c r="M6" s="23">
        <f>IF(J6=0,0,(PI()*L6*$C$13*TAN(RADIANS($C$5)))/LN(((2*J6*TAN(RADIANS($C$5))+K6-$C$13)*(K6+$C$13))/((2*J6*TAN(RADIANS($C$5))+K6+$C$13)*(K6-$C$13))))</f>
        <v>97278357.259746253</v>
      </c>
      <c r="N6" s="23">
        <f>IF(M6=0,0,M6^-1)</f>
        <v>1.0279778854919044E-8</v>
      </c>
      <c r="Q6" s="44">
        <v>1.6</v>
      </c>
      <c r="R6" s="30">
        <v>0.35</v>
      </c>
      <c r="S6" s="30">
        <v>1.27</v>
      </c>
      <c r="T6" s="31">
        <v>1.07</v>
      </c>
      <c r="U6" s="55"/>
      <c r="V6" s="29">
        <v>1.6</v>
      </c>
      <c r="W6" s="30" t="e">
        <f>NA()</f>
        <v>#N/A</v>
      </c>
      <c r="X6" s="30" t="e">
        <f>NA()</f>
        <v>#N/A</v>
      </c>
      <c r="Y6" s="30" t="e">
        <f>NA()</f>
        <v>#N/A</v>
      </c>
      <c r="AA6" s="51">
        <f>0</f>
        <v>0</v>
      </c>
      <c r="AB6" s="29">
        <v>0.06</v>
      </c>
      <c r="AC6" s="30" t="e">
        <f>NA()</f>
        <v>#N/A</v>
      </c>
      <c r="AD6" s="30" t="e">
        <f>NA()</f>
        <v>#N/A</v>
      </c>
      <c r="AE6" s="31" t="e">
        <f>NA()</f>
        <v>#N/A</v>
      </c>
      <c r="AF6" s="55"/>
      <c r="AG6" s="37">
        <f>0</f>
        <v>0</v>
      </c>
      <c r="AH6" s="29">
        <v>0.06</v>
      </c>
      <c r="AI6" s="30">
        <v>80</v>
      </c>
      <c r="AJ6" s="30">
        <v>1.8E-3</v>
      </c>
      <c r="AK6" s="45">
        <v>1.5100000000000001E-3</v>
      </c>
    </row>
    <row r="7" spans="2:37" ht="15" customHeight="1" x14ac:dyDescent="0.25">
      <c r="B7" s="1" t="s">
        <v>30</v>
      </c>
      <c r="C7" s="1">
        <v>0.25</v>
      </c>
      <c r="D7" s="1" t="str">
        <f t="shared" ref="D7:D9" si="1">IF($D$2="English","in", "mm")</f>
        <v>in</v>
      </c>
      <c r="E7" s="13" t="s">
        <v>13</v>
      </c>
      <c r="F7" s="22">
        <f>30*10^6</f>
        <v>30000000</v>
      </c>
      <c r="G7" s="1" t="str">
        <f t="shared" si="0"/>
        <v>psi</v>
      </c>
      <c r="I7" s="16">
        <v>2</v>
      </c>
      <c r="J7" s="2">
        <f>IF(C6+C7&lt;J14,C7,J14-C6)</f>
        <v>0.25</v>
      </c>
      <c r="K7" s="18">
        <f>K6+2*J6*TAN(RADIANS($C$5))</f>
        <v>0.85969655114602883</v>
      </c>
      <c r="L7" s="23">
        <f>F7</f>
        <v>30000000</v>
      </c>
      <c r="M7" s="23">
        <f>IF(J7=0,0,(PI()*L7*$C$13*TAN(RADIANS($C$5)))/LN(((2*J7*TAN(RADIANS($C$5))+K7-$C$13)*(K7+$C$13))/((2*J7*TAN(RADIANS($C$5))+K7+$C$13)*(K7-$C$13))))</f>
        <v>68587270.796280205</v>
      </c>
      <c r="N7" s="23">
        <f t="shared" ref="N7:N10" si="2">IF(M7=0,0,M7^-1)</f>
        <v>1.4579964888386177E-8</v>
      </c>
      <c r="Q7" s="44">
        <v>2</v>
      </c>
      <c r="R7" s="30">
        <v>0.4</v>
      </c>
      <c r="S7" s="30">
        <v>2.0699999999999998</v>
      </c>
      <c r="T7" s="31">
        <v>1.79</v>
      </c>
      <c r="U7" s="55"/>
      <c r="V7" s="29">
        <v>2</v>
      </c>
      <c r="W7" s="30" t="e">
        <f>NA()</f>
        <v>#N/A</v>
      </c>
      <c r="X7" s="30" t="e">
        <f>NA()</f>
        <v>#N/A</v>
      </c>
      <c r="Y7" s="30" t="e">
        <f>NA()</f>
        <v>#N/A</v>
      </c>
      <c r="AA7" s="51">
        <f>1</f>
        <v>1</v>
      </c>
      <c r="AB7" s="29">
        <v>7.2999999999999995E-2</v>
      </c>
      <c r="AC7" s="30">
        <v>64</v>
      </c>
      <c r="AD7" s="30">
        <v>2.63E-3</v>
      </c>
      <c r="AE7" s="31">
        <v>2.1800000000000001E-3</v>
      </c>
      <c r="AF7" s="55"/>
      <c r="AG7" s="37">
        <f>1</f>
        <v>1</v>
      </c>
      <c r="AH7" s="29">
        <v>7.2999999999999995E-2</v>
      </c>
      <c r="AI7" s="30">
        <v>72</v>
      </c>
      <c r="AJ7" s="30">
        <v>2.7799999999999999E-3</v>
      </c>
      <c r="AK7" s="45">
        <v>2.3700000000000001E-3</v>
      </c>
    </row>
    <row r="8" spans="2:37" ht="15" customHeight="1" x14ac:dyDescent="0.25">
      <c r="B8" s="1" t="s">
        <v>31</v>
      </c>
      <c r="C8" s="1">
        <v>1.5</v>
      </c>
      <c r="D8" s="1" t="str">
        <f t="shared" si="1"/>
        <v>in</v>
      </c>
      <c r="E8" s="13" t="s">
        <v>15</v>
      </c>
      <c r="F8" s="22">
        <f>14.5*10^6</f>
        <v>14500000</v>
      </c>
      <c r="G8" s="1" t="str">
        <f t="shared" si="0"/>
        <v>psi</v>
      </c>
      <c r="I8" s="16">
        <v>3</v>
      </c>
      <c r="J8" s="2">
        <f>IF(C6+C7&lt;J14,J14-C7-C6,C6+C7-J14)</f>
        <v>0.625</v>
      </c>
      <c r="K8" s="18">
        <f>IF(J6+J7&lt;J14,K7+2*J7*TAN(RADIANS($C$5)),K7+2*J7*TAN(RADIANS($C$5))-2*J8*TAN(RADIANS($C$5)))</f>
        <v>1.1483716857408417</v>
      </c>
      <c r="L8" s="23">
        <f>IF(J6+J7&lt;J14,F8,F7)</f>
        <v>14500000</v>
      </c>
      <c r="M8" s="23">
        <f>IF(J8=0,0,(PI()*L8*$C$13*TAN(RADIANS($C$5)))/LN(((2*J8*TAN(RADIANS($C$5))+K8-$C$13)*(K8+$C$13))/((2*J8*TAN(RADIANS($C$5))+K8+$C$13)*(K8-$C$13))))</f>
        <v>34154345.926287666</v>
      </c>
      <c r="N8" s="23">
        <f t="shared" si="2"/>
        <v>2.9278850842531502E-8</v>
      </c>
      <c r="Q8" s="44">
        <v>2.5</v>
      </c>
      <c r="R8" s="30">
        <v>0.45</v>
      </c>
      <c r="S8" s="30">
        <v>3.39</v>
      </c>
      <c r="T8" s="31">
        <v>2.98</v>
      </c>
      <c r="U8" s="55"/>
      <c r="V8" s="29">
        <v>2.5</v>
      </c>
      <c r="W8" s="30" t="e">
        <f>NA()</f>
        <v>#N/A</v>
      </c>
      <c r="X8" s="30" t="e">
        <f>NA()</f>
        <v>#N/A</v>
      </c>
      <c r="Y8" s="30" t="e">
        <f>NA()</f>
        <v>#N/A</v>
      </c>
      <c r="AA8" s="51">
        <f>2</f>
        <v>2</v>
      </c>
      <c r="AB8" s="29">
        <v>8.5999999999999993E-2</v>
      </c>
      <c r="AC8" s="30">
        <v>56</v>
      </c>
      <c r="AD8" s="30">
        <v>3.7000000000000002E-3</v>
      </c>
      <c r="AE8" s="31">
        <v>3.0999999999999999E-3</v>
      </c>
      <c r="AF8" s="55"/>
      <c r="AG8" s="37">
        <f>2</f>
        <v>2</v>
      </c>
      <c r="AH8" s="29">
        <v>8.5999999999999993E-2</v>
      </c>
      <c r="AI8" s="30">
        <v>64</v>
      </c>
      <c r="AJ8" s="30">
        <v>3.9399999999999999E-3</v>
      </c>
      <c r="AK8" s="45">
        <v>3.3899999999999998E-3</v>
      </c>
    </row>
    <row r="9" spans="2:37" ht="15" customHeight="1" x14ac:dyDescent="0.25">
      <c r="B9" s="1" t="s">
        <v>28</v>
      </c>
      <c r="C9" s="1">
        <v>9.5000000000000001E-2</v>
      </c>
      <c r="D9" s="1" t="str">
        <f t="shared" si="1"/>
        <v>in</v>
      </c>
      <c r="E9" s="13" t="s">
        <v>14</v>
      </c>
      <c r="F9" s="22">
        <f>30*10^6</f>
        <v>30000000</v>
      </c>
      <c r="G9" s="1" t="str">
        <f t="shared" si="0"/>
        <v>psi</v>
      </c>
      <c r="I9" s="16">
        <v>4</v>
      </c>
      <c r="J9" s="2">
        <f>C16-SUM(J6:J8)-J10</f>
        <v>0.875</v>
      </c>
      <c r="K9" s="18">
        <f>K10+2*J10*TAN(RADIANS($C$5))</f>
        <v>0.85969655114602883</v>
      </c>
      <c r="L9" s="23">
        <f>F8</f>
        <v>14500000</v>
      </c>
      <c r="M9" s="23">
        <f>IF(J9=0,0,(PI()*L9*$C$13*TAN(RADIANS($C$5)))/LN(((2*J9*TAN(RADIANS($C$5))+K9-$C$13)*(K9+$C$13))/((2*J9*TAN(RADIANS($C$5))+K9+$C$13)*(K9-$C$13))))</f>
        <v>16822472.074262056</v>
      </c>
      <c r="N9" s="23">
        <f t="shared" si="2"/>
        <v>5.944429543919255E-8</v>
      </c>
      <c r="Q9" s="44">
        <v>3</v>
      </c>
      <c r="R9" s="30">
        <v>0.5</v>
      </c>
      <c r="S9" s="30">
        <v>5.03</v>
      </c>
      <c r="T9" s="31">
        <v>4.47</v>
      </c>
      <c r="U9" s="55"/>
      <c r="V9" s="29">
        <v>3</v>
      </c>
      <c r="W9" s="30" t="e">
        <f>NA()</f>
        <v>#N/A</v>
      </c>
      <c r="X9" s="30" t="e">
        <f>NA()</f>
        <v>#N/A</v>
      </c>
      <c r="Y9" s="30" t="e">
        <f>NA()</f>
        <v>#N/A</v>
      </c>
      <c r="AA9" s="51">
        <f>3</f>
        <v>3</v>
      </c>
      <c r="AB9" s="29">
        <v>9.9000000000000005E-2</v>
      </c>
      <c r="AC9" s="30">
        <v>48</v>
      </c>
      <c r="AD9" s="30">
        <v>4.8700000000000002E-3</v>
      </c>
      <c r="AE9" s="31">
        <v>4.0600000000000002E-3</v>
      </c>
      <c r="AF9" s="55"/>
      <c r="AG9" s="37">
        <f>3</f>
        <v>3</v>
      </c>
      <c r="AH9" s="29">
        <v>9.9000000000000005E-2</v>
      </c>
      <c r="AI9" s="30">
        <v>56</v>
      </c>
      <c r="AJ9" s="30">
        <v>5.2300000000000003E-3</v>
      </c>
      <c r="AK9" s="45">
        <v>4.5100000000000001E-3</v>
      </c>
    </row>
    <row r="10" spans="2:37" ht="15" customHeight="1" x14ac:dyDescent="0.25">
      <c r="I10" s="16">
        <v>5</v>
      </c>
      <c r="J10" s="2">
        <f>C9</f>
        <v>9.5000000000000001E-2</v>
      </c>
      <c r="K10" s="2">
        <f>1.5*C13</f>
        <v>0.75</v>
      </c>
      <c r="L10" s="23">
        <f>F9</f>
        <v>30000000</v>
      </c>
      <c r="M10" s="23">
        <f>IF(J10=0,0,(PI()*L10*$C$13*TAN(RADIANS($C$5)))/LN(((2*J10*TAN(RADIANS($C$5))+K10-$C$13)*(K10+$C$13))/((2*J10*TAN(RADIANS($C$5))+K10+$C$13)*(K10-$C$13))))</f>
        <v>97278357.259746253</v>
      </c>
      <c r="N10" s="23">
        <f t="shared" si="2"/>
        <v>1.0279778854919044E-8</v>
      </c>
      <c r="Q10" s="44">
        <v>3.5</v>
      </c>
      <c r="R10" s="30">
        <v>0.6</v>
      </c>
      <c r="S10" s="30">
        <v>6.78</v>
      </c>
      <c r="T10" s="31">
        <v>6</v>
      </c>
      <c r="U10" s="55"/>
      <c r="V10" s="29">
        <v>3.5</v>
      </c>
      <c r="W10" s="30" t="e">
        <f>NA()</f>
        <v>#N/A</v>
      </c>
      <c r="X10" s="30" t="e">
        <f>NA()</f>
        <v>#N/A</v>
      </c>
      <c r="Y10" s="30" t="e">
        <f>NA()</f>
        <v>#N/A</v>
      </c>
      <c r="AA10" s="51">
        <f>4</f>
        <v>4</v>
      </c>
      <c r="AB10" s="29">
        <v>0.112</v>
      </c>
      <c r="AC10" s="30">
        <v>40</v>
      </c>
      <c r="AD10" s="30">
        <v>6.0400000000000002E-3</v>
      </c>
      <c r="AE10" s="31">
        <v>4.96E-3</v>
      </c>
      <c r="AF10" s="55"/>
      <c r="AG10" s="37">
        <f>4</f>
        <v>4</v>
      </c>
      <c r="AH10" s="29">
        <v>0.112</v>
      </c>
      <c r="AI10" s="30">
        <v>48</v>
      </c>
      <c r="AJ10" s="30">
        <v>6.6100000000000004E-3</v>
      </c>
      <c r="AK10" s="45">
        <v>5.6600000000000001E-3</v>
      </c>
    </row>
    <row r="11" spans="2:37" ht="15" customHeight="1" x14ac:dyDescent="0.25">
      <c r="B11" s="8" t="s">
        <v>16</v>
      </c>
      <c r="C11" s="36" t="str">
        <f>IF($D$2="English",_xlfn.CONCAT(TEXT(C13, "# ?/?"),"""-",C22,"-", C15, " ",C14),_xlfn.CONCAT("M",C13,"-", C22,"-", C15," ",C14))</f>
        <v xml:space="preserve"> 1/2"-13-2.25 UNC</v>
      </c>
      <c r="D11" s="8"/>
      <c r="Q11" s="44">
        <v>4</v>
      </c>
      <c r="R11" s="30">
        <v>0.7</v>
      </c>
      <c r="S11" s="30">
        <v>8.7799999999999994</v>
      </c>
      <c r="T11" s="31">
        <v>7.75</v>
      </c>
      <c r="U11" s="55"/>
      <c r="V11" s="29">
        <v>4</v>
      </c>
      <c r="W11" s="30" t="e">
        <f>NA()</f>
        <v>#N/A</v>
      </c>
      <c r="X11" s="30" t="e">
        <f>NA()</f>
        <v>#N/A</v>
      </c>
      <c r="Y11" s="30" t="e">
        <f>NA()</f>
        <v>#N/A</v>
      </c>
      <c r="AA11" s="51">
        <f>5</f>
        <v>5</v>
      </c>
      <c r="AB11" s="29">
        <v>0.125</v>
      </c>
      <c r="AC11" s="30">
        <v>40</v>
      </c>
      <c r="AD11" s="30">
        <v>7.9600000000000001E-3</v>
      </c>
      <c r="AE11" s="31">
        <v>6.7200000000000003E-3</v>
      </c>
      <c r="AF11" s="55"/>
      <c r="AG11" s="37">
        <f>5</f>
        <v>5</v>
      </c>
      <c r="AH11" s="29">
        <v>0.125</v>
      </c>
      <c r="AI11" s="30">
        <v>44</v>
      </c>
      <c r="AJ11" s="30">
        <v>8.8000000000000005E-3</v>
      </c>
      <c r="AK11" s="45">
        <v>7.1599999999999997E-3</v>
      </c>
    </row>
    <row r="12" spans="2:37" ht="15" customHeight="1" x14ac:dyDescent="0.25">
      <c r="B12" s="1" t="s">
        <v>53</v>
      </c>
      <c r="C12" s="22">
        <f>30*10^6</f>
        <v>30000000</v>
      </c>
      <c r="D12" s="1" t="str">
        <f>IF($D$2="English","psi","Pa")</f>
        <v>psi</v>
      </c>
      <c r="I12" s="25" t="s">
        <v>34</v>
      </c>
      <c r="J12" s="25">
        <f>SUM(J6:J10)</f>
        <v>1.94</v>
      </c>
      <c r="K12" s="25" t="str">
        <f>IF($D$2="English","in", "mm")</f>
        <v>in</v>
      </c>
      <c r="Q12" s="44">
        <v>5</v>
      </c>
      <c r="R12" s="30">
        <v>0.8</v>
      </c>
      <c r="S12" s="30">
        <v>14.2</v>
      </c>
      <c r="T12" s="31">
        <v>12.7</v>
      </c>
      <c r="U12" s="55"/>
      <c r="V12" s="29">
        <v>5</v>
      </c>
      <c r="W12" s="30" t="e">
        <f>NA()</f>
        <v>#N/A</v>
      </c>
      <c r="X12" s="30" t="e">
        <f>NA()</f>
        <v>#N/A</v>
      </c>
      <c r="Y12" s="30" t="e">
        <f>NA()</f>
        <v>#N/A</v>
      </c>
      <c r="AA12" s="51">
        <f>6</f>
        <v>6</v>
      </c>
      <c r="AB12" s="29">
        <v>0.13800000000000001</v>
      </c>
      <c r="AC12" s="30">
        <v>32</v>
      </c>
      <c r="AD12" s="30">
        <v>9.0900000000000009E-3</v>
      </c>
      <c r="AE12" s="31">
        <v>7.45E-3</v>
      </c>
      <c r="AF12" s="55"/>
      <c r="AG12" s="37">
        <f>6</f>
        <v>6</v>
      </c>
      <c r="AH12" s="29">
        <v>0.13800000000000001</v>
      </c>
      <c r="AI12" s="30">
        <v>40</v>
      </c>
      <c r="AJ12" s="30">
        <v>1.0149999999999999E-2</v>
      </c>
      <c r="AK12" s="45">
        <v>8.7399999999999995E-3</v>
      </c>
    </row>
    <row r="13" spans="2:37" ht="15" customHeight="1" x14ac:dyDescent="0.25">
      <c r="B13" s="1" t="s">
        <v>4</v>
      </c>
      <c r="C13" s="17">
        <v>0.5</v>
      </c>
      <c r="D13" s="1" t="str">
        <f t="shared" ref="D13" si="3">IF($D$2="English","in", "mm")</f>
        <v>in</v>
      </c>
      <c r="I13" s="25" t="s">
        <v>23</v>
      </c>
      <c r="J13" s="25">
        <f>C16</f>
        <v>1.94</v>
      </c>
      <c r="K13" s="25" t="str">
        <f>IF($D$2="English","in", "mm")</f>
        <v>in</v>
      </c>
      <c r="Q13" s="44">
        <v>6</v>
      </c>
      <c r="R13" s="30">
        <v>1</v>
      </c>
      <c r="S13" s="30">
        <v>20.100000000000001</v>
      </c>
      <c r="T13" s="31">
        <v>17.899999999999999</v>
      </c>
      <c r="U13" s="55"/>
      <c r="V13" s="29">
        <v>6</v>
      </c>
      <c r="W13" s="30" t="e">
        <f>NA()</f>
        <v>#N/A</v>
      </c>
      <c r="X13" s="30" t="e">
        <f>NA()</f>
        <v>#N/A</v>
      </c>
      <c r="Y13" s="30" t="e">
        <f>NA()</f>
        <v>#N/A</v>
      </c>
      <c r="AA13" s="51">
        <f>8</f>
        <v>8</v>
      </c>
      <c r="AB13" s="29">
        <v>0.16400000000000001</v>
      </c>
      <c r="AC13" s="30">
        <v>32</v>
      </c>
      <c r="AD13" s="30">
        <v>1.4E-2</v>
      </c>
      <c r="AE13" s="31">
        <v>1.196E-2</v>
      </c>
      <c r="AF13" s="55"/>
      <c r="AG13" s="37">
        <f>8</f>
        <v>8</v>
      </c>
      <c r="AH13" s="29">
        <v>0.16400000000000001</v>
      </c>
      <c r="AI13" s="30">
        <v>36</v>
      </c>
      <c r="AJ13" s="30">
        <v>1.474E-2</v>
      </c>
      <c r="AK13" s="45">
        <v>1.285E-2</v>
      </c>
    </row>
    <row r="14" spans="2:37" ht="15" customHeight="1" x14ac:dyDescent="0.25">
      <c r="B14" s="1" t="s">
        <v>54</v>
      </c>
      <c r="C14" s="35" t="s">
        <v>46</v>
      </c>
      <c r="D14" s="1"/>
      <c r="I14" s="25" t="s">
        <v>24</v>
      </c>
      <c r="J14" s="25">
        <f>C16/2</f>
        <v>0.97</v>
      </c>
      <c r="K14" s="25" t="str">
        <f t="shared" ref="K14" si="4">IF($D$2="English","in", "mm")</f>
        <v>in</v>
      </c>
      <c r="Q14" s="44">
        <v>8</v>
      </c>
      <c r="R14" s="30">
        <v>1.25</v>
      </c>
      <c r="S14" s="30">
        <v>36.6</v>
      </c>
      <c r="T14" s="31">
        <v>32.799999999999997</v>
      </c>
      <c r="U14" s="55"/>
      <c r="V14" s="29">
        <v>8</v>
      </c>
      <c r="W14" s="30">
        <v>1</v>
      </c>
      <c r="X14" s="30">
        <v>39.200000000000003</v>
      </c>
      <c r="Y14" s="45">
        <v>36</v>
      </c>
      <c r="AA14" s="51">
        <f>10</f>
        <v>10</v>
      </c>
      <c r="AB14" s="29">
        <v>0.19</v>
      </c>
      <c r="AC14" s="30">
        <v>24</v>
      </c>
      <c r="AD14" s="30">
        <v>1.7500000000000002E-2</v>
      </c>
      <c r="AE14" s="31">
        <v>1.4500000000000001E-2</v>
      </c>
      <c r="AF14" s="55"/>
      <c r="AG14" s="37">
        <f>10</f>
        <v>10</v>
      </c>
      <c r="AH14" s="29">
        <v>0.19</v>
      </c>
      <c r="AI14" s="30">
        <v>32</v>
      </c>
      <c r="AJ14" s="30">
        <v>0.02</v>
      </c>
      <c r="AK14" s="45">
        <v>1.7500000000000002E-2</v>
      </c>
    </row>
    <row r="15" spans="2:37" ht="15" customHeight="1" x14ac:dyDescent="0.25">
      <c r="B15" s="1" t="s">
        <v>5</v>
      </c>
      <c r="C15" s="1">
        <v>2.25</v>
      </c>
      <c r="D15" s="1" t="str">
        <f t="shared" ref="D15" si="5">IF($D$2="English","in", "mm")</f>
        <v>in</v>
      </c>
      <c r="Q15" s="44">
        <v>10</v>
      </c>
      <c r="R15" s="30">
        <v>1.5</v>
      </c>
      <c r="S15" s="30">
        <v>58</v>
      </c>
      <c r="T15" s="31">
        <v>52.3</v>
      </c>
      <c r="U15" s="55"/>
      <c r="V15" s="29">
        <v>10</v>
      </c>
      <c r="W15" s="30">
        <v>1.25</v>
      </c>
      <c r="X15" s="30">
        <v>61.2</v>
      </c>
      <c r="Y15" s="45">
        <v>56.3</v>
      </c>
      <c r="AA15" s="51">
        <f>12</f>
        <v>12</v>
      </c>
      <c r="AB15" s="29">
        <v>0.216</v>
      </c>
      <c r="AC15" s="30">
        <v>24</v>
      </c>
      <c r="AD15" s="30">
        <v>2.4199999999999999E-2</v>
      </c>
      <c r="AE15" s="31">
        <v>2.06E-2</v>
      </c>
      <c r="AF15" s="55"/>
      <c r="AG15" s="37">
        <f>12</f>
        <v>12</v>
      </c>
      <c r="AH15" s="29">
        <v>0.216</v>
      </c>
      <c r="AI15" s="30">
        <v>28</v>
      </c>
      <c r="AJ15" s="30">
        <v>2.58E-2</v>
      </c>
      <c r="AK15" s="45">
        <v>2.2599999999999999E-2</v>
      </c>
    </row>
    <row r="16" spans="2:37" ht="15" customHeight="1" x14ac:dyDescent="0.25">
      <c r="B16" s="2" t="s">
        <v>23</v>
      </c>
      <c r="C16" s="2">
        <f>IF(C25,SUM(C6:C8)+C9,IF(C13&lt;=C8, C6+C7+(C13/2), C6+C7+(C8/2)))</f>
        <v>1.94</v>
      </c>
      <c r="D16" s="2" t="str">
        <f>IF($D$2="English","in", "mm")</f>
        <v>in</v>
      </c>
      <c r="I16" s="2" t="s">
        <v>35</v>
      </c>
      <c r="J16" s="24">
        <f>SUM(N6:N10)^-1</f>
        <v>8073457.5562006673</v>
      </c>
      <c r="K16" s="2" t="str">
        <f>IF($D$2="English","lbf/in","mN/m")</f>
        <v>lbf/in</v>
      </c>
      <c r="Q16" s="44">
        <v>12</v>
      </c>
      <c r="R16" s="30">
        <v>1.75</v>
      </c>
      <c r="S16" s="30">
        <v>84.3</v>
      </c>
      <c r="T16" s="31">
        <v>76.3</v>
      </c>
      <c r="U16" s="55"/>
      <c r="V16" s="29">
        <v>12</v>
      </c>
      <c r="W16" s="30">
        <v>1.25</v>
      </c>
      <c r="X16" s="30">
        <v>92.1</v>
      </c>
      <c r="Y16" s="45">
        <v>86</v>
      </c>
      <c r="AA16" s="51">
        <f>1/4</f>
        <v>0.25</v>
      </c>
      <c r="AB16" s="29">
        <v>0.25</v>
      </c>
      <c r="AC16" s="30">
        <v>20</v>
      </c>
      <c r="AD16" s="30">
        <v>3.1800000000000002E-2</v>
      </c>
      <c r="AE16" s="31">
        <v>2.69E-2</v>
      </c>
      <c r="AF16" s="55"/>
      <c r="AG16" s="37">
        <f>1/4</f>
        <v>0.25</v>
      </c>
      <c r="AH16" s="29">
        <v>0.25</v>
      </c>
      <c r="AI16" s="30">
        <v>28</v>
      </c>
      <c r="AJ16" s="30">
        <v>3.6400000000000002E-2</v>
      </c>
      <c r="AK16" s="45">
        <v>3.2599999999999997E-2</v>
      </c>
    </row>
    <row r="17" spans="2:37" ht="15" customHeight="1" x14ac:dyDescent="0.25">
      <c r="B17" s="2" t="s">
        <v>22</v>
      </c>
      <c r="C17" s="2">
        <f>IF(F17,C15,IF($D$2="English",IF(C15&lt;=6, 2*C13+0.25, 2*C13+0.5),IF(AND(C15&lt;=125,C13&lt;=48),2*C13+6,IF(C15&lt;=200,2*C13+12,2*C13+25))))</f>
        <v>1.25</v>
      </c>
      <c r="D17" s="2" t="str">
        <f t="shared" ref="D17" si="6">IF($D$2="English","in", "mm")</f>
        <v>in</v>
      </c>
      <c r="E17" s="1" t="s">
        <v>38</v>
      </c>
      <c r="F17" s="20" t="b">
        <v>0</v>
      </c>
      <c r="I17" s="2"/>
      <c r="J17" s="19">
        <f>IF($D$2="English",J16*10^-6,J16*10^-9)</f>
        <v>8.0734575562006672</v>
      </c>
      <c r="K17" s="2" t="str">
        <f>IF($D$2="English","Mlbf/in","MN/m")</f>
        <v>Mlbf/in</v>
      </c>
      <c r="Q17" s="44">
        <v>14</v>
      </c>
      <c r="R17" s="30">
        <v>2</v>
      </c>
      <c r="S17" s="30">
        <v>115</v>
      </c>
      <c r="T17" s="31">
        <v>104</v>
      </c>
      <c r="U17" s="55"/>
      <c r="V17" s="29">
        <v>14</v>
      </c>
      <c r="W17" s="30">
        <v>1.5</v>
      </c>
      <c r="X17" s="30">
        <v>125</v>
      </c>
      <c r="Y17" s="45">
        <v>116</v>
      </c>
      <c r="AA17" s="51">
        <f>5/16</f>
        <v>0.3125</v>
      </c>
      <c r="AB17" s="29">
        <v>0.3125</v>
      </c>
      <c r="AC17" s="30">
        <v>18</v>
      </c>
      <c r="AD17" s="30">
        <v>5.2400000000000002E-2</v>
      </c>
      <c r="AE17" s="31">
        <v>4.5400000000000003E-2</v>
      </c>
      <c r="AF17" s="55"/>
      <c r="AG17" s="37">
        <f>5/16</f>
        <v>0.3125</v>
      </c>
      <c r="AH17" s="29">
        <v>0.3125</v>
      </c>
      <c r="AI17" s="30">
        <v>24</v>
      </c>
      <c r="AJ17" s="30">
        <v>5.8000000000000003E-2</v>
      </c>
      <c r="AK17" s="45">
        <v>5.2400000000000002E-2</v>
      </c>
    </row>
    <row r="18" spans="2:37" ht="15" customHeight="1" x14ac:dyDescent="0.25">
      <c r="B18" s="2" t="s">
        <v>25</v>
      </c>
      <c r="C18" s="2">
        <f>C15-C17</f>
        <v>1</v>
      </c>
      <c r="D18" s="2" t="str">
        <f>IF($D$2="English","in", "mm")</f>
        <v>in</v>
      </c>
      <c r="Q18" s="44">
        <v>16</v>
      </c>
      <c r="R18" s="30">
        <v>2</v>
      </c>
      <c r="S18" s="30">
        <v>157</v>
      </c>
      <c r="T18" s="31">
        <v>144</v>
      </c>
      <c r="U18" s="55"/>
      <c r="V18" s="29">
        <v>16</v>
      </c>
      <c r="W18" s="30">
        <v>1.5</v>
      </c>
      <c r="X18" s="30">
        <v>167</v>
      </c>
      <c r="Y18" s="45">
        <v>157</v>
      </c>
      <c r="AA18" s="51">
        <f>3/8</f>
        <v>0.375</v>
      </c>
      <c r="AB18" s="29">
        <v>0.375</v>
      </c>
      <c r="AC18" s="30">
        <v>16</v>
      </c>
      <c r="AD18" s="30">
        <v>7.7499999999999999E-2</v>
      </c>
      <c r="AE18" s="31">
        <v>6.7799999999999999E-2</v>
      </c>
      <c r="AF18" s="55"/>
      <c r="AG18" s="37">
        <f>3/8</f>
        <v>0.375</v>
      </c>
      <c r="AH18" s="29">
        <v>0.375</v>
      </c>
      <c r="AI18" s="30">
        <v>24</v>
      </c>
      <c r="AJ18" s="30">
        <v>8.7800000000000003E-2</v>
      </c>
      <c r="AK18" s="45">
        <v>8.09E-2</v>
      </c>
    </row>
    <row r="19" spans="2:37" ht="15" customHeight="1" x14ac:dyDescent="0.25">
      <c r="B19" s="2" t="s">
        <v>26</v>
      </c>
      <c r="C19" s="2">
        <f>C16-C18</f>
        <v>0.94</v>
      </c>
      <c r="D19" s="2" t="str">
        <f>IF($D$2="English","in", "mm")</f>
        <v>in</v>
      </c>
      <c r="I19" s="2" t="s">
        <v>57</v>
      </c>
      <c r="J19" s="28">
        <f>C33/(C33+J16)</f>
        <v>0.24077150962762534</v>
      </c>
      <c r="Q19" s="44">
        <v>20</v>
      </c>
      <c r="R19" s="30">
        <v>2.5</v>
      </c>
      <c r="S19" s="30">
        <v>245</v>
      </c>
      <c r="T19" s="31">
        <v>225</v>
      </c>
      <c r="U19" s="55"/>
      <c r="V19" s="29">
        <v>20</v>
      </c>
      <c r="W19" s="30">
        <v>1.5</v>
      </c>
      <c r="X19" s="30">
        <v>272</v>
      </c>
      <c r="Y19" s="45">
        <v>259</v>
      </c>
      <c r="AA19" s="51">
        <f>7/16</f>
        <v>0.4375</v>
      </c>
      <c r="AB19" s="29">
        <v>0.4375</v>
      </c>
      <c r="AC19" s="30">
        <v>14</v>
      </c>
      <c r="AD19" s="30">
        <v>0.10630000000000001</v>
      </c>
      <c r="AE19" s="31">
        <v>9.3299999999999994E-2</v>
      </c>
      <c r="AF19" s="55"/>
      <c r="AG19" s="37">
        <f>7/16</f>
        <v>0.4375</v>
      </c>
      <c r="AH19" s="29">
        <v>0.4375</v>
      </c>
      <c r="AI19" s="30">
        <v>20</v>
      </c>
      <c r="AJ19" s="30">
        <v>0.1187</v>
      </c>
      <c r="AK19" s="45">
        <v>0.109</v>
      </c>
    </row>
    <row r="20" spans="2:37" ht="15" customHeight="1" x14ac:dyDescent="0.25">
      <c r="B20" s="2" t="s">
        <v>7</v>
      </c>
      <c r="C20" s="18">
        <f>(PI()*(C13^2))/4</f>
        <v>0.19634954084936207</v>
      </c>
      <c r="D20" s="2" t="str">
        <f>IF($D$2="English","in^2","mm^2")</f>
        <v>in^2</v>
      </c>
      <c r="Q20" s="44">
        <v>24</v>
      </c>
      <c r="R20" s="30">
        <v>3</v>
      </c>
      <c r="S20" s="30">
        <v>353</v>
      </c>
      <c r="T20" s="31">
        <v>324</v>
      </c>
      <c r="U20" s="55"/>
      <c r="V20" s="29">
        <v>24</v>
      </c>
      <c r="W20" s="30">
        <v>2</v>
      </c>
      <c r="X20" s="30">
        <v>384</v>
      </c>
      <c r="Y20" s="45">
        <v>365</v>
      </c>
      <c r="AA20" s="51">
        <f>1/2</f>
        <v>0.5</v>
      </c>
      <c r="AB20" s="29">
        <v>0.5</v>
      </c>
      <c r="AC20" s="30">
        <v>13</v>
      </c>
      <c r="AD20" s="30">
        <v>0.1419</v>
      </c>
      <c r="AE20" s="31">
        <v>0.12570000000000001</v>
      </c>
      <c r="AF20" s="55"/>
      <c r="AG20" s="37">
        <f>1/2</f>
        <v>0.5</v>
      </c>
      <c r="AH20" s="29">
        <v>0.5</v>
      </c>
      <c r="AI20" s="30">
        <v>20</v>
      </c>
      <c r="AJ20" s="30">
        <v>0.15989999999999999</v>
      </c>
      <c r="AK20" s="45">
        <v>0.14860000000000001</v>
      </c>
    </row>
    <row r="21" spans="2:37" ht="15" customHeight="1" x14ac:dyDescent="0.25">
      <c r="B21" s="2" t="s">
        <v>8</v>
      </c>
      <c r="C21" s="2">
        <f>IF($D$2="English",IF($C$14="UNC",VLOOKUP($C$13,$AB$6:$AE$27,3,FALSE),VLOOKUP($C$13,$AH$6:$AK$27,3,FALSE)), IF($C$14="UNC",VLOOKUP($C$13,$Q$6:$T$31,3,FALSE),VLOOKUP($C$13,$V$6:$Y$31,3,FALSE)))</f>
        <v>0.1419</v>
      </c>
      <c r="D21" s="2" t="str">
        <f>IF($D$2="English","in^2","mm^2")</f>
        <v>in^2</v>
      </c>
      <c r="Q21" s="44">
        <v>30</v>
      </c>
      <c r="R21" s="30">
        <v>3.5</v>
      </c>
      <c r="S21" s="30">
        <v>561</v>
      </c>
      <c r="T21" s="31">
        <v>519</v>
      </c>
      <c r="U21" s="55"/>
      <c r="V21" s="29">
        <v>30</v>
      </c>
      <c r="W21" s="30">
        <v>2</v>
      </c>
      <c r="X21" s="30">
        <v>621</v>
      </c>
      <c r="Y21" s="45">
        <v>596</v>
      </c>
      <c r="AA21" s="51">
        <f>9/16</f>
        <v>0.5625</v>
      </c>
      <c r="AB21" s="29">
        <v>0.5625</v>
      </c>
      <c r="AC21" s="30">
        <v>12</v>
      </c>
      <c r="AD21" s="30">
        <v>0.182</v>
      </c>
      <c r="AE21" s="31">
        <v>0.16200000000000001</v>
      </c>
      <c r="AF21" s="55"/>
      <c r="AG21" s="37">
        <f>9/16</f>
        <v>0.5625</v>
      </c>
      <c r="AH21" s="29">
        <v>0.5625</v>
      </c>
      <c r="AI21" s="30">
        <v>18</v>
      </c>
      <c r="AJ21" s="30">
        <v>0.20300000000000001</v>
      </c>
      <c r="AK21" s="45">
        <v>0.189</v>
      </c>
    </row>
    <row r="22" spans="2:37" ht="15" customHeight="1" x14ac:dyDescent="0.25">
      <c r="B22" s="2" t="str">
        <f>IF($D$2="English","Bolt threads per inch, p","Bolt pitch, p")</f>
        <v>Bolt threads per inch, p</v>
      </c>
      <c r="C22" s="2">
        <f>IF($D$2="English",IF($C$14="UNC",VLOOKUP($C$13,$AB$6:$AE$27,2,FALSE),VLOOKUP($C$13,$AH$6:$AK$27,2,FALSE)), IF($C$14="UNC",VLOOKUP($C$13,$Q$6:$T$31,2,FALSE),VLOOKUP($C$13,$V$6:$Y$31,2,FALSE)))</f>
        <v>13</v>
      </c>
      <c r="D22" s="2" t="str">
        <f>IF($D$2="English","threads/in","mm")</f>
        <v>threads/in</v>
      </c>
      <c r="Q22" s="44">
        <v>36</v>
      </c>
      <c r="R22" s="30">
        <v>4</v>
      </c>
      <c r="S22" s="30">
        <v>817</v>
      </c>
      <c r="T22" s="31">
        <v>759</v>
      </c>
      <c r="U22" s="55"/>
      <c r="V22" s="29">
        <v>36</v>
      </c>
      <c r="W22" s="30">
        <v>2</v>
      </c>
      <c r="X22" s="30">
        <v>915</v>
      </c>
      <c r="Y22" s="45">
        <v>884</v>
      </c>
      <c r="AA22" s="51">
        <f>5/8</f>
        <v>0.625</v>
      </c>
      <c r="AB22" s="29">
        <v>0.625</v>
      </c>
      <c r="AC22" s="30">
        <v>11</v>
      </c>
      <c r="AD22" s="30">
        <v>0.22600000000000001</v>
      </c>
      <c r="AE22" s="31">
        <v>0.20200000000000001</v>
      </c>
      <c r="AF22" s="55"/>
      <c r="AG22" s="37">
        <f>5/8</f>
        <v>0.625</v>
      </c>
      <c r="AH22" s="29">
        <v>0.625</v>
      </c>
      <c r="AI22" s="30">
        <v>18</v>
      </c>
      <c r="AJ22" s="30">
        <v>0.25600000000000001</v>
      </c>
      <c r="AK22" s="45">
        <v>0.24</v>
      </c>
    </row>
    <row r="23" spans="2:37" ht="15" customHeight="1" x14ac:dyDescent="0.25">
      <c r="Q23" s="44">
        <v>42</v>
      </c>
      <c r="R23" s="30">
        <v>4.5</v>
      </c>
      <c r="S23" s="30">
        <v>1120</v>
      </c>
      <c r="T23" s="31">
        <v>1050</v>
      </c>
      <c r="U23" s="55"/>
      <c r="V23" s="29">
        <v>42</v>
      </c>
      <c r="W23" s="30">
        <v>2</v>
      </c>
      <c r="X23" s="30">
        <v>1260</v>
      </c>
      <c r="Y23" s="45">
        <v>1230</v>
      </c>
      <c r="AA23" s="51">
        <f>3/4</f>
        <v>0.75</v>
      </c>
      <c r="AB23" s="29">
        <v>0.75</v>
      </c>
      <c r="AC23" s="30">
        <v>10</v>
      </c>
      <c r="AD23" s="30">
        <v>0.33400000000000002</v>
      </c>
      <c r="AE23" s="31">
        <v>0.30199999999999999</v>
      </c>
      <c r="AF23" s="55"/>
      <c r="AG23" s="37">
        <f>3/4</f>
        <v>0.75</v>
      </c>
      <c r="AH23" s="29">
        <v>0.75</v>
      </c>
      <c r="AI23" s="30">
        <v>16</v>
      </c>
      <c r="AJ23" s="30">
        <v>0.373</v>
      </c>
      <c r="AK23" s="45">
        <v>0.35099999999999998</v>
      </c>
    </row>
    <row r="24" spans="2:37" ht="15" customHeight="1" x14ac:dyDescent="0.25">
      <c r="B24" s="1" t="s">
        <v>9</v>
      </c>
      <c r="C24" s="20" t="b">
        <v>0</v>
      </c>
      <c r="D24" s="57" t="s">
        <v>36</v>
      </c>
      <c r="E24" s="57"/>
      <c r="F24" s="57"/>
      <c r="Q24" s="44">
        <v>48</v>
      </c>
      <c r="R24" s="30">
        <v>5</v>
      </c>
      <c r="S24" s="30">
        <v>1470</v>
      </c>
      <c r="T24" s="31">
        <v>1380</v>
      </c>
      <c r="U24" s="55"/>
      <c r="V24" s="29">
        <v>48</v>
      </c>
      <c r="W24" s="30">
        <v>2</v>
      </c>
      <c r="X24" s="30">
        <v>1670</v>
      </c>
      <c r="Y24" s="45">
        <v>1630</v>
      </c>
      <c r="AA24" s="51">
        <f>7/8</f>
        <v>0.875</v>
      </c>
      <c r="AB24" s="29">
        <v>0.875</v>
      </c>
      <c r="AC24" s="30">
        <v>9</v>
      </c>
      <c r="AD24" s="30">
        <v>0.46200000000000002</v>
      </c>
      <c r="AE24" s="31">
        <v>0.41899999999999998</v>
      </c>
      <c r="AF24" s="55"/>
      <c r="AG24" s="37">
        <f>7/8</f>
        <v>0.875</v>
      </c>
      <c r="AH24" s="29">
        <v>0.875</v>
      </c>
      <c r="AI24" s="30">
        <v>14</v>
      </c>
      <c r="AJ24" s="30">
        <v>0.50900000000000001</v>
      </c>
      <c r="AK24" s="45">
        <v>0.48</v>
      </c>
    </row>
    <row r="25" spans="2:37" ht="15" customHeight="1" x14ac:dyDescent="0.25">
      <c r="B25" s="1" t="s">
        <v>10</v>
      </c>
      <c r="C25" s="21" t="b">
        <f>NOT(C24)</f>
        <v>1</v>
      </c>
      <c r="D25" s="57"/>
      <c r="E25" s="57"/>
      <c r="F25" s="57"/>
      <c r="Q25" s="44">
        <v>56</v>
      </c>
      <c r="R25" s="30">
        <v>5.5</v>
      </c>
      <c r="S25" s="30">
        <v>2030</v>
      </c>
      <c r="T25" s="31">
        <v>1910</v>
      </c>
      <c r="U25" s="55"/>
      <c r="V25" s="29">
        <v>56</v>
      </c>
      <c r="W25" s="30">
        <v>2</v>
      </c>
      <c r="X25" s="30">
        <v>2300</v>
      </c>
      <c r="Y25" s="45">
        <v>2250</v>
      </c>
      <c r="AA25" s="51">
        <f>1</f>
        <v>1</v>
      </c>
      <c r="AB25" s="29">
        <v>1</v>
      </c>
      <c r="AC25" s="30">
        <v>8</v>
      </c>
      <c r="AD25" s="30">
        <v>0.60599999999999998</v>
      </c>
      <c r="AE25" s="31">
        <v>0.55100000000000005</v>
      </c>
      <c r="AF25" s="55"/>
      <c r="AG25" s="37">
        <f>1</f>
        <v>1</v>
      </c>
      <c r="AH25" s="29">
        <v>1</v>
      </c>
      <c r="AI25" s="30">
        <v>12</v>
      </c>
      <c r="AJ25" s="30">
        <v>0.66300000000000003</v>
      </c>
      <c r="AK25" s="45">
        <v>0.625</v>
      </c>
    </row>
    <row r="26" spans="2:37" ht="15" customHeight="1" x14ac:dyDescent="0.25">
      <c r="Q26" s="44">
        <v>64</v>
      </c>
      <c r="R26" s="30">
        <v>6</v>
      </c>
      <c r="S26" s="30">
        <v>2680</v>
      </c>
      <c r="T26" s="31">
        <v>2520</v>
      </c>
      <c r="U26" s="55"/>
      <c r="V26" s="29">
        <v>64</v>
      </c>
      <c r="W26" s="30">
        <v>2</v>
      </c>
      <c r="X26" s="30">
        <v>3030</v>
      </c>
      <c r="Y26" s="45">
        <v>2980</v>
      </c>
      <c r="AA26" s="51">
        <f>1.25</f>
        <v>1.25</v>
      </c>
      <c r="AB26" s="29">
        <v>1.25</v>
      </c>
      <c r="AC26" s="30">
        <v>7</v>
      </c>
      <c r="AD26" s="30">
        <v>0.96899999999999997</v>
      </c>
      <c r="AE26" s="31">
        <v>0.89</v>
      </c>
      <c r="AF26" s="55"/>
      <c r="AG26" s="37">
        <f>1.25</f>
        <v>1.25</v>
      </c>
      <c r="AH26" s="29">
        <v>1.25</v>
      </c>
      <c r="AI26" s="30">
        <v>12</v>
      </c>
      <c r="AJ26" s="30">
        <v>1.073</v>
      </c>
      <c r="AK26" s="45">
        <v>1.024</v>
      </c>
    </row>
    <row r="27" spans="2:37" ht="15" customHeight="1" thickBot="1" x14ac:dyDescent="0.3">
      <c r="B27" s="2" t="s">
        <v>39</v>
      </c>
      <c r="C27" s="24">
        <f>IF(C18=0,0,(C20*C12)/C18)</f>
        <v>5890486.225480862</v>
      </c>
      <c r="D27" s="2" t="str">
        <f>IF($D$2="English","lbf/in","mN/m")</f>
        <v>lbf/in</v>
      </c>
      <c r="Q27" s="44">
        <v>72</v>
      </c>
      <c r="R27" s="30">
        <v>6</v>
      </c>
      <c r="S27" s="30">
        <v>3460</v>
      </c>
      <c r="T27" s="31">
        <v>3280</v>
      </c>
      <c r="U27" s="55"/>
      <c r="V27" s="29">
        <v>72</v>
      </c>
      <c r="W27" s="30">
        <v>2</v>
      </c>
      <c r="X27" s="30">
        <v>3860</v>
      </c>
      <c r="Y27" s="45">
        <v>3800</v>
      </c>
      <c r="AA27" s="52">
        <f>1.5</f>
        <v>1.5</v>
      </c>
      <c r="AB27" s="49">
        <v>1.5</v>
      </c>
      <c r="AC27" s="47">
        <v>6</v>
      </c>
      <c r="AD27" s="47">
        <v>1.405</v>
      </c>
      <c r="AE27" s="48">
        <v>1.294</v>
      </c>
      <c r="AF27" s="56"/>
      <c r="AG27" s="53">
        <f>1.5</f>
        <v>1.5</v>
      </c>
      <c r="AH27" s="49">
        <v>1.5</v>
      </c>
      <c r="AI27" s="47">
        <v>12</v>
      </c>
      <c r="AJ27" s="47">
        <v>1.581</v>
      </c>
      <c r="AK27" s="50">
        <v>1.5209999999999999</v>
      </c>
    </row>
    <row r="28" spans="2:37" ht="15" customHeight="1" x14ac:dyDescent="0.25">
      <c r="B28" s="2"/>
      <c r="C28" s="19">
        <f>IF($D$2="English",C27*10^-6,C27*10^-9)</f>
        <v>5.8904862254808616</v>
      </c>
      <c r="D28" s="2" t="str">
        <f>IF($D$2="English","Mlbf/in","MN/m")</f>
        <v>Mlbf/in</v>
      </c>
      <c r="Q28" s="44">
        <v>80</v>
      </c>
      <c r="R28" s="30">
        <v>6</v>
      </c>
      <c r="S28" s="30">
        <v>4340</v>
      </c>
      <c r="T28" s="31">
        <v>4140</v>
      </c>
      <c r="U28" s="55"/>
      <c r="V28" s="29">
        <v>80</v>
      </c>
      <c r="W28" s="30">
        <v>1.5</v>
      </c>
      <c r="X28" s="30">
        <v>4850</v>
      </c>
      <c r="Y28" s="45">
        <v>4800</v>
      </c>
    </row>
    <row r="29" spans="2:37" ht="15" customHeight="1" x14ac:dyDescent="0.25">
      <c r="Q29" s="44">
        <v>90</v>
      </c>
      <c r="R29" s="30">
        <v>6</v>
      </c>
      <c r="S29" s="30">
        <v>5590</v>
      </c>
      <c r="T29" s="31">
        <v>5360</v>
      </c>
      <c r="U29" s="55"/>
      <c r="V29" s="29">
        <v>90</v>
      </c>
      <c r="W29" s="30">
        <v>2</v>
      </c>
      <c r="X29" s="30">
        <v>6100</v>
      </c>
      <c r="Y29" s="45">
        <v>6020</v>
      </c>
    </row>
    <row r="30" spans="2:37" ht="15" customHeight="1" x14ac:dyDescent="0.25">
      <c r="B30" s="2" t="s">
        <v>40</v>
      </c>
      <c r="C30" s="24">
        <f>IF(C19=0,0,(C21*C12)/C19)</f>
        <v>4528723.4042553194</v>
      </c>
      <c r="D30" s="2" t="str">
        <f>IF($D$2="English","lbf/in","mN/m")</f>
        <v>lbf/in</v>
      </c>
      <c r="Q30" s="44">
        <v>100</v>
      </c>
      <c r="R30" s="30">
        <v>6</v>
      </c>
      <c r="S30" s="30">
        <v>6990</v>
      </c>
      <c r="T30" s="31">
        <v>6740</v>
      </c>
      <c r="U30" s="55"/>
      <c r="V30" s="29">
        <v>100</v>
      </c>
      <c r="W30" s="30">
        <v>2</v>
      </c>
      <c r="X30" s="30">
        <v>7560</v>
      </c>
      <c r="Y30" s="45">
        <v>7470</v>
      </c>
    </row>
    <row r="31" spans="2:37" ht="15" customHeight="1" thickBot="1" x14ac:dyDescent="0.3">
      <c r="B31" s="2"/>
      <c r="C31" s="19">
        <f>IF($D$2="English",C30*10^-6,C30*10^-9)</f>
        <v>4.5287234042553193</v>
      </c>
      <c r="D31" s="2" t="str">
        <f>IF($D$2="English","Mlbf/in","MN/m")</f>
        <v>Mlbf/in</v>
      </c>
      <c r="Q31" s="46">
        <v>110</v>
      </c>
      <c r="R31" s="47">
        <v>6</v>
      </c>
      <c r="S31" s="47" t="e">
        <f>NA()</f>
        <v>#N/A</v>
      </c>
      <c r="T31" s="47" t="e">
        <f>NA()</f>
        <v>#N/A</v>
      </c>
      <c r="U31" s="56"/>
      <c r="V31" s="49">
        <v>110</v>
      </c>
      <c r="W31" s="47">
        <v>2</v>
      </c>
      <c r="X31" s="47">
        <v>9180</v>
      </c>
      <c r="Y31" s="50">
        <v>9080</v>
      </c>
    </row>
    <row r="33" spans="2:4" ht="15" customHeight="1" x14ac:dyDescent="0.25">
      <c r="B33" s="2" t="s">
        <v>6</v>
      </c>
      <c r="C33" s="24">
        <f>SUM(IF(C27=0,0,C27^-1),IF(C30=0,0,C30^-1))^-1</f>
        <v>2560307.7181252772</v>
      </c>
      <c r="D33" s="2" t="str">
        <f>IF($D$2="English","lbf/in","mN/m")</f>
        <v>lbf/in</v>
      </c>
    </row>
    <row r="34" spans="2:4" ht="15" customHeight="1" x14ac:dyDescent="0.25">
      <c r="B34" s="2"/>
      <c r="C34" s="19">
        <f>IF($D$2="English",C33*10^-6,C33*10^-9)</f>
        <v>2.5603077181252769</v>
      </c>
      <c r="D34" s="2" t="str">
        <f>IF($D$2="English","Mlbf/in","MN/m")</f>
        <v>Mlbf/in</v>
      </c>
    </row>
    <row r="150" spans="38:38" ht="15" customHeight="1" x14ac:dyDescent="0.25">
      <c r="AL150" s="6" t="s">
        <v>27</v>
      </c>
    </row>
  </sheetData>
  <mergeCells count="5">
    <mergeCell ref="D24:F25"/>
    <mergeCell ref="Q4:T4"/>
    <mergeCell ref="V4:Y4"/>
    <mergeCell ref="AA4:AE4"/>
    <mergeCell ref="AG4:AK4"/>
  </mergeCells>
  <conditionalFormatting sqref="C16:D16">
    <cfRule type="expression" dxfId="69" priority="27">
      <formula>$C$16&lt;&gt;$J$12</formula>
    </cfRule>
    <cfRule type="duplicateValues" dxfId="68" priority="28"/>
  </conditionalFormatting>
  <conditionalFormatting sqref="I6:N6">
    <cfRule type="expression" dxfId="67" priority="19">
      <formula>0=$J$6</formula>
    </cfRule>
  </conditionalFormatting>
  <conditionalFormatting sqref="I7:N7">
    <cfRule type="expression" dxfId="66" priority="20">
      <formula>0=$J$7</formula>
    </cfRule>
  </conditionalFormatting>
  <conditionalFormatting sqref="I8:N8">
    <cfRule type="expression" dxfId="65" priority="18">
      <formula>0=$J$8</formula>
    </cfRule>
  </conditionalFormatting>
  <conditionalFormatting sqref="I9:N9">
    <cfRule type="expression" dxfId="64" priority="17">
      <formula>0=$J$9</formula>
    </cfRule>
  </conditionalFormatting>
  <conditionalFormatting sqref="I10:N10">
    <cfRule type="expression" dxfId="63" priority="16">
      <formula>0=$J$10</formula>
    </cfRule>
  </conditionalFormatting>
  <conditionalFormatting sqref="J12:K13">
    <cfRule type="expression" dxfId="62" priority="31">
      <formula>$C$16&lt;&gt;$J$12</formula>
    </cfRule>
  </conditionalFormatting>
  <dataValidations count="2">
    <dataValidation type="list" allowBlank="1" showInputMessage="1" showErrorMessage="1" sqref="D2" xr:uid="{8F7EF575-DF86-4040-B02E-0F08928C6D08}">
      <formula1>"English, Metric"</formula1>
    </dataValidation>
    <dataValidation type="list" allowBlank="1" showInputMessage="1" showErrorMessage="1" sqref="C14" xr:uid="{D7C41092-65D0-1644-BE15-79203DBCE3DE}">
      <formula1>"UNC, UNF"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2A2B-78FA-49F8-A6CB-0EBF45CED60D}">
  <sheetPr>
    <tabColor rgb="FF00B050"/>
  </sheetPr>
  <dimension ref="B2:AL150"/>
  <sheetViews>
    <sheetView zoomScaleNormal="100" workbookViewId="0">
      <selection activeCell="K32" sqref="K32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3" style="6" customWidth="1"/>
    <col min="4" max="4" width="10.140625" style="6" customWidth="1"/>
    <col min="5" max="5" width="17.4257812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" width="8.85546875" style="6"/>
    <col min="17" max="17" width="16.85546875" style="6" bestFit="1" customWidth="1"/>
    <col min="18" max="18" width="7.5703125" style="6" bestFit="1" customWidth="1"/>
    <col min="19" max="19" width="15.140625" style="6" customWidth="1"/>
    <col min="20" max="20" width="15.85546875" style="6" customWidth="1"/>
    <col min="21" max="21" width="8.85546875" style="6"/>
    <col min="22" max="22" width="16.85546875" style="6" bestFit="1" customWidth="1"/>
    <col min="23" max="23" width="7.5703125" style="6" bestFit="1" customWidth="1"/>
    <col min="24" max="24" width="15.140625" style="6" customWidth="1"/>
    <col min="25" max="25" width="15.85546875" style="6" customWidth="1"/>
    <col min="26" max="26" width="8.85546875" style="6"/>
    <col min="27" max="28" width="16.85546875" style="6" bestFit="1" customWidth="1"/>
    <col min="29" max="29" width="12" style="6" bestFit="1" customWidth="1"/>
    <col min="30" max="30" width="15.140625" style="6" customWidth="1"/>
    <col min="31" max="31" width="15.85546875" style="6" customWidth="1"/>
    <col min="32" max="32" width="8.85546875" style="6"/>
    <col min="33" max="34" width="16.85546875" style="6" bestFit="1" customWidth="1"/>
    <col min="35" max="35" width="12" style="6" bestFit="1" customWidth="1"/>
    <col min="36" max="36" width="15.140625" style="6" customWidth="1"/>
    <col min="37" max="37" width="15.85546875" style="6" customWidth="1"/>
    <col min="38" max="16384" width="8.85546875" style="6"/>
  </cols>
  <sheetData>
    <row r="2" spans="2:37" ht="15" customHeight="1" thickBot="1" x14ac:dyDescent="0.3">
      <c r="B2" s="3" t="s">
        <v>0</v>
      </c>
      <c r="C2" s="4" t="s">
        <v>18</v>
      </c>
      <c r="D2" s="5" t="s">
        <v>2</v>
      </c>
      <c r="I2" s="7" t="s">
        <v>1</v>
      </c>
      <c r="J2" s="2"/>
      <c r="K2" s="2"/>
      <c r="L2" s="2"/>
      <c r="M2" s="2"/>
      <c r="N2" s="2"/>
      <c r="Q2" s="6" t="s">
        <v>55</v>
      </c>
      <c r="AA2" s="6" t="s">
        <v>56</v>
      </c>
    </row>
    <row r="3" spans="2:37" ht="15" customHeight="1" x14ac:dyDescent="0.25">
      <c r="Q3" s="38"/>
      <c r="R3" s="39"/>
      <c r="S3" s="39"/>
      <c r="T3" s="39"/>
      <c r="U3" s="40" t="s">
        <v>37</v>
      </c>
      <c r="V3" s="39"/>
      <c r="W3" s="39"/>
      <c r="X3" s="39"/>
      <c r="Y3" s="41"/>
      <c r="AA3" s="38"/>
      <c r="AB3" s="39"/>
      <c r="AC3" s="39"/>
      <c r="AD3" s="39"/>
      <c r="AE3" s="39"/>
      <c r="AF3" s="40" t="s">
        <v>2</v>
      </c>
      <c r="AG3" s="39"/>
      <c r="AH3" s="39"/>
      <c r="AI3" s="39"/>
      <c r="AJ3" s="39"/>
      <c r="AK3" s="41"/>
    </row>
    <row r="4" spans="2:37" ht="15" customHeight="1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  <c r="Q4" s="58" t="s">
        <v>46</v>
      </c>
      <c r="R4" s="59"/>
      <c r="S4" s="59"/>
      <c r="T4" s="59"/>
      <c r="V4" s="59" t="s">
        <v>47</v>
      </c>
      <c r="W4" s="59"/>
      <c r="X4" s="59"/>
      <c r="Y4" s="60"/>
      <c r="AA4" s="58" t="s">
        <v>46</v>
      </c>
      <c r="AB4" s="59"/>
      <c r="AC4" s="59"/>
      <c r="AD4" s="59"/>
      <c r="AE4" s="59"/>
      <c r="AG4" s="59" t="s">
        <v>47</v>
      </c>
      <c r="AH4" s="59"/>
      <c r="AI4" s="59"/>
      <c r="AJ4" s="59"/>
      <c r="AK4" s="60"/>
    </row>
    <row r="5" spans="2:37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[in]</v>
      </c>
      <c r="K5" s="15" t="str">
        <f>_xlfn.CONCAT("D ", "[",D13,"]")</f>
        <v>D [in]</v>
      </c>
      <c r="L5" s="15" t="str">
        <f>_xlfn.CONCAT("E ", "[",G6,"]")</f>
        <v>E [psi]</v>
      </c>
      <c r="M5" s="15" t="str">
        <f>_xlfn.CONCAT("k ", "[",D33,"]")</f>
        <v>k [lbf/in]</v>
      </c>
      <c r="N5" s="15" t="s">
        <v>21</v>
      </c>
      <c r="Q5" s="42" t="s">
        <v>44</v>
      </c>
      <c r="R5" s="33" t="s">
        <v>43</v>
      </c>
      <c r="S5" s="33" t="s">
        <v>42</v>
      </c>
      <c r="T5" s="34" t="s">
        <v>45</v>
      </c>
      <c r="V5" s="32" t="s">
        <v>44</v>
      </c>
      <c r="W5" s="33" t="s">
        <v>43</v>
      </c>
      <c r="X5" s="33" t="s">
        <v>42</v>
      </c>
      <c r="Y5" s="43" t="s">
        <v>45</v>
      </c>
      <c r="AA5" s="42" t="s">
        <v>48</v>
      </c>
      <c r="AB5" s="32" t="s">
        <v>49</v>
      </c>
      <c r="AC5" s="33" t="s">
        <v>50</v>
      </c>
      <c r="AD5" s="33" t="s">
        <v>51</v>
      </c>
      <c r="AE5" s="34" t="s">
        <v>52</v>
      </c>
      <c r="AG5" s="32" t="s">
        <v>48</v>
      </c>
      <c r="AH5" s="32" t="s">
        <v>49</v>
      </c>
      <c r="AI5" s="33" t="s">
        <v>50</v>
      </c>
      <c r="AJ5" s="33" t="s">
        <v>51</v>
      </c>
      <c r="AK5" s="43" t="s">
        <v>52</v>
      </c>
    </row>
    <row r="6" spans="2:37" ht="15" customHeight="1" x14ac:dyDescent="0.25">
      <c r="B6" s="1" t="s">
        <v>29</v>
      </c>
      <c r="C6" s="1">
        <v>0.13400000000000001</v>
      </c>
      <c r="D6" s="1" t="str">
        <f>IF($D$2="English","in", "mm")</f>
        <v>in</v>
      </c>
      <c r="E6" s="13" t="s">
        <v>12</v>
      </c>
      <c r="F6" s="22">
        <f>30*10^6</f>
        <v>30000000</v>
      </c>
      <c r="G6" s="1" t="str">
        <f t="shared" ref="G6:G9" si="0">IF($D$2="English","psi","Pa")</f>
        <v>psi</v>
      </c>
      <c r="I6" s="16">
        <v>1</v>
      </c>
      <c r="J6" s="2">
        <f>C6</f>
        <v>0.13400000000000001</v>
      </c>
      <c r="K6" s="2">
        <f>1.5*C13</f>
        <v>1.125</v>
      </c>
      <c r="L6" s="23">
        <f>F6</f>
        <v>30000000</v>
      </c>
      <c r="M6" s="23">
        <f>IF(J6=0,0,(PI()*L6*$C$13*TAN(RADIANS($C$5)))/LN(((2*J6*TAN(RADIANS($C$5))+K6-$C$13)*(K6+$C$13))/((2*J6*TAN(RADIANS($C$5))+K6+$C$13)*(K6-$C$13))))</f>
        <v>153338070.73820651</v>
      </c>
      <c r="N6" s="23">
        <f>IF(M6=0,0,M6^-1)</f>
        <v>6.5215376402334953E-9</v>
      </c>
      <c r="Q6" s="44">
        <v>1.6</v>
      </c>
      <c r="R6" s="30">
        <v>0.35</v>
      </c>
      <c r="S6" s="30">
        <v>1.27</v>
      </c>
      <c r="T6" s="31">
        <v>1.07</v>
      </c>
      <c r="V6" s="29">
        <v>1.6</v>
      </c>
      <c r="W6" s="30" t="e">
        <f>NA()</f>
        <v>#N/A</v>
      </c>
      <c r="X6" s="30" t="e">
        <f>NA()</f>
        <v>#N/A</v>
      </c>
      <c r="Y6" s="30" t="e">
        <f>NA()</f>
        <v>#N/A</v>
      </c>
      <c r="AA6" s="51">
        <f>0</f>
        <v>0</v>
      </c>
      <c r="AB6" s="29">
        <v>0.06</v>
      </c>
      <c r="AC6" s="30" t="e">
        <f>NA()</f>
        <v>#N/A</v>
      </c>
      <c r="AD6" s="30" t="e">
        <f>NA()</f>
        <v>#N/A</v>
      </c>
      <c r="AE6" s="31" t="e">
        <f>NA()</f>
        <v>#N/A</v>
      </c>
      <c r="AG6" s="37">
        <f>0</f>
        <v>0</v>
      </c>
      <c r="AH6" s="29">
        <v>0.06</v>
      </c>
      <c r="AI6" s="30">
        <v>80</v>
      </c>
      <c r="AJ6" s="30">
        <v>1.8E-3</v>
      </c>
      <c r="AK6" s="45">
        <v>1.5100000000000001E-3</v>
      </c>
    </row>
    <row r="7" spans="2:37" ht="15" customHeight="1" x14ac:dyDescent="0.25">
      <c r="B7" s="1" t="s">
        <v>30</v>
      </c>
      <c r="C7" s="1">
        <v>1</v>
      </c>
      <c r="D7" s="1" t="str">
        <f t="shared" ref="D7:D9" si="1">IF($D$2="English","in", "mm")</f>
        <v>in</v>
      </c>
      <c r="E7" s="13" t="s">
        <v>13</v>
      </c>
      <c r="F7" s="22">
        <f>30*10^6</f>
        <v>30000000</v>
      </c>
      <c r="G7" s="1" t="str">
        <f t="shared" si="0"/>
        <v>psi</v>
      </c>
      <c r="I7" s="16">
        <v>2</v>
      </c>
      <c r="J7" s="2">
        <f>IF(C6+C7&lt;J14,C7,J14-C6)</f>
        <v>1</v>
      </c>
      <c r="K7" s="18">
        <f>K6+2*J6*TAN(RADIANS($C$5))</f>
        <v>1.2797298721428196</v>
      </c>
      <c r="L7" s="23">
        <f>F7</f>
        <v>30000000</v>
      </c>
      <c r="M7" s="23">
        <f>IF(J7=0,0,(PI()*L7*$C$13*TAN(RADIANS($C$5)))/LN(((2*J7*TAN(RADIANS($C$5))+K7-$C$13)*(K7+$C$13))/((2*J7*TAN(RADIANS($C$5))+K7+$C$13)*(K7-$C$13))))</f>
        <v>57768822.312557019</v>
      </c>
      <c r="N7" s="23">
        <f t="shared" ref="N7:N10" si="2">IF(M7=0,0,M7^-1)</f>
        <v>1.7310375388813029E-8</v>
      </c>
      <c r="Q7" s="44">
        <v>2</v>
      </c>
      <c r="R7" s="30">
        <v>0.4</v>
      </c>
      <c r="S7" s="30">
        <v>2.0699999999999998</v>
      </c>
      <c r="T7" s="31">
        <v>1.79</v>
      </c>
      <c r="V7" s="29">
        <v>2</v>
      </c>
      <c r="W7" s="30" t="e">
        <f>NA()</f>
        <v>#N/A</v>
      </c>
      <c r="X7" s="30" t="e">
        <f>NA()</f>
        <v>#N/A</v>
      </c>
      <c r="Y7" s="30" t="e">
        <f>NA()</f>
        <v>#N/A</v>
      </c>
      <c r="AA7" s="51">
        <f>1</f>
        <v>1</v>
      </c>
      <c r="AB7" s="29">
        <v>7.2999999999999995E-2</v>
      </c>
      <c r="AC7" s="30">
        <v>64</v>
      </c>
      <c r="AD7" s="30">
        <v>2.63E-3</v>
      </c>
      <c r="AE7" s="31">
        <v>2.1800000000000001E-3</v>
      </c>
      <c r="AG7" s="37">
        <f>1</f>
        <v>1</v>
      </c>
      <c r="AH7" s="29">
        <v>7.2999999999999995E-2</v>
      </c>
      <c r="AI7" s="30">
        <v>72</v>
      </c>
      <c r="AJ7" s="30">
        <v>2.7799999999999999E-3</v>
      </c>
      <c r="AK7" s="45">
        <v>2.3700000000000001E-3</v>
      </c>
    </row>
    <row r="8" spans="2:37" ht="15" customHeight="1" x14ac:dyDescent="0.25">
      <c r="B8" s="1" t="s">
        <v>31</v>
      </c>
      <c r="C8" s="1">
        <v>1.75</v>
      </c>
      <c r="D8" s="1" t="str">
        <f t="shared" si="1"/>
        <v>in</v>
      </c>
      <c r="E8" s="13" t="s">
        <v>15</v>
      </c>
      <c r="F8" s="22">
        <f>14.5*10^6</f>
        <v>14500000</v>
      </c>
      <c r="G8" s="1" t="str">
        <f t="shared" si="0"/>
        <v>psi</v>
      </c>
      <c r="I8" s="16">
        <v>3</v>
      </c>
      <c r="J8" s="2">
        <f>IF(C6+C7&lt;J14,J14-C7-C6,C6+C7-J14)</f>
        <v>0.37499999999999989</v>
      </c>
      <c r="K8" s="18">
        <f>IF(J6+J7&lt;J14,K7+2*J7*TAN(RADIANS($C$5)),K7+2*J7*TAN(RADIANS($C$5))-2*J8*TAN(RADIANS($C$5)))</f>
        <v>2.4344304105220713</v>
      </c>
      <c r="L8" s="23">
        <f>IF(J6+J7&lt;J14,F8,F7)</f>
        <v>14500000</v>
      </c>
      <c r="M8" s="23">
        <f>IF(J8=0,0,(PI()*L8*$C$13*TAN(RADIANS($C$5)))/LN(((2*J8*TAN(RADIANS($C$5))+K8-$C$13)*(K8+$C$13))/((2*J8*TAN(RADIANS($C$5))+K8+$C$13)*(K8-$C$13))))</f>
        <v>194742793.54543528</v>
      </c>
      <c r="N8" s="23">
        <f t="shared" si="2"/>
        <v>5.1349782027579408E-9</v>
      </c>
      <c r="Q8" s="44">
        <v>2.5</v>
      </c>
      <c r="R8" s="30">
        <v>0.45</v>
      </c>
      <c r="S8" s="30">
        <v>3.39</v>
      </c>
      <c r="T8" s="31">
        <v>2.98</v>
      </c>
      <c r="V8" s="29">
        <v>2.5</v>
      </c>
      <c r="W8" s="30" t="e">
        <f>NA()</f>
        <v>#N/A</v>
      </c>
      <c r="X8" s="30" t="e">
        <f>NA()</f>
        <v>#N/A</v>
      </c>
      <c r="Y8" s="30" t="e">
        <f>NA()</f>
        <v>#N/A</v>
      </c>
      <c r="AA8" s="51">
        <f>2</f>
        <v>2</v>
      </c>
      <c r="AB8" s="29">
        <v>8.5999999999999993E-2</v>
      </c>
      <c r="AC8" s="30">
        <v>56</v>
      </c>
      <c r="AD8" s="30">
        <v>3.7000000000000002E-3</v>
      </c>
      <c r="AE8" s="31">
        <v>3.0999999999999999E-3</v>
      </c>
      <c r="AG8" s="37">
        <f>2</f>
        <v>2</v>
      </c>
      <c r="AH8" s="29">
        <v>8.5999999999999993E-2</v>
      </c>
      <c r="AI8" s="30">
        <v>64</v>
      </c>
      <c r="AJ8" s="30">
        <v>3.9399999999999999E-3</v>
      </c>
      <c r="AK8" s="45">
        <v>3.3899999999999998E-3</v>
      </c>
    </row>
    <row r="9" spans="2:37" ht="15" customHeight="1" x14ac:dyDescent="0.25">
      <c r="B9" s="1" t="s">
        <v>28</v>
      </c>
      <c r="C9" s="1">
        <v>0.13400000000000001</v>
      </c>
      <c r="D9" s="1" t="str">
        <f t="shared" si="1"/>
        <v>in</v>
      </c>
      <c r="E9" s="13" t="s">
        <v>14</v>
      </c>
      <c r="F9" s="22">
        <f>30*10^6</f>
        <v>30000000</v>
      </c>
      <c r="G9" s="1" t="str">
        <f t="shared" si="0"/>
        <v>psi</v>
      </c>
      <c r="I9" s="16">
        <v>4</v>
      </c>
      <c r="J9" s="2">
        <f>C16-SUM(J6:J8)-J10</f>
        <v>1.375</v>
      </c>
      <c r="K9" s="18">
        <f>K10+2*J10*TAN(RADIANS($C$5))</f>
        <v>1.2797298721428196</v>
      </c>
      <c r="L9" s="23">
        <f>F8</f>
        <v>14500000</v>
      </c>
      <c r="M9" s="23">
        <f>IF(J9=0,0,(PI()*L9*$C$13*TAN(RADIANS($C$5)))/LN(((2*J9*TAN(RADIANS($C$5))+K9-$C$13)*(K9+$C$13))/((2*J9*TAN(RADIANS($C$5))+K9+$C$13)*(K9-$C$13))))</f>
        <v>24420293.983862408</v>
      </c>
      <c r="N9" s="23">
        <f t="shared" si="2"/>
        <v>4.0949547972715938E-8</v>
      </c>
      <c r="Q9" s="44">
        <v>3</v>
      </c>
      <c r="R9" s="30">
        <v>0.5</v>
      </c>
      <c r="S9" s="30">
        <v>5.03</v>
      </c>
      <c r="T9" s="31">
        <v>4.47</v>
      </c>
      <c r="V9" s="29">
        <v>3</v>
      </c>
      <c r="W9" s="30" t="e">
        <f>NA()</f>
        <v>#N/A</v>
      </c>
      <c r="X9" s="30" t="e">
        <f>NA()</f>
        <v>#N/A</v>
      </c>
      <c r="Y9" s="30" t="e">
        <f>NA()</f>
        <v>#N/A</v>
      </c>
      <c r="AA9" s="51">
        <f>3</f>
        <v>3</v>
      </c>
      <c r="AB9" s="29">
        <v>9.9000000000000005E-2</v>
      </c>
      <c r="AC9" s="30">
        <v>48</v>
      </c>
      <c r="AD9" s="30">
        <v>4.8700000000000002E-3</v>
      </c>
      <c r="AE9" s="31">
        <v>4.0600000000000002E-3</v>
      </c>
      <c r="AG9" s="37">
        <f>3</f>
        <v>3</v>
      </c>
      <c r="AH9" s="29">
        <v>9.9000000000000005E-2</v>
      </c>
      <c r="AI9" s="30">
        <v>56</v>
      </c>
      <c r="AJ9" s="30">
        <v>5.2300000000000003E-3</v>
      </c>
      <c r="AK9" s="45">
        <v>4.5100000000000001E-3</v>
      </c>
    </row>
    <row r="10" spans="2:37" ht="15" customHeight="1" x14ac:dyDescent="0.25">
      <c r="I10" s="16">
        <v>5</v>
      </c>
      <c r="J10" s="2">
        <f>C9</f>
        <v>0.13400000000000001</v>
      </c>
      <c r="K10" s="2">
        <f>1.5*C13</f>
        <v>1.125</v>
      </c>
      <c r="L10" s="23">
        <f>F9</f>
        <v>30000000</v>
      </c>
      <c r="M10" s="23">
        <f>IF(J10=0,0,(PI()*L10*$C$13*TAN(RADIANS($C$5)))/LN(((2*J10*TAN(RADIANS($C$5))+K10-$C$13)*(K10+$C$13))/((2*J10*TAN(RADIANS($C$5))+K10+$C$13)*(K10-$C$13))))</f>
        <v>153338070.73820651</v>
      </c>
      <c r="N10" s="23">
        <f t="shared" si="2"/>
        <v>6.5215376402334953E-9</v>
      </c>
      <c r="Q10" s="44">
        <v>3.5</v>
      </c>
      <c r="R10" s="30">
        <v>0.6</v>
      </c>
      <c r="S10" s="30">
        <v>6.78</v>
      </c>
      <c r="T10" s="31">
        <v>6</v>
      </c>
      <c r="V10" s="29">
        <v>3.5</v>
      </c>
      <c r="W10" s="30" t="e">
        <f>NA()</f>
        <v>#N/A</v>
      </c>
      <c r="X10" s="30" t="e">
        <f>NA()</f>
        <v>#N/A</v>
      </c>
      <c r="Y10" s="30" t="e">
        <f>NA()</f>
        <v>#N/A</v>
      </c>
      <c r="AA10" s="51">
        <f>4</f>
        <v>4</v>
      </c>
      <c r="AB10" s="29">
        <v>0.112</v>
      </c>
      <c r="AC10" s="30">
        <v>40</v>
      </c>
      <c r="AD10" s="30">
        <v>6.0400000000000002E-3</v>
      </c>
      <c r="AE10" s="31">
        <v>4.96E-3</v>
      </c>
      <c r="AG10" s="37">
        <f>4</f>
        <v>4</v>
      </c>
      <c r="AH10" s="29">
        <v>0.112</v>
      </c>
      <c r="AI10" s="30">
        <v>48</v>
      </c>
      <c r="AJ10" s="30">
        <v>6.6100000000000004E-3</v>
      </c>
      <c r="AK10" s="45">
        <v>5.6600000000000001E-3</v>
      </c>
    </row>
    <row r="11" spans="2:37" ht="15" customHeight="1" x14ac:dyDescent="0.25">
      <c r="B11" s="8" t="s">
        <v>16</v>
      </c>
      <c r="C11" s="36" t="str">
        <f>IF($D$2="English",_xlfn.CONCAT(TEXT(C13, "# ?/?"),"""-",C22,"-", C15, " ",C14),_xlfn.CONCAT("M",C13,"-", C22,"-", C15," ",C14))</f>
        <v xml:space="preserve"> 3/4"-10-3.25 UNC</v>
      </c>
      <c r="D11" s="8"/>
      <c r="Q11" s="44">
        <v>4</v>
      </c>
      <c r="R11" s="30">
        <v>0.7</v>
      </c>
      <c r="S11" s="30">
        <v>8.7799999999999994</v>
      </c>
      <c r="T11" s="31">
        <v>7.75</v>
      </c>
      <c r="V11" s="29">
        <v>4</v>
      </c>
      <c r="W11" s="30" t="e">
        <f>NA()</f>
        <v>#N/A</v>
      </c>
      <c r="X11" s="30" t="e">
        <f>NA()</f>
        <v>#N/A</v>
      </c>
      <c r="Y11" s="30" t="e">
        <f>NA()</f>
        <v>#N/A</v>
      </c>
      <c r="AA11" s="51">
        <f>5</f>
        <v>5</v>
      </c>
      <c r="AB11" s="29">
        <v>0.125</v>
      </c>
      <c r="AC11" s="30">
        <v>40</v>
      </c>
      <c r="AD11" s="30">
        <v>7.9600000000000001E-3</v>
      </c>
      <c r="AE11" s="31">
        <v>6.7200000000000003E-3</v>
      </c>
      <c r="AG11" s="37">
        <f>5</f>
        <v>5</v>
      </c>
      <c r="AH11" s="29">
        <v>0.125</v>
      </c>
      <c r="AI11" s="30">
        <v>44</v>
      </c>
      <c r="AJ11" s="30">
        <v>8.8000000000000005E-3</v>
      </c>
      <c r="AK11" s="45">
        <v>7.1599999999999997E-3</v>
      </c>
    </row>
    <row r="12" spans="2:37" ht="15" customHeight="1" x14ac:dyDescent="0.25">
      <c r="B12" s="1" t="s">
        <v>53</v>
      </c>
      <c r="C12" s="22">
        <f>30*10^6</f>
        <v>30000000</v>
      </c>
      <c r="D12" s="1" t="str">
        <f>IF($D$2="English","psi","Pa")</f>
        <v>psi</v>
      </c>
      <c r="I12" s="25" t="s">
        <v>34</v>
      </c>
      <c r="J12" s="25">
        <f>SUM(J6:J10)</f>
        <v>3.0179999999999998</v>
      </c>
      <c r="K12" s="25" t="str">
        <f>IF($D$2="English","in", "mm")</f>
        <v>in</v>
      </c>
      <c r="Q12" s="44">
        <v>5</v>
      </c>
      <c r="R12" s="30">
        <v>0.8</v>
      </c>
      <c r="S12" s="30">
        <v>14.2</v>
      </c>
      <c r="T12" s="31">
        <v>12.7</v>
      </c>
      <c r="V12" s="29">
        <v>5</v>
      </c>
      <c r="W12" s="30" t="e">
        <f>NA()</f>
        <v>#N/A</v>
      </c>
      <c r="X12" s="30" t="e">
        <f>NA()</f>
        <v>#N/A</v>
      </c>
      <c r="Y12" s="30" t="e">
        <f>NA()</f>
        <v>#N/A</v>
      </c>
      <c r="AA12" s="51">
        <f>6</f>
        <v>6</v>
      </c>
      <c r="AB12" s="29">
        <v>0.13800000000000001</v>
      </c>
      <c r="AC12" s="30">
        <v>32</v>
      </c>
      <c r="AD12" s="30">
        <v>9.0900000000000009E-3</v>
      </c>
      <c r="AE12" s="31">
        <v>7.45E-3</v>
      </c>
      <c r="AG12" s="37">
        <f>6</f>
        <v>6</v>
      </c>
      <c r="AH12" s="29">
        <v>0.13800000000000001</v>
      </c>
      <c r="AI12" s="30">
        <v>40</v>
      </c>
      <c r="AJ12" s="30">
        <v>1.0149999999999999E-2</v>
      </c>
      <c r="AK12" s="45">
        <v>8.7399999999999995E-3</v>
      </c>
    </row>
    <row r="13" spans="2:37" ht="15" customHeight="1" x14ac:dyDescent="0.25">
      <c r="B13" s="1" t="s">
        <v>4</v>
      </c>
      <c r="C13" s="17">
        <v>0.75</v>
      </c>
      <c r="D13" s="1" t="str">
        <f t="shared" ref="D13" si="3">IF($D$2="English","in", "mm")</f>
        <v>in</v>
      </c>
      <c r="I13" s="25" t="s">
        <v>23</v>
      </c>
      <c r="J13" s="25">
        <f>C16</f>
        <v>3.0179999999999998</v>
      </c>
      <c r="K13" s="25" t="str">
        <f>IF($D$2="English","in", "mm")</f>
        <v>in</v>
      </c>
      <c r="Q13" s="44">
        <v>6</v>
      </c>
      <c r="R13" s="30">
        <v>1</v>
      </c>
      <c r="S13" s="30">
        <v>20.100000000000001</v>
      </c>
      <c r="T13" s="31">
        <v>17.899999999999999</v>
      </c>
      <c r="V13" s="29">
        <v>6</v>
      </c>
      <c r="W13" s="30" t="e">
        <f>NA()</f>
        <v>#N/A</v>
      </c>
      <c r="X13" s="30" t="e">
        <f>NA()</f>
        <v>#N/A</v>
      </c>
      <c r="Y13" s="30" t="e">
        <f>NA()</f>
        <v>#N/A</v>
      </c>
      <c r="AA13" s="51">
        <f>8</f>
        <v>8</v>
      </c>
      <c r="AB13" s="29">
        <v>0.16400000000000001</v>
      </c>
      <c r="AC13" s="30">
        <v>32</v>
      </c>
      <c r="AD13" s="30">
        <v>1.4E-2</v>
      </c>
      <c r="AE13" s="31">
        <v>1.196E-2</v>
      </c>
      <c r="AG13" s="37">
        <f>8</f>
        <v>8</v>
      </c>
      <c r="AH13" s="29">
        <v>0.16400000000000001</v>
      </c>
      <c r="AI13" s="30">
        <v>36</v>
      </c>
      <c r="AJ13" s="30">
        <v>1.474E-2</v>
      </c>
      <c r="AK13" s="45">
        <v>1.285E-2</v>
      </c>
    </row>
    <row r="14" spans="2:37" ht="15" customHeight="1" x14ac:dyDescent="0.25">
      <c r="B14" s="1" t="s">
        <v>54</v>
      </c>
      <c r="C14" s="35" t="s">
        <v>46</v>
      </c>
      <c r="D14" s="1"/>
      <c r="I14" s="25" t="s">
        <v>24</v>
      </c>
      <c r="J14" s="25">
        <f>C16/2</f>
        <v>1.5089999999999999</v>
      </c>
      <c r="K14" s="25" t="str">
        <f t="shared" ref="K14" si="4">IF($D$2="English","in", "mm")</f>
        <v>in</v>
      </c>
      <c r="Q14" s="44">
        <v>8</v>
      </c>
      <c r="R14" s="30">
        <v>1.25</v>
      </c>
      <c r="S14" s="30">
        <v>36.6</v>
      </c>
      <c r="T14" s="31">
        <v>32.799999999999997</v>
      </c>
      <c r="V14" s="29">
        <v>8</v>
      </c>
      <c r="W14" s="30">
        <v>1</v>
      </c>
      <c r="X14" s="30">
        <v>39.200000000000003</v>
      </c>
      <c r="Y14" s="45">
        <v>36</v>
      </c>
      <c r="AA14" s="51">
        <f>10</f>
        <v>10</v>
      </c>
      <c r="AB14" s="29">
        <v>0.19</v>
      </c>
      <c r="AC14" s="30">
        <v>24</v>
      </c>
      <c r="AD14" s="30">
        <v>1.7500000000000002E-2</v>
      </c>
      <c r="AE14" s="31">
        <v>1.4500000000000001E-2</v>
      </c>
      <c r="AG14" s="37">
        <f>10</f>
        <v>10</v>
      </c>
      <c r="AH14" s="29">
        <v>0.19</v>
      </c>
      <c r="AI14" s="30">
        <v>32</v>
      </c>
      <c r="AJ14" s="30">
        <v>0.02</v>
      </c>
      <c r="AK14" s="45">
        <v>1.7500000000000002E-2</v>
      </c>
    </row>
    <row r="15" spans="2:37" ht="15" customHeight="1" x14ac:dyDescent="0.25">
      <c r="B15" s="1" t="s">
        <v>5</v>
      </c>
      <c r="C15" s="1">
        <v>3.25</v>
      </c>
      <c r="D15" s="1" t="str">
        <f t="shared" ref="D15" si="5">IF($D$2="English","in", "mm")</f>
        <v>in</v>
      </c>
      <c r="Q15" s="44">
        <v>10</v>
      </c>
      <c r="R15" s="30">
        <v>1.5</v>
      </c>
      <c r="S15" s="30">
        <v>58</v>
      </c>
      <c r="T15" s="31">
        <v>52.3</v>
      </c>
      <c r="V15" s="29">
        <v>10</v>
      </c>
      <c r="W15" s="30">
        <v>1.25</v>
      </c>
      <c r="X15" s="30">
        <v>61.2</v>
      </c>
      <c r="Y15" s="45">
        <v>56.3</v>
      </c>
      <c r="AA15" s="51">
        <f>12</f>
        <v>12</v>
      </c>
      <c r="AB15" s="29">
        <v>0.216</v>
      </c>
      <c r="AC15" s="30">
        <v>24</v>
      </c>
      <c r="AD15" s="30">
        <v>2.4199999999999999E-2</v>
      </c>
      <c r="AE15" s="31">
        <v>2.06E-2</v>
      </c>
      <c r="AG15" s="37">
        <f>12</f>
        <v>12</v>
      </c>
      <c r="AH15" s="29">
        <v>0.216</v>
      </c>
      <c r="AI15" s="30">
        <v>28</v>
      </c>
      <c r="AJ15" s="30">
        <v>2.58E-2</v>
      </c>
      <c r="AK15" s="45">
        <v>2.2599999999999999E-2</v>
      </c>
    </row>
    <row r="16" spans="2:37" ht="15" customHeight="1" x14ac:dyDescent="0.25">
      <c r="B16" s="2" t="s">
        <v>23</v>
      </c>
      <c r="C16" s="2">
        <f>IF(C25,SUM(C6:C8)+C9,IF(C13&lt;=C8, C6+C7+(C13/2), C6+C7+(C8/2)))</f>
        <v>3.0179999999999998</v>
      </c>
      <c r="D16" s="2" t="str">
        <f>IF($D$2="English","in", "mm")</f>
        <v>in</v>
      </c>
      <c r="I16" s="2" t="s">
        <v>35</v>
      </c>
      <c r="J16" s="24">
        <f>SUM(N6:N10)^-1</f>
        <v>13082502.196925065</v>
      </c>
      <c r="K16" s="2" t="str">
        <f>IF($D$2="English","lbf/in","mN/m")</f>
        <v>lbf/in</v>
      </c>
      <c r="Q16" s="44">
        <v>12</v>
      </c>
      <c r="R16" s="30">
        <v>1.75</v>
      </c>
      <c r="S16" s="30">
        <v>84.3</v>
      </c>
      <c r="T16" s="31">
        <v>76.3</v>
      </c>
      <c r="V16" s="29">
        <v>12</v>
      </c>
      <c r="W16" s="30">
        <v>1.25</v>
      </c>
      <c r="X16" s="30">
        <v>92.1</v>
      </c>
      <c r="Y16" s="45">
        <v>86</v>
      </c>
      <c r="AA16" s="51">
        <f>1/4</f>
        <v>0.25</v>
      </c>
      <c r="AB16" s="29">
        <v>0.25</v>
      </c>
      <c r="AC16" s="30">
        <v>20</v>
      </c>
      <c r="AD16" s="30">
        <v>3.1800000000000002E-2</v>
      </c>
      <c r="AE16" s="31">
        <v>2.69E-2</v>
      </c>
      <c r="AG16" s="37">
        <f>1/4</f>
        <v>0.25</v>
      </c>
      <c r="AH16" s="29">
        <v>0.25</v>
      </c>
      <c r="AI16" s="30">
        <v>28</v>
      </c>
      <c r="AJ16" s="30">
        <v>3.6400000000000002E-2</v>
      </c>
      <c r="AK16" s="45">
        <v>3.2599999999999997E-2</v>
      </c>
    </row>
    <row r="17" spans="2:37" ht="15" customHeight="1" x14ac:dyDescent="0.25">
      <c r="B17" s="2" t="s">
        <v>22</v>
      </c>
      <c r="C17" s="2">
        <f>IF(F17,C15,IF($D$2="English",IF(C15&lt;=6, 2*C13+0.25, 2*C13+0.5),IF(AND(C15&lt;=125,C13&lt;=48),2*C13+6,IF(C15&lt;=200,2*C13+12,2*C13+25))))</f>
        <v>1.75</v>
      </c>
      <c r="D17" s="2" t="str">
        <f t="shared" ref="D17" si="6">IF($D$2="English","in", "mm")</f>
        <v>in</v>
      </c>
      <c r="E17" s="1" t="s">
        <v>38</v>
      </c>
      <c r="F17" s="20" t="b">
        <v>0</v>
      </c>
      <c r="I17" s="2"/>
      <c r="J17" s="28">
        <f>IF($D$2="English",J16*10^-6,J16*10^-9)</f>
        <v>13.082502196925065</v>
      </c>
      <c r="K17" s="2" t="str">
        <f>IF($D$2="English","Mlbf/in","MN/m")</f>
        <v>Mlbf/in</v>
      </c>
      <c r="Q17" s="44">
        <v>14</v>
      </c>
      <c r="R17" s="30">
        <v>2</v>
      </c>
      <c r="S17" s="30">
        <v>115</v>
      </c>
      <c r="T17" s="31">
        <v>104</v>
      </c>
      <c r="V17" s="29">
        <v>14</v>
      </c>
      <c r="W17" s="30">
        <v>1.5</v>
      </c>
      <c r="X17" s="30">
        <v>125</v>
      </c>
      <c r="Y17" s="45">
        <v>116</v>
      </c>
      <c r="AA17" s="51">
        <f>5/16</f>
        <v>0.3125</v>
      </c>
      <c r="AB17" s="29">
        <v>0.3125</v>
      </c>
      <c r="AC17" s="30">
        <v>18</v>
      </c>
      <c r="AD17" s="30">
        <v>5.2400000000000002E-2</v>
      </c>
      <c r="AE17" s="31">
        <v>4.5400000000000003E-2</v>
      </c>
      <c r="AG17" s="37">
        <f>5/16</f>
        <v>0.3125</v>
      </c>
      <c r="AH17" s="29">
        <v>0.3125</v>
      </c>
      <c r="AI17" s="30">
        <v>24</v>
      </c>
      <c r="AJ17" s="30">
        <v>5.8000000000000003E-2</v>
      </c>
      <c r="AK17" s="45">
        <v>5.2400000000000002E-2</v>
      </c>
    </row>
    <row r="18" spans="2:37" ht="15" customHeight="1" x14ac:dyDescent="0.25">
      <c r="B18" s="2" t="s">
        <v>25</v>
      </c>
      <c r="C18" s="2">
        <f>C15-C17</f>
        <v>1.5</v>
      </c>
      <c r="D18" s="2" t="str">
        <f>IF($D$2="English","in", "mm")</f>
        <v>in</v>
      </c>
      <c r="Q18" s="44">
        <v>16</v>
      </c>
      <c r="R18" s="30">
        <v>2</v>
      </c>
      <c r="S18" s="30">
        <v>157</v>
      </c>
      <c r="T18" s="31">
        <v>144</v>
      </c>
      <c r="V18" s="29">
        <v>16</v>
      </c>
      <c r="W18" s="30">
        <v>1.5</v>
      </c>
      <c r="X18" s="30">
        <v>167</v>
      </c>
      <c r="Y18" s="45">
        <v>157</v>
      </c>
      <c r="AA18" s="51">
        <f>3/8</f>
        <v>0.375</v>
      </c>
      <c r="AB18" s="29">
        <v>0.375</v>
      </c>
      <c r="AC18" s="30">
        <v>16</v>
      </c>
      <c r="AD18" s="30">
        <v>7.7499999999999999E-2</v>
      </c>
      <c r="AE18" s="31">
        <v>6.7799999999999999E-2</v>
      </c>
      <c r="AG18" s="37">
        <f>3/8</f>
        <v>0.375</v>
      </c>
      <c r="AH18" s="29">
        <v>0.375</v>
      </c>
      <c r="AI18" s="30">
        <v>24</v>
      </c>
      <c r="AJ18" s="30">
        <v>8.7800000000000003E-2</v>
      </c>
      <c r="AK18" s="45">
        <v>8.09E-2</v>
      </c>
    </row>
    <row r="19" spans="2:37" ht="15" customHeight="1" x14ac:dyDescent="0.25">
      <c r="B19" s="2" t="s">
        <v>26</v>
      </c>
      <c r="C19" s="2">
        <f>C16-C18</f>
        <v>1.5179999999999998</v>
      </c>
      <c r="D19" s="2" t="str">
        <f>IF($D$2="English","in", "mm")</f>
        <v>in</v>
      </c>
      <c r="I19" s="2" t="s">
        <v>57</v>
      </c>
      <c r="J19" s="28">
        <f>C33/(C33+J16)</f>
        <v>0.22408480105724563</v>
      </c>
      <c r="Q19" s="44">
        <v>20</v>
      </c>
      <c r="R19" s="30">
        <v>2.5</v>
      </c>
      <c r="S19" s="30">
        <v>245</v>
      </c>
      <c r="T19" s="31">
        <v>225</v>
      </c>
      <c r="V19" s="29">
        <v>20</v>
      </c>
      <c r="W19" s="30">
        <v>1.5</v>
      </c>
      <c r="X19" s="30">
        <v>272</v>
      </c>
      <c r="Y19" s="45">
        <v>259</v>
      </c>
      <c r="AA19" s="51">
        <f>7/16</f>
        <v>0.4375</v>
      </c>
      <c r="AB19" s="29">
        <v>0.4375</v>
      </c>
      <c r="AC19" s="30">
        <v>14</v>
      </c>
      <c r="AD19" s="30">
        <v>0.10630000000000001</v>
      </c>
      <c r="AE19" s="31">
        <v>9.3299999999999994E-2</v>
      </c>
      <c r="AG19" s="37">
        <f>7/16</f>
        <v>0.4375</v>
      </c>
      <c r="AH19" s="29">
        <v>0.4375</v>
      </c>
      <c r="AI19" s="30">
        <v>20</v>
      </c>
      <c r="AJ19" s="30">
        <v>0.1187</v>
      </c>
      <c r="AK19" s="45">
        <v>0.109</v>
      </c>
    </row>
    <row r="20" spans="2:37" ht="15" customHeight="1" x14ac:dyDescent="0.25">
      <c r="B20" s="2" t="s">
        <v>7</v>
      </c>
      <c r="C20" s="18">
        <f>(PI()*(C13^2))/4</f>
        <v>0.44178646691106466</v>
      </c>
      <c r="D20" s="2" t="str">
        <f>IF($D$2="English","in^2","mm^2")</f>
        <v>in^2</v>
      </c>
      <c r="Q20" s="44">
        <v>24</v>
      </c>
      <c r="R20" s="30">
        <v>3</v>
      </c>
      <c r="S20" s="30">
        <v>353</v>
      </c>
      <c r="T20" s="31">
        <v>324</v>
      </c>
      <c r="V20" s="29">
        <v>24</v>
      </c>
      <c r="W20" s="30">
        <v>2</v>
      </c>
      <c r="X20" s="30">
        <v>384</v>
      </c>
      <c r="Y20" s="45">
        <v>365</v>
      </c>
      <c r="AA20" s="51">
        <f>1/2</f>
        <v>0.5</v>
      </c>
      <c r="AB20" s="29">
        <v>0.5</v>
      </c>
      <c r="AC20" s="30">
        <v>13</v>
      </c>
      <c r="AD20" s="30">
        <v>0.1419</v>
      </c>
      <c r="AE20" s="31">
        <v>0.12570000000000001</v>
      </c>
      <c r="AG20" s="37">
        <f>1/2</f>
        <v>0.5</v>
      </c>
      <c r="AH20" s="29">
        <v>0.5</v>
      </c>
      <c r="AI20" s="30">
        <v>20</v>
      </c>
      <c r="AJ20" s="30">
        <v>0.15989999999999999</v>
      </c>
      <c r="AK20" s="45">
        <v>0.14860000000000001</v>
      </c>
    </row>
    <row r="21" spans="2:37" ht="15" customHeight="1" x14ac:dyDescent="0.25">
      <c r="B21" s="2" t="s">
        <v>8</v>
      </c>
      <c r="C21" s="2">
        <f>IF($D$2="English",IF($C$14="UNC",VLOOKUP($C$13,$AB$6:$AE$27,3,FALSE),VLOOKUP($C$13,$AH$6:$AK$27,3,FALSE)), IF($C$14="UNC",VLOOKUP($C$13,$Q$6:$T$31,3,FALSE),VLOOKUP($C$13,$V$6:$Y$31,3,FALSE)))</f>
        <v>0.33400000000000002</v>
      </c>
      <c r="D21" s="2" t="str">
        <f>IF($D$2="English","in^2","mm^2")</f>
        <v>in^2</v>
      </c>
      <c r="Q21" s="44">
        <v>30</v>
      </c>
      <c r="R21" s="30">
        <v>3.5</v>
      </c>
      <c r="S21" s="30">
        <v>561</v>
      </c>
      <c r="T21" s="31">
        <v>519</v>
      </c>
      <c r="V21" s="29">
        <v>30</v>
      </c>
      <c r="W21" s="30">
        <v>2</v>
      </c>
      <c r="X21" s="30">
        <v>621</v>
      </c>
      <c r="Y21" s="45">
        <v>596</v>
      </c>
      <c r="AA21" s="51">
        <f>9/16</f>
        <v>0.5625</v>
      </c>
      <c r="AB21" s="29">
        <v>0.5625</v>
      </c>
      <c r="AC21" s="30">
        <v>12</v>
      </c>
      <c r="AD21" s="30">
        <v>0.182</v>
      </c>
      <c r="AE21" s="31">
        <v>0.16200000000000001</v>
      </c>
      <c r="AG21" s="37">
        <f>9/16</f>
        <v>0.5625</v>
      </c>
      <c r="AH21" s="29">
        <v>0.5625</v>
      </c>
      <c r="AI21" s="30">
        <v>18</v>
      </c>
      <c r="AJ21" s="30">
        <v>0.20300000000000001</v>
      </c>
      <c r="AK21" s="45">
        <v>0.189</v>
      </c>
    </row>
    <row r="22" spans="2:37" ht="15" customHeight="1" x14ac:dyDescent="0.25">
      <c r="B22" s="2" t="str">
        <f>IF($D$2="English","Bolt threads per inch, p","Bolt pitch, p")</f>
        <v>Bolt threads per inch, p</v>
      </c>
      <c r="C22" s="2">
        <f>IF($D$2="English",IF($C$14="UNC",VLOOKUP($C$13,$AB$6:$AE$27,2,FALSE),VLOOKUP($C$13,$AH$6:$AK$27,2,FALSE)), IF($C$14="UNC",VLOOKUP($C$13,$Q$6:$T$31,2,FALSE),VLOOKUP($C$13,$V$6:$Y$31,2,FALSE)))</f>
        <v>10</v>
      </c>
      <c r="D22" s="2" t="str">
        <f>IF($D$2="English","threads/in","mm")</f>
        <v>threads/in</v>
      </c>
      <c r="Q22" s="44">
        <v>36</v>
      </c>
      <c r="R22" s="30">
        <v>4</v>
      </c>
      <c r="S22" s="30">
        <v>817</v>
      </c>
      <c r="T22" s="31">
        <v>759</v>
      </c>
      <c r="V22" s="29">
        <v>36</v>
      </c>
      <c r="W22" s="30">
        <v>2</v>
      </c>
      <c r="X22" s="30">
        <v>915</v>
      </c>
      <c r="Y22" s="45">
        <v>884</v>
      </c>
      <c r="AA22" s="51">
        <f>5/8</f>
        <v>0.625</v>
      </c>
      <c r="AB22" s="29">
        <v>0.625</v>
      </c>
      <c r="AC22" s="30">
        <v>11</v>
      </c>
      <c r="AD22" s="30">
        <v>0.22600000000000001</v>
      </c>
      <c r="AE22" s="31">
        <v>0.20200000000000001</v>
      </c>
      <c r="AG22" s="37">
        <f>5/8</f>
        <v>0.625</v>
      </c>
      <c r="AH22" s="29">
        <v>0.625</v>
      </c>
      <c r="AI22" s="30">
        <v>18</v>
      </c>
      <c r="AJ22" s="30">
        <v>0.25600000000000001</v>
      </c>
      <c r="AK22" s="45">
        <v>0.24</v>
      </c>
    </row>
    <row r="23" spans="2:37" ht="15" customHeight="1" x14ac:dyDescent="0.25">
      <c r="Q23" s="44">
        <v>42</v>
      </c>
      <c r="R23" s="30">
        <v>4.5</v>
      </c>
      <c r="S23" s="30">
        <v>1120</v>
      </c>
      <c r="T23" s="31">
        <v>1050</v>
      </c>
      <c r="V23" s="29">
        <v>42</v>
      </c>
      <c r="W23" s="30">
        <v>2</v>
      </c>
      <c r="X23" s="30">
        <v>1260</v>
      </c>
      <c r="Y23" s="45">
        <v>1230</v>
      </c>
      <c r="AA23" s="51">
        <f>3/4</f>
        <v>0.75</v>
      </c>
      <c r="AB23" s="29">
        <v>0.75</v>
      </c>
      <c r="AC23" s="30">
        <v>10</v>
      </c>
      <c r="AD23" s="30">
        <v>0.33400000000000002</v>
      </c>
      <c r="AE23" s="31">
        <v>0.30199999999999999</v>
      </c>
      <c r="AG23" s="37">
        <f>3/4</f>
        <v>0.75</v>
      </c>
      <c r="AH23" s="29">
        <v>0.75</v>
      </c>
      <c r="AI23" s="30">
        <v>16</v>
      </c>
      <c r="AJ23" s="30">
        <v>0.373</v>
      </c>
      <c r="AK23" s="45">
        <v>0.35099999999999998</v>
      </c>
    </row>
    <row r="24" spans="2:37" ht="15" customHeight="1" x14ac:dyDescent="0.25">
      <c r="B24" s="1" t="s">
        <v>9</v>
      </c>
      <c r="C24" s="20" t="b">
        <v>0</v>
      </c>
      <c r="D24" s="57" t="s">
        <v>36</v>
      </c>
      <c r="E24" s="57"/>
      <c r="F24" s="57"/>
      <c r="Q24" s="44">
        <v>48</v>
      </c>
      <c r="R24" s="30">
        <v>5</v>
      </c>
      <c r="S24" s="30">
        <v>1470</v>
      </c>
      <c r="T24" s="31">
        <v>1380</v>
      </c>
      <c r="V24" s="29">
        <v>48</v>
      </c>
      <c r="W24" s="30">
        <v>2</v>
      </c>
      <c r="X24" s="30">
        <v>1670</v>
      </c>
      <c r="Y24" s="45">
        <v>1630</v>
      </c>
      <c r="AA24" s="51">
        <f>7/8</f>
        <v>0.875</v>
      </c>
      <c r="AB24" s="29">
        <v>0.875</v>
      </c>
      <c r="AC24" s="30">
        <v>9</v>
      </c>
      <c r="AD24" s="30">
        <v>0.46200000000000002</v>
      </c>
      <c r="AE24" s="31">
        <v>0.41899999999999998</v>
      </c>
      <c r="AG24" s="37">
        <f>7/8</f>
        <v>0.875</v>
      </c>
      <c r="AH24" s="29">
        <v>0.875</v>
      </c>
      <c r="AI24" s="30">
        <v>14</v>
      </c>
      <c r="AJ24" s="30">
        <v>0.50900000000000001</v>
      </c>
      <c r="AK24" s="45">
        <v>0.48</v>
      </c>
    </row>
    <row r="25" spans="2:37" ht="15" customHeight="1" x14ac:dyDescent="0.25">
      <c r="B25" s="1" t="s">
        <v>10</v>
      </c>
      <c r="C25" s="21" t="b">
        <f>NOT(C24)</f>
        <v>1</v>
      </c>
      <c r="D25" s="57"/>
      <c r="E25" s="57"/>
      <c r="F25" s="57"/>
      <c r="Q25" s="44">
        <v>56</v>
      </c>
      <c r="R25" s="30">
        <v>5.5</v>
      </c>
      <c r="S25" s="30">
        <v>2030</v>
      </c>
      <c r="T25" s="31">
        <v>1910</v>
      </c>
      <c r="V25" s="29">
        <v>56</v>
      </c>
      <c r="W25" s="30">
        <v>2</v>
      </c>
      <c r="X25" s="30">
        <v>2300</v>
      </c>
      <c r="Y25" s="45">
        <v>2250</v>
      </c>
      <c r="AA25" s="51">
        <f>1</f>
        <v>1</v>
      </c>
      <c r="AB25" s="29">
        <v>1</v>
      </c>
      <c r="AC25" s="30">
        <v>8</v>
      </c>
      <c r="AD25" s="30">
        <v>0.60599999999999998</v>
      </c>
      <c r="AE25" s="31">
        <v>0.55100000000000005</v>
      </c>
      <c r="AG25" s="37">
        <f>1</f>
        <v>1</v>
      </c>
      <c r="AH25" s="29">
        <v>1</v>
      </c>
      <c r="AI25" s="30">
        <v>12</v>
      </c>
      <c r="AJ25" s="30">
        <v>0.66300000000000003</v>
      </c>
      <c r="AK25" s="45">
        <v>0.625</v>
      </c>
    </row>
    <row r="26" spans="2:37" ht="15" customHeight="1" x14ac:dyDescent="0.25">
      <c r="Q26" s="44">
        <v>64</v>
      </c>
      <c r="R26" s="30">
        <v>6</v>
      </c>
      <c r="S26" s="30">
        <v>2680</v>
      </c>
      <c r="T26" s="31">
        <v>2520</v>
      </c>
      <c r="V26" s="29">
        <v>64</v>
      </c>
      <c r="W26" s="30">
        <v>2</v>
      </c>
      <c r="X26" s="30">
        <v>3030</v>
      </c>
      <c r="Y26" s="45">
        <v>2980</v>
      </c>
      <c r="AA26" s="51">
        <f>1.25</f>
        <v>1.25</v>
      </c>
      <c r="AB26" s="29">
        <v>1.25</v>
      </c>
      <c r="AC26" s="30">
        <v>7</v>
      </c>
      <c r="AD26" s="30">
        <v>0.96899999999999997</v>
      </c>
      <c r="AE26" s="31">
        <v>0.89</v>
      </c>
      <c r="AG26" s="37">
        <f>1.25</f>
        <v>1.25</v>
      </c>
      <c r="AH26" s="29">
        <v>1.25</v>
      </c>
      <c r="AI26" s="30">
        <v>12</v>
      </c>
      <c r="AJ26" s="30">
        <v>1.073</v>
      </c>
      <c r="AK26" s="45">
        <v>1.024</v>
      </c>
    </row>
    <row r="27" spans="2:37" ht="15" customHeight="1" thickBot="1" x14ac:dyDescent="0.3">
      <c r="B27" s="2" t="s">
        <v>39</v>
      </c>
      <c r="C27" s="24">
        <f>IF(C18=0,0,(C20*C12)/C18)</f>
        <v>8835729.3382212929</v>
      </c>
      <c r="D27" s="2" t="str">
        <f>IF($D$2="English","lbf/in","mN/m")</f>
        <v>lbf/in</v>
      </c>
      <c r="Q27" s="44">
        <v>72</v>
      </c>
      <c r="R27" s="30">
        <v>6</v>
      </c>
      <c r="S27" s="30">
        <v>3460</v>
      </c>
      <c r="T27" s="31">
        <v>3280</v>
      </c>
      <c r="V27" s="29">
        <v>72</v>
      </c>
      <c r="W27" s="30">
        <v>2</v>
      </c>
      <c r="X27" s="30">
        <v>3860</v>
      </c>
      <c r="Y27" s="45">
        <v>3800</v>
      </c>
      <c r="AA27" s="52">
        <f>1.5</f>
        <v>1.5</v>
      </c>
      <c r="AB27" s="49">
        <v>1.5</v>
      </c>
      <c r="AC27" s="47">
        <v>6</v>
      </c>
      <c r="AD27" s="47">
        <v>1.405</v>
      </c>
      <c r="AE27" s="48">
        <v>1.294</v>
      </c>
      <c r="AF27" s="54"/>
      <c r="AG27" s="53">
        <f>1.5</f>
        <v>1.5</v>
      </c>
      <c r="AH27" s="49">
        <v>1.5</v>
      </c>
      <c r="AI27" s="47">
        <v>12</v>
      </c>
      <c r="AJ27" s="47">
        <v>1.581</v>
      </c>
      <c r="AK27" s="50">
        <v>1.5209999999999999</v>
      </c>
    </row>
    <row r="28" spans="2:37" ht="15" customHeight="1" x14ac:dyDescent="0.25">
      <c r="B28" s="2"/>
      <c r="C28" s="19">
        <f>IF($D$2="English",C27*10^-6,C27*10^-9)</f>
        <v>8.8357293382212934</v>
      </c>
      <c r="D28" s="2" t="str">
        <f>IF($D$2="English","Mlbf/in","MN/m")</f>
        <v>Mlbf/in</v>
      </c>
      <c r="Q28" s="44">
        <v>80</v>
      </c>
      <c r="R28" s="30">
        <v>6</v>
      </c>
      <c r="S28" s="30">
        <v>4340</v>
      </c>
      <c r="T28" s="31">
        <v>4140</v>
      </c>
      <c r="V28" s="29">
        <v>80</v>
      </c>
      <c r="W28" s="30">
        <v>1.5</v>
      </c>
      <c r="X28" s="30">
        <v>4850</v>
      </c>
      <c r="Y28" s="45">
        <v>4800</v>
      </c>
    </row>
    <row r="29" spans="2:37" ht="15" customHeight="1" x14ac:dyDescent="0.25">
      <c r="Q29" s="44">
        <v>90</v>
      </c>
      <c r="R29" s="30">
        <v>6</v>
      </c>
      <c r="S29" s="30">
        <v>5590</v>
      </c>
      <c r="T29" s="31">
        <v>5360</v>
      </c>
      <c r="V29" s="29">
        <v>90</v>
      </c>
      <c r="W29" s="30">
        <v>2</v>
      </c>
      <c r="X29" s="30">
        <v>6100</v>
      </c>
      <c r="Y29" s="45">
        <v>6020</v>
      </c>
    </row>
    <row r="30" spans="2:37" ht="15" customHeight="1" x14ac:dyDescent="0.25">
      <c r="B30" s="2" t="s">
        <v>40</v>
      </c>
      <c r="C30" s="24">
        <f>IF(C19=0,0,(C21*C12)/C19)</f>
        <v>6600790.5138339931</v>
      </c>
      <c r="D30" s="2" t="str">
        <f>IF($D$2="English","lbf/in","mN/m")</f>
        <v>lbf/in</v>
      </c>
      <c r="Q30" s="44">
        <v>100</v>
      </c>
      <c r="R30" s="30">
        <v>6</v>
      </c>
      <c r="S30" s="30">
        <v>6990</v>
      </c>
      <c r="T30" s="31">
        <v>6740</v>
      </c>
      <c r="V30" s="29">
        <v>100</v>
      </c>
      <c r="W30" s="30">
        <v>2</v>
      </c>
      <c r="X30" s="30">
        <v>7560</v>
      </c>
      <c r="Y30" s="45">
        <v>7470</v>
      </c>
    </row>
    <row r="31" spans="2:37" ht="15" customHeight="1" thickBot="1" x14ac:dyDescent="0.3">
      <c r="B31" s="2"/>
      <c r="C31" s="19">
        <f>IF($D$2="English",C30*10^-6,C30*10^-9)</f>
        <v>6.6007905138339931</v>
      </c>
      <c r="D31" s="2" t="str">
        <f>IF($D$2="English","Mlbf/in","MN/m")</f>
        <v>Mlbf/in</v>
      </c>
      <c r="Q31" s="46">
        <v>110</v>
      </c>
      <c r="R31" s="47">
        <v>6</v>
      </c>
      <c r="S31" s="47" t="e">
        <f>NA()</f>
        <v>#N/A</v>
      </c>
      <c r="T31" s="47" t="e">
        <f>NA()</f>
        <v>#N/A</v>
      </c>
      <c r="U31" s="54"/>
      <c r="V31" s="49">
        <v>110</v>
      </c>
      <c r="W31" s="47">
        <v>2</v>
      </c>
      <c r="X31" s="47">
        <v>9180</v>
      </c>
      <c r="Y31" s="50">
        <v>9080</v>
      </c>
    </row>
    <row r="33" spans="2:4" ht="15" customHeight="1" x14ac:dyDescent="0.25">
      <c r="B33" s="2" t="s">
        <v>6</v>
      </c>
      <c r="C33" s="24">
        <f>SUM(IF(C27=0,0,C27^-1),IF(C30=0,0,C30^-1))^-1</f>
        <v>3778234.923253797</v>
      </c>
      <c r="D33" s="2" t="str">
        <f>IF($D$2="English","lbf/in","mN/m")</f>
        <v>lbf/in</v>
      </c>
    </row>
    <row r="34" spans="2:4" ht="15" customHeight="1" x14ac:dyDescent="0.25">
      <c r="B34" s="2"/>
      <c r="C34" s="28">
        <f>IF($D$2="English",C33*10^-6,C33*10^-9)</f>
        <v>3.7782349232537968</v>
      </c>
      <c r="D34" s="2" t="str">
        <f>IF($D$2="English","Mlbf/in","MN/m")</f>
        <v>Mlbf/in</v>
      </c>
    </row>
    <row r="150" spans="38:38" ht="15" customHeight="1" x14ac:dyDescent="0.25">
      <c r="AL150" s="6" t="s">
        <v>27</v>
      </c>
    </row>
  </sheetData>
  <mergeCells count="5">
    <mergeCell ref="Q4:T4"/>
    <mergeCell ref="V4:Y4"/>
    <mergeCell ref="AA4:AE4"/>
    <mergeCell ref="AG4:AK4"/>
    <mergeCell ref="D24:F25"/>
  </mergeCells>
  <conditionalFormatting sqref="C16:D16">
    <cfRule type="expression" dxfId="61" priority="6">
      <formula>$C$16&lt;&gt;$J$12</formula>
    </cfRule>
    <cfRule type="duplicateValues" dxfId="60" priority="7"/>
  </conditionalFormatting>
  <conditionalFormatting sqref="I6:N6">
    <cfRule type="expression" dxfId="59" priority="4">
      <formula>0=$J$6</formula>
    </cfRule>
  </conditionalFormatting>
  <conditionalFormatting sqref="I7:N7">
    <cfRule type="expression" dxfId="58" priority="5">
      <formula>0=$J$7</formula>
    </cfRule>
  </conditionalFormatting>
  <conditionalFormatting sqref="I8:N8">
    <cfRule type="expression" dxfId="57" priority="3">
      <formula>0=$J$8</formula>
    </cfRule>
  </conditionalFormatting>
  <conditionalFormatting sqref="I9:N9">
    <cfRule type="expression" dxfId="56" priority="2">
      <formula>0=$J$9</formula>
    </cfRule>
  </conditionalFormatting>
  <conditionalFormatting sqref="I10:N10">
    <cfRule type="expression" dxfId="55" priority="1">
      <formula>0=$J$10</formula>
    </cfRule>
  </conditionalFormatting>
  <conditionalFormatting sqref="J12:K13">
    <cfRule type="expression" dxfId="54" priority="8">
      <formula>$C$16&lt;&gt;$J$12</formula>
    </cfRule>
  </conditionalFormatting>
  <dataValidations count="2">
    <dataValidation type="list" allowBlank="1" showInputMessage="1" showErrorMessage="1" sqref="C14" xr:uid="{773DC788-14E5-47A8-A655-DD68B4555371}">
      <formula1>"UNC, UNF"</formula1>
    </dataValidation>
    <dataValidation type="list" allowBlank="1" showInputMessage="1" showErrorMessage="1" sqref="D2" xr:uid="{0CF155BE-E882-4BB3-A9B6-3E8227FD76D5}">
      <formula1>"English, Metric"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2396-FD59-48D8-BB30-E7C2791FE685}">
  <sheetPr>
    <tabColor rgb="FF00B050"/>
  </sheetPr>
  <dimension ref="B2:AL150"/>
  <sheetViews>
    <sheetView zoomScaleNormal="100" workbookViewId="0">
      <selection activeCell="K32" sqref="K32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3" style="6" customWidth="1"/>
    <col min="4" max="4" width="10.140625" style="6" customWidth="1"/>
    <col min="5" max="5" width="17.4257812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" width="8.85546875" style="6"/>
    <col min="17" max="17" width="16.85546875" style="6" bestFit="1" customWidth="1"/>
    <col min="18" max="18" width="7.5703125" style="6" bestFit="1" customWidth="1"/>
    <col min="19" max="19" width="15.140625" style="6" customWidth="1"/>
    <col min="20" max="20" width="15.85546875" style="6" customWidth="1"/>
    <col min="21" max="21" width="8.85546875" style="6"/>
    <col min="22" max="22" width="16.85546875" style="6" bestFit="1" customWidth="1"/>
    <col min="23" max="23" width="7.5703125" style="6" bestFit="1" customWidth="1"/>
    <col min="24" max="24" width="15.140625" style="6" customWidth="1"/>
    <col min="25" max="25" width="15.85546875" style="6" customWidth="1"/>
    <col min="26" max="26" width="8.85546875" style="6"/>
    <col min="27" max="28" width="16.85546875" style="6" bestFit="1" customWidth="1"/>
    <col min="29" max="29" width="12" style="6" bestFit="1" customWidth="1"/>
    <col min="30" max="30" width="15.140625" style="6" customWidth="1"/>
    <col min="31" max="31" width="15.85546875" style="6" customWidth="1"/>
    <col min="32" max="32" width="8.85546875" style="6"/>
    <col min="33" max="34" width="16.85546875" style="6" bestFit="1" customWidth="1"/>
    <col min="35" max="35" width="12" style="6" bestFit="1" customWidth="1"/>
    <col min="36" max="36" width="15.140625" style="6" customWidth="1"/>
    <col min="37" max="37" width="15.85546875" style="6" customWidth="1"/>
    <col min="38" max="16384" width="8.85546875" style="6"/>
  </cols>
  <sheetData>
    <row r="2" spans="2:37" ht="15" customHeight="1" thickBot="1" x14ac:dyDescent="0.3">
      <c r="B2" s="3" t="s">
        <v>0</v>
      </c>
      <c r="C2" s="4" t="s">
        <v>18</v>
      </c>
      <c r="D2" s="5" t="s">
        <v>2</v>
      </c>
      <c r="I2" s="7" t="s">
        <v>1</v>
      </c>
      <c r="J2" s="2"/>
      <c r="K2" s="2"/>
      <c r="L2" s="2"/>
      <c r="M2" s="2"/>
      <c r="N2" s="2"/>
      <c r="Q2" s="6" t="s">
        <v>55</v>
      </c>
      <c r="AA2" s="6" t="s">
        <v>56</v>
      </c>
    </row>
    <row r="3" spans="2:37" ht="15" customHeight="1" x14ac:dyDescent="0.25">
      <c r="Q3" s="38"/>
      <c r="R3" s="39"/>
      <c r="S3" s="39"/>
      <c r="T3" s="39"/>
      <c r="U3" s="40" t="s">
        <v>37</v>
      </c>
      <c r="V3" s="39"/>
      <c r="W3" s="39"/>
      <c r="X3" s="39"/>
      <c r="Y3" s="41"/>
      <c r="AA3" s="38"/>
      <c r="AB3" s="39"/>
      <c r="AC3" s="39"/>
      <c r="AD3" s="39"/>
      <c r="AE3" s="39"/>
      <c r="AF3" s="40" t="s">
        <v>2</v>
      </c>
      <c r="AG3" s="39"/>
      <c r="AH3" s="39"/>
      <c r="AI3" s="39"/>
      <c r="AJ3" s="39"/>
      <c r="AK3" s="41"/>
    </row>
    <row r="4" spans="2:37" ht="15" customHeight="1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  <c r="Q4" s="58" t="s">
        <v>46</v>
      </c>
      <c r="R4" s="59"/>
      <c r="S4" s="59"/>
      <c r="T4" s="59"/>
      <c r="V4" s="59" t="s">
        <v>47</v>
      </c>
      <c r="W4" s="59"/>
      <c r="X4" s="59"/>
      <c r="Y4" s="60"/>
      <c r="AA4" s="58" t="s">
        <v>46</v>
      </c>
      <c r="AB4" s="59"/>
      <c r="AC4" s="59"/>
      <c r="AD4" s="59"/>
      <c r="AE4" s="59"/>
      <c r="AG4" s="59" t="s">
        <v>47</v>
      </c>
      <c r="AH4" s="59"/>
      <c r="AI4" s="59"/>
      <c r="AJ4" s="59"/>
      <c r="AK4" s="60"/>
    </row>
    <row r="5" spans="2:37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[in]</v>
      </c>
      <c r="K5" s="15" t="str">
        <f>_xlfn.CONCAT("D ", "[",D13,"]")</f>
        <v>D [in]</v>
      </c>
      <c r="L5" s="15" t="str">
        <f>_xlfn.CONCAT("E ", "[",G6,"]")</f>
        <v>E [psi]</v>
      </c>
      <c r="M5" s="15" t="str">
        <f>_xlfn.CONCAT("k ", "[",D33,"]")</f>
        <v>k [lbf/in]</v>
      </c>
      <c r="N5" s="15" t="s">
        <v>21</v>
      </c>
      <c r="Q5" s="42" t="s">
        <v>44</v>
      </c>
      <c r="R5" s="33" t="s">
        <v>43</v>
      </c>
      <c r="S5" s="33" t="s">
        <v>42</v>
      </c>
      <c r="T5" s="34" t="s">
        <v>45</v>
      </c>
      <c r="V5" s="32" t="s">
        <v>44</v>
      </c>
      <c r="W5" s="33" t="s">
        <v>43</v>
      </c>
      <c r="X5" s="33" t="s">
        <v>42</v>
      </c>
      <c r="Y5" s="43" t="s">
        <v>45</v>
      </c>
      <c r="AA5" s="42" t="s">
        <v>48</v>
      </c>
      <c r="AB5" s="32" t="s">
        <v>49</v>
      </c>
      <c r="AC5" s="33" t="s">
        <v>50</v>
      </c>
      <c r="AD5" s="33" t="s">
        <v>51</v>
      </c>
      <c r="AE5" s="34" t="s">
        <v>52</v>
      </c>
      <c r="AG5" s="32" t="s">
        <v>48</v>
      </c>
      <c r="AH5" s="32" t="s">
        <v>49</v>
      </c>
      <c r="AI5" s="33" t="s">
        <v>50</v>
      </c>
      <c r="AJ5" s="33" t="s">
        <v>51</v>
      </c>
      <c r="AK5" s="43" t="s">
        <v>52</v>
      </c>
    </row>
    <row r="6" spans="2:37" ht="15" customHeight="1" x14ac:dyDescent="0.25">
      <c r="B6" s="1" t="s">
        <v>29</v>
      </c>
      <c r="C6" s="1">
        <v>0.109</v>
      </c>
      <c r="D6" s="1" t="str">
        <f>IF($D$2="English","in", "mm")</f>
        <v>in</v>
      </c>
      <c r="E6" s="13" t="s">
        <v>12</v>
      </c>
      <c r="F6" s="22">
        <f>30*10^6</f>
        <v>30000000</v>
      </c>
      <c r="G6" s="1" t="str">
        <f t="shared" ref="G6:G9" si="0">IF($D$2="English","psi","Pa")</f>
        <v>psi</v>
      </c>
      <c r="I6" s="16">
        <v>1</v>
      </c>
      <c r="J6" s="2">
        <f>C6</f>
        <v>0.109</v>
      </c>
      <c r="K6" s="2">
        <f>1.5*C13</f>
        <v>0.75</v>
      </c>
      <c r="L6" s="23">
        <f>F6</f>
        <v>30000000</v>
      </c>
      <c r="M6" s="23">
        <f>IF(J6=0,0,(PI()*L6*$C$13*TAN(RADIANS($C$5)))/LN(((2*J6*TAN(RADIANS($C$5))+K6-$C$13)*(K6+$C$13))/((2*J6*TAN(RADIANS($C$5))+K6+$C$13)*(K6-$C$13))))</f>
        <v>87250848.624008179</v>
      </c>
      <c r="N6" s="23">
        <f>IF(M6=0,0,M6^-1)</f>
        <v>1.1461206575873203E-8</v>
      </c>
      <c r="Q6" s="44">
        <v>1.6</v>
      </c>
      <c r="R6" s="30">
        <v>0.35</v>
      </c>
      <c r="S6" s="30">
        <v>1.27</v>
      </c>
      <c r="T6" s="31">
        <v>1.07</v>
      </c>
      <c r="V6" s="29">
        <v>1.6</v>
      </c>
      <c r="W6" s="30" t="e">
        <f>NA()</f>
        <v>#N/A</v>
      </c>
      <c r="X6" s="30" t="e">
        <f>NA()</f>
        <v>#N/A</v>
      </c>
      <c r="Y6" s="30" t="e">
        <f>NA()</f>
        <v>#N/A</v>
      </c>
      <c r="AA6" s="51">
        <f>0</f>
        <v>0</v>
      </c>
      <c r="AB6" s="29">
        <v>0.06</v>
      </c>
      <c r="AC6" s="30" t="e">
        <f>NA()</f>
        <v>#N/A</v>
      </c>
      <c r="AD6" s="30" t="e">
        <f>NA()</f>
        <v>#N/A</v>
      </c>
      <c r="AE6" s="31" t="e">
        <f>NA()</f>
        <v>#N/A</v>
      </c>
      <c r="AG6" s="37">
        <f>0</f>
        <v>0</v>
      </c>
      <c r="AH6" s="29">
        <v>0.06</v>
      </c>
      <c r="AI6" s="30">
        <v>80</v>
      </c>
      <c r="AJ6" s="30">
        <v>1.8E-3</v>
      </c>
      <c r="AK6" s="45">
        <v>1.5100000000000001E-3</v>
      </c>
    </row>
    <row r="7" spans="2:37" ht="15" customHeight="1" x14ac:dyDescent="0.25">
      <c r="B7" s="1" t="s">
        <v>30</v>
      </c>
      <c r="C7" s="1">
        <v>0.2</v>
      </c>
      <c r="D7" s="1" t="str">
        <f t="shared" ref="D7:D9" si="1">IF($D$2="English","in", "mm")</f>
        <v>in</v>
      </c>
      <c r="E7" s="13" t="s">
        <v>13</v>
      </c>
      <c r="F7" s="22">
        <f>30*10^6</f>
        <v>30000000</v>
      </c>
      <c r="G7" s="1" t="str">
        <f t="shared" si="0"/>
        <v>psi</v>
      </c>
      <c r="I7" s="16">
        <v>2</v>
      </c>
      <c r="J7" s="2">
        <f>IF(C6+C7&lt;J14,C7,J14-C6)</f>
        <v>0.2</v>
      </c>
      <c r="K7" s="18">
        <f>K6+2*J6*TAN(RADIANS($C$5))</f>
        <v>0.87586235868333839</v>
      </c>
      <c r="L7" s="23">
        <f>F7</f>
        <v>30000000</v>
      </c>
      <c r="M7" s="23">
        <f>IF(J7=0,0,(PI()*L7*$C$13*TAN(RADIANS($C$5)))/LN(((2*J7*TAN(RADIANS($C$5))+K7-$C$13)*(K7+$C$13))/((2*J7*TAN(RADIANS($C$5))+K7+$C$13)*(K7-$C$13))))</f>
        <v>84020206.449607074</v>
      </c>
      <c r="N7" s="23">
        <f t="shared" ref="N7:N10" si="2">IF(M7=0,0,M7^-1)</f>
        <v>1.1901898867622654E-8</v>
      </c>
      <c r="Q7" s="44">
        <v>2</v>
      </c>
      <c r="R7" s="30">
        <v>0.4</v>
      </c>
      <c r="S7" s="30">
        <v>2.0699999999999998</v>
      </c>
      <c r="T7" s="31">
        <v>1.79</v>
      </c>
      <c r="V7" s="29">
        <v>2</v>
      </c>
      <c r="W7" s="30" t="e">
        <f>NA()</f>
        <v>#N/A</v>
      </c>
      <c r="X7" s="30" t="e">
        <f>NA()</f>
        <v>#N/A</v>
      </c>
      <c r="Y7" s="30" t="e">
        <f>NA()</f>
        <v>#N/A</v>
      </c>
      <c r="AA7" s="51">
        <f>1</f>
        <v>1</v>
      </c>
      <c r="AB7" s="29">
        <v>7.2999999999999995E-2</v>
      </c>
      <c r="AC7" s="30">
        <v>64</v>
      </c>
      <c r="AD7" s="30">
        <v>2.63E-3</v>
      </c>
      <c r="AE7" s="31">
        <v>2.1800000000000001E-3</v>
      </c>
      <c r="AG7" s="37">
        <f>1</f>
        <v>1</v>
      </c>
      <c r="AH7" s="29">
        <v>7.2999999999999995E-2</v>
      </c>
      <c r="AI7" s="30">
        <v>72</v>
      </c>
      <c r="AJ7" s="30">
        <v>2.7799999999999999E-3</v>
      </c>
      <c r="AK7" s="45">
        <v>2.3700000000000001E-3</v>
      </c>
    </row>
    <row r="8" spans="2:37" ht="15" customHeight="1" x14ac:dyDescent="0.25">
      <c r="B8" s="1" t="s">
        <v>31</v>
      </c>
      <c r="C8" s="1">
        <v>1</v>
      </c>
      <c r="D8" s="1" t="str">
        <f t="shared" si="1"/>
        <v>in</v>
      </c>
      <c r="E8" s="13" t="s">
        <v>15</v>
      </c>
      <c r="F8" s="22">
        <f>10.4*10^6</f>
        <v>10400000</v>
      </c>
      <c r="G8" s="1" t="str">
        <f t="shared" si="0"/>
        <v>psi</v>
      </c>
      <c r="I8" s="16">
        <v>3</v>
      </c>
      <c r="J8" s="2">
        <f>IF(C6+C7&lt;J14,J14-C7-C6,C6+C7-J14)</f>
        <v>0.34549999999999997</v>
      </c>
      <c r="K8" s="18">
        <f>IF(J6+J7&lt;J14,K7+2*J7*TAN(RADIANS($C$5)),K7+2*J7*TAN(RADIANS($C$5))-2*J8*TAN(RADIANS($C$5)))</f>
        <v>1.1068024663591887</v>
      </c>
      <c r="L8" s="23">
        <f>IF(J6+J7&lt;J14,F8,F7)</f>
        <v>10400000</v>
      </c>
      <c r="M8" s="23">
        <f>IF(J8=0,0,(PI()*L8*$C$13*TAN(RADIANS($C$5)))/LN(((2*J8*TAN(RADIANS($C$5))+K8-$C$13)*(K8+$C$13))/((2*J8*TAN(RADIANS($C$5))+K8+$C$13)*(K8-$C$13))))</f>
        <v>33267299.572240856</v>
      </c>
      <c r="N8" s="23">
        <f t="shared" si="2"/>
        <v>3.0059548351030789E-8</v>
      </c>
      <c r="Q8" s="44">
        <v>2.5</v>
      </c>
      <c r="R8" s="30">
        <v>0.45</v>
      </c>
      <c r="S8" s="30">
        <v>3.39</v>
      </c>
      <c r="T8" s="31">
        <v>2.98</v>
      </c>
      <c r="V8" s="29">
        <v>2.5</v>
      </c>
      <c r="W8" s="30" t="e">
        <f>NA()</f>
        <v>#N/A</v>
      </c>
      <c r="X8" s="30" t="e">
        <f>NA()</f>
        <v>#N/A</v>
      </c>
      <c r="Y8" s="30" t="e">
        <f>NA()</f>
        <v>#N/A</v>
      </c>
      <c r="AA8" s="51">
        <f>2</f>
        <v>2</v>
      </c>
      <c r="AB8" s="29">
        <v>8.5999999999999993E-2</v>
      </c>
      <c r="AC8" s="30">
        <v>56</v>
      </c>
      <c r="AD8" s="30">
        <v>3.7000000000000002E-3</v>
      </c>
      <c r="AE8" s="31">
        <v>3.0999999999999999E-3</v>
      </c>
      <c r="AG8" s="37">
        <f>2</f>
        <v>2</v>
      </c>
      <c r="AH8" s="29">
        <v>8.5999999999999993E-2</v>
      </c>
      <c r="AI8" s="30">
        <v>64</v>
      </c>
      <c r="AJ8" s="30">
        <v>3.9399999999999999E-3</v>
      </c>
      <c r="AK8" s="45">
        <v>3.3899999999999998E-3</v>
      </c>
    </row>
    <row r="9" spans="2:37" ht="15" customHeight="1" x14ac:dyDescent="0.25">
      <c r="B9" s="1" t="s">
        <v>28</v>
      </c>
      <c r="C9" s="1">
        <v>0</v>
      </c>
      <c r="D9" s="1" t="str">
        <f t="shared" si="1"/>
        <v>in</v>
      </c>
      <c r="E9" s="13" t="s">
        <v>14</v>
      </c>
      <c r="F9" s="22">
        <f>30*10^6</f>
        <v>30000000</v>
      </c>
      <c r="G9" s="1" t="str">
        <f t="shared" si="0"/>
        <v>psi</v>
      </c>
      <c r="I9" s="16">
        <v>4</v>
      </c>
      <c r="J9" s="2">
        <f>C16-SUM(J6:J8)-J10</f>
        <v>0.65449999999999997</v>
      </c>
      <c r="K9" s="18">
        <f>K10+2*J10*TAN(RADIANS($C$5))</f>
        <v>0.75</v>
      </c>
      <c r="L9" s="23">
        <f>F8</f>
        <v>10400000</v>
      </c>
      <c r="M9" s="23">
        <f>IF(J9=0,0,(PI()*L9*$C$13*TAN(RADIANS($C$5)))/LN(((2*J9*TAN(RADIANS($C$5))+K9-$C$13)*(K9+$C$13))/((2*J9*TAN(RADIANS($C$5))+K9+$C$13)*(K9-$C$13))))</f>
        <v>10261343.937335819</v>
      </c>
      <c r="N9" s="23">
        <f t="shared" si="2"/>
        <v>9.7453121745730396E-8</v>
      </c>
      <c r="Q9" s="44">
        <v>3</v>
      </c>
      <c r="R9" s="30">
        <v>0.5</v>
      </c>
      <c r="S9" s="30">
        <v>5.03</v>
      </c>
      <c r="T9" s="31">
        <v>4.47</v>
      </c>
      <c r="V9" s="29">
        <v>3</v>
      </c>
      <c r="W9" s="30" t="e">
        <f>NA()</f>
        <v>#N/A</v>
      </c>
      <c r="X9" s="30" t="e">
        <f>NA()</f>
        <v>#N/A</v>
      </c>
      <c r="Y9" s="30" t="e">
        <f>NA()</f>
        <v>#N/A</v>
      </c>
      <c r="AA9" s="51">
        <f>3</f>
        <v>3</v>
      </c>
      <c r="AB9" s="29">
        <v>9.9000000000000005E-2</v>
      </c>
      <c r="AC9" s="30">
        <v>48</v>
      </c>
      <c r="AD9" s="30">
        <v>4.8700000000000002E-3</v>
      </c>
      <c r="AE9" s="31">
        <v>4.0600000000000002E-3</v>
      </c>
      <c r="AG9" s="37">
        <f>3</f>
        <v>3</v>
      </c>
      <c r="AH9" s="29">
        <v>9.9000000000000005E-2</v>
      </c>
      <c r="AI9" s="30">
        <v>56</v>
      </c>
      <c r="AJ9" s="30">
        <v>5.2300000000000003E-3</v>
      </c>
      <c r="AK9" s="45">
        <v>4.5100000000000001E-3</v>
      </c>
    </row>
    <row r="10" spans="2:37" ht="15" customHeight="1" x14ac:dyDescent="0.25">
      <c r="I10" s="16">
        <v>5</v>
      </c>
      <c r="J10" s="2">
        <f>C9</f>
        <v>0</v>
      </c>
      <c r="K10" s="2">
        <f>1.5*C13</f>
        <v>0.75</v>
      </c>
      <c r="L10" s="23">
        <f>F9</f>
        <v>30000000</v>
      </c>
      <c r="M10" s="23">
        <f>IF(J10=0,0,(PI()*L10*$C$13*TAN(RADIANS($C$5)))/LN(((2*J10*TAN(RADIANS($C$5))+K10-$C$13)*(K10+$C$13))/((2*J10*TAN(RADIANS($C$5))+K10+$C$13)*(K10-$C$13))))</f>
        <v>0</v>
      </c>
      <c r="N10" s="23">
        <f t="shared" si="2"/>
        <v>0</v>
      </c>
      <c r="Q10" s="44">
        <v>3.5</v>
      </c>
      <c r="R10" s="30">
        <v>0.6</v>
      </c>
      <c r="S10" s="30">
        <v>6.78</v>
      </c>
      <c r="T10" s="31">
        <v>6</v>
      </c>
      <c r="V10" s="29">
        <v>3.5</v>
      </c>
      <c r="W10" s="30" t="e">
        <f>NA()</f>
        <v>#N/A</v>
      </c>
      <c r="X10" s="30" t="e">
        <f>NA()</f>
        <v>#N/A</v>
      </c>
      <c r="Y10" s="30" t="e">
        <f>NA()</f>
        <v>#N/A</v>
      </c>
      <c r="AA10" s="51">
        <f>4</f>
        <v>4</v>
      </c>
      <c r="AB10" s="29">
        <v>0.112</v>
      </c>
      <c r="AC10" s="30">
        <v>40</v>
      </c>
      <c r="AD10" s="30">
        <v>6.0400000000000002E-3</v>
      </c>
      <c r="AE10" s="31">
        <v>4.96E-3</v>
      </c>
      <c r="AG10" s="37">
        <f>4</f>
        <v>4</v>
      </c>
      <c r="AH10" s="29">
        <v>0.112</v>
      </c>
      <c r="AI10" s="30">
        <v>48</v>
      </c>
      <c r="AJ10" s="30">
        <v>6.6100000000000004E-3</v>
      </c>
      <c r="AK10" s="45">
        <v>5.6600000000000001E-3</v>
      </c>
    </row>
    <row r="11" spans="2:37" ht="15" customHeight="1" x14ac:dyDescent="0.25">
      <c r="B11" s="8" t="s">
        <v>16</v>
      </c>
      <c r="C11" s="36" t="str">
        <f>IF($D$2="English",_xlfn.CONCAT(TEXT(C13, "# ?/?"),"""-",C22,"-", C15, " ",C14),_xlfn.CONCAT("M",C13,"-", C22,"-", C15," ",C14))</f>
        <v xml:space="preserve"> 1/2"-13-1.5 UNC</v>
      </c>
      <c r="D11" s="8"/>
      <c r="Q11" s="44">
        <v>4</v>
      </c>
      <c r="R11" s="30">
        <v>0.7</v>
      </c>
      <c r="S11" s="30">
        <v>8.7799999999999994</v>
      </c>
      <c r="T11" s="31">
        <v>7.75</v>
      </c>
      <c r="V11" s="29">
        <v>4</v>
      </c>
      <c r="W11" s="30" t="e">
        <f>NA()</f>
        <v>#N/A</v>
      </c>
      <c r="X11" s="30" t="e">
        <f>NA()</f>
        <v>#N/A</v>
      </c>
      <c r="Y11" s="30" t="e">
        <f>NA()</f>
        <v>#N/A</v>
      </c>
      <c r="AA11" s="51">
        <f>5</f>
        <v>5</v>
      </c>
      <c r="AB11" s="29">
        <v>0.125</v>
      </c>
      <c r="AC11" s="30">
        <v>40</v>
      </c>
      <c r="AD11" s="30">
        <v>7.9600000000000001E-3</v>
      </c>
      <c r="AE11" s="31">
        <v>6.7200000000000003E-3</v>
      </c>
      <c r="AG11" s="37">
        <f>5</f>
        <v>5</v>
      </c>
      <c r="AH11" s="29">
        <v>0.125</v>
      </c>
      <c r="AI11" s="30">
        <v>44</v>
      </c>
      <c r="AJ11" s="30">
        <v>8.8000000000000005E-3</v>
      </c>
      <c r="AK11" s="45">
        <v>7.1599999999999997E-3</v>
      </c>
    </row>
    <row r="12" spans="2:37" ht="15" customHeight="1" x14ac:dyDescent="0.25">
      <c r="B12" s="1" t="s">
        <v>53</v>
      </c>
      <c r="C12" s="22">
        <f>30*10^6</f>
        <v>30000000</v>
      </c>
      <c r="D12" s="1" t="str">
        <f>IF($D$2="English","psi","Pa")</f>
        <v>psi</v>
      </c>
      <c r="I12" s="25" t="s">
        <v>34</v>
      </c>
      <c r="J12" s="25">
        <f>SUM(J6:J10)</f>
        <v>1.3089999999999999</v>
      </c>
      <c r="K12" s="25" t="str">
        <f>IF($D$2="English","in", "mm")</f>
        <v>in</v>
      </c>
      <c r="Q12" s="44">
        <v>5</v>
      </c>
      <c r="R12" s="30">
        <v>0.8</v>
      </c>
      <c r="S12" s="30">
        <v>14.2</v>
      </c>
      <c r="T12" s="31">
        <v>12.7</v>
      </c>
      <c r="V12" s="29">
        <v>5</v>
      </c>
      <c r="W12" s="30" t="e">
        <f>NA()</f>
        <v>#N/A</v>
      </c>
      <c r="X12" s="30" t="e">
        <f>NA()</f>
        <v>#N/A</v>
      </c>
      <c r="Y12" s="30" t="e">
        <f>NA()</f>
        <v>#N/A</v>
      </c>
      <c r="AA12" s="51">
        <f>6</f>
        <v>6</v>
      </c>
      <c r="AB12" s="29">
        <v>0.13800000000000001</v>
      </c>
      <c r="AC12" s="30">
        <v>32</v>
      </c>
      <c r="AD12" s="30">
        <v>9.0900000000000009E-3</v>
      </c>
      <c r="AE12" s="31">
        <v>7.45E-3</v>
      </c>
      <c r="AG12" s="37">
        <f>6</f>
        <v>6</v>
      </c>
      <c r="AH12" s="29">
        <v>0.13800000000000001</v>
      </c>
      <c r="AI12" s="30">
        <v>40</v>
      </c>
      <c r="AJ12" s="30">
        <v>1.0149999999999999E-2</v>
      </c>
      <c r="AK12" s="45">
        <v>8.7399999999999995E-3</v>
      </c>
    </row>
    <row r="13" spans="2:37" ht="15" customHeight="1" x14ac:dyDescent="0.25">
      <c r="B13" s="1" t="s">
        <v>4</v>
      </c>
      <c r="C13" s="1">
        <v>0.5</v>
      </c>
      <c r="D13" s="1" t="str">
        <f t="shared" ref="D13" si="3">IF($D$2="English","in", "mm")</f>
        <v>in</v>
      </c>
      <c r="I13" s="25" t="s">
        <v>23</v>
      </c>
      <c r="J13" s="25">
        <f>C16</f>
        <v>1.3089999999999999</v>
      </c>
      <c r="K13" s="25" t="str">
        <f>IF($D$2="English","in", "mm")</f>
        <v>in</v>
      </c>
      <c r="Q13" s="44">
        <v>6</v>
      </c>
      <c r="R13" s="30">
        <v>1</v>
      </c>
      <c r="S13" s="30">
        <v>20.100000000000001</v>
      </c>
      <c r="T13" s="31">
        <v>17.899999999999999</v>
      </c>
      <c r="V13" s="29">
        <v>6</v>
      </c>
      <c r="W13" s="30" t="e">
        <f>NA()</f>
        <v>#N/A</v>
      </c>
      <c r="X13" s="30" t="e">
        <f>NA()</f>
        <v>#N/A</v>
      </c>
      <c r="Y13" s="30" t="e">
        <f>NA()</f>
        <v>#N/A</v>
      </c>
      <c r="AA13" s="51">
        <f>8</f>
        <v>8</v>
      </c>
      <c r="AB13" s="29">
        <v>0.16400000000000001</v>
      </c>
      <c r="AC13" s="30">
        <v>32</v>
      </c>
      <c r="AD13" s="30">
        <v>1.4E-2</v>
      </c>
      <c r="AE13" s="31">
        <v>1.196E-2</v>
      </c>
      <c r="AG13" s="37">
        <f>8</f>
        <v>8</v>
      </c>
      <c r="AH13" s="29">
        <v>0.16400000000000001</v>
      </c>
      <c r="AI13" s="30">
        <v>36</v>
      </c>
      <c r="AJ13" s="30">
        <v>1.474E-2</v>
      </c>
      <c r="AK13" s="45">
        <v>1.285E-2</v>
      </c>
    </row>
    <row r="14" spans="2:37" ht="15" customHeight="1" x14ac:dyDescent="0.25">
      <c r="B14" s="1" t="s">
        <v>54</v>
      </c>
      <c r="C14" s="35" t="s">
        <v>46</v>
      </c>
      <c r="D14" s="1"/>
      <c r="I14" s="25" t="s">
        <v>24</v>
      </c>
      <c r="J14" s="25">
        <f>C16/2</f>
        <v>0.65449999999999997</v>
      </c>
      <c r="K14" s="25" t="str">
        <f t="shared" ref="K14" si="4">IF($D$2="English","in", "mm")</f>
        <v>in</v>
      </c>
      <c r="Q14" s="44">
        <v>8</v>
      </c>
      <c r="R14" s="30">
        <v>1.25</v>
      </c>
      <c r="S14" s="30">
        <v>36.6</v>
      </c>
      <c r="T14" s="31">
        <v>32.799999999999997</v>
      </c>
      <c r="V14" s="29">
        <v>8</v>
      </c>
      <c r="W14" s="30">
        <v>1</v>
      </c>
      <c r="X14" s="30">
        <v>39.200000000000003</v>
      </c>
      <c r="Y14" s="45">
        <v>36</v>
      </c>
      <c r="AA14" s="51">
        <f>10</f>
        <v>10</v>
      </c>
      <c r="AB14" s="29">
        <v>0.19</v>
      </c>
      <c r="AC14" s="30">
        <v>24</v>
      </c>
      <c r="AD14" s="30">
        <v>1.7500000000000002E-2</v>
      </c>
      <c r="AE14" s="31">
        <v>1.4500000000000001E-2</v>
      </c>
      <c r="AG14" s="37">
        <f>10</f>
        <v>10</v>
      </c>
      <c r="AH14" s="29">
        <v>0.19</v>
      </c>
      <c r="AI14" s="30">
        <v>32</v>
      </c>
      <c r="AJ14" s="30">
        <v>0.02</v>
      </c>
      <c r="AK14" s="45">
        <v>1.7500000000000002E-2</v>
      </c>
    </row>
    <row r="15" spans="2:37" ht="15" customHeight="1" x14ac:dyDescent="0.25">
      <c r="B15" s="1" t="s">
        <v>5</v>
      </c>
      <c r="C15" s="1">
        <v>1.5</v>
      </c>
      <c r="D15" s="1" t="str">
        <f t="shared" ref="D15" si="5">IF($D$2="English","in", "mm")</f>
        <v>in</v>
      </c>
      <c r="Q15" s="44">
        <v>10</v>
      </c>
      <c r="R15" s="30">
        <v>1.5</v>
      </c>
      <c r="S15" s="30">
        <v>58</v>
      </c>
      <c r="T15" s="31">
        <v>52.3</v>
      </c>
      <c r="V15" s="29">
        <v>10</v>
      </c>
      <c r="W15" s="30">
        <v>1.25</v>
      </c>
      <c r="X15" s="30">
        <v>61.2</v>
      </c>
      <c r="Y15" s="45">
        <v>56.3</v>
      </c>
      <c r="AA15" s="51">
        <f>12</f>
        <v>12</v>
      </c>
      <c r="AB15" s="29">
        <v>0.216</v>
      </c>
      <c r="AC15" s="30">
        <v>24</v>
      </c>
      <c r="AD15" s="30">
        <v>2.4199999999999999E-2</v>
      </c>
      <c r="AE15" s="31">
        <v>2.06E-2</v>
      </c>
      <c r="AG15" s="37">
        <f>12</f>
        <v>12</v>
      </c>
      <c r="AH15" s="29">
        <v>0.216</v>
      </c>
      <c r="AI15" s="30">
        <v>28</v>
      </c>
      <c r="AJ15" s="30">
        <v>2.58E-2</v>
      </c>
      <c r="AK15" s="45">
        <v>2.2599999999999999E-2</v>
      </c>
    </row>
    <row r="16" spans="2:37" ht="15" customHeight="1" x14ac:dyDescent="0.25">
      <c r="B16" s="2" t="s">
        <v>23</v>
      </c>
      <c r="C16" s="2">
        <f>IF(C25,SUM(C6:C8)+C9,IF(C13&lt;=C8, C6+C7+(C13/2), C6+C7+(C8/2)))</f>
        <v>1.3089999999999999</v>
      </c>
      <c r="D16" s="2" t="str">
        <f>IF($D$2="English","in", "mm")</f>
        <v>in</v>
      </c>
      <c r="I16" s="2" t="s">
        <v>35</v>
      </c>
      <c r="J16" s="24">
        <f>SUM(N6:N10)^-1</f>
        <v>6627969.2443614146</v>
      </c>
      <c r="K16" s="2" t="str">
        <f>IF($D$2="English","lbf/in","mN/m")</f>
        <v>lbf/in</v>
      </c>
      <c r="Q16" s="44">
        <v>12</v>
      </c>
      <c r="R16" s="30">
        <v>1.75</v>
      </c>
      <c r="S16" s="30">
        <v>84.3</v>
      </c>
      <c r="T16" s="31">
        <v>76.3</v>
      </c>
      <c r="V16" s="29">
        <v>12</v>
      </c>
      <c r="W16" s="30">
        <v>1.25</v>
      </c>
      <c r="X16" s="30">
        <v>92.1</v>
      </c>
      <c r="Y16" s="45">
        <v>86</v>
      </c>
      <c r="AA16" s="51">
        <f>1/4</f>
        <v>0.25</v>
      </c>
      <c r="AB16" s="29">
        <v>0.25</v>
      </c>
      <c r="AC16" s="30">
        <v>20</v>
      </c>
      <c r="AD16" s="30">
        <v>3.1800000000000002E-2</v>
      </c>
      <c r="AE16" s="31">
        <v>2.69E-2</v>
      </c>
      <c r="AG16" s="37">
        <f>1/4</f>
        <v>0.25</v>
      </c>
      <c r="AH16" s="29">
        <v>0.25</v>
      </c>
      <c r="AI16" s="30">
        <v>28</v>
      </c>
      <c r="AJ16" s="30">
        <v>3.6400000000000002E-2</v>
      </c>
      <c r="AK16" s="45">
        <v>3.2599999999999997E-2</v>
      </c>
    </row>
    <row r="17" spans="2:37" ht="15" customHeight="1" x14ac:dyDescent="0.25">
      <c r="B17" s="2" t="s">
        <v>22</v>
      </c>
      <c r="C17" s="2">
        <f>IF(F17,C15,IF($D$2="English",IF(C15&lt;=6, 2*C13+0.25, 2*C13+0.5),IF(AND(C15&lt;=125,C13&lt;=48),2*C13+6,IF(C15&lt;=200,2*C13+12,2*C13+25))))</f>
        <v>1.25</v>
      </c>
      <c r="D17" s="2" t="str">
        <f t="shared" ref="D17" si="6">IF($D$2="English","in", "mm")</f>
        <v>in</v>
      </c>
      <c r="E17" s="1" t="s">
        <v>38</v>
      </c>
      <c r="F17" s="20" t="b">
        <v>0</v>
      </c>
      <c r="I17" s="2"/>
      <c r="J17" s="28">
        <f>IF($D$2="English",J16*10^-6,J16*10^-9)</f>
        <v>6.627969244361414</v>
      </c>
      <c r="K17" s="2" t="str">
        <f>IF($D$2="English","Mlbf/in","MN/m")</f>
        <v>Mlbf/in</v>
      </c>
      <c r="Q17" s="44">
        <v>14</v>
      </c>
      <c r="R17" s="30">
        <v>2</v>
      </c>
      <c r="S17" s="30">
        <v>115</v>
      </c>
      <c r="T17" s="31">
        <v>104</v>
      </c>
      <c r="V17" s="29">
        <v>14</v>
      </c>
      <c r="W17" s="30">
        <v>1.5</v>
      </c>
      <c r="X17" s="30">
        <v>125</v>
      </c>
      <c r="Y17" s="45">
        <v>116</v>
      </c>
      <c r="AA17" s="51">
        <f>5/16</f>
        <v>0.3125</v>
      </c>
      <c r="AB17" s="29">
        <v>0.3125</v>
      </c>
      <c r="AC17" s="30">
        <v>18</v>
      </c>
      <c r="AD17" s="30">
        <v>5.2400000000000002E-2</v>
      </c>
      <c r="AE17" s="31">
        <v>4.5400000000000003E-2</v>
      </c>
      <c r="AG17" s="37">
        <f>5/16</f>
        <v>0.3125</v>
      </c>
      <c r="AH17" s="29">
        <v>0.3125</v>
      </c>
      <c r="AI17" s="30">
        <v>24</v>
      </c>
      <c r="AJ17" s="30">
        <v>5.8000000000000003E-2</v>
      </c>
      <c r="AK17" s="45">
        <v>5.2400000000000002E-2</v>
      </c>
    </row>
    <row r="18" spans="2:37" ht="15" customHeight="1" x14ac:dyDescent="0.25">
      <c r="B18" s="2" t="s">
        <v>25</v>
      </c>
      <c r="C18" s="2">
        <f>C15-C17</f>
        <v>0.25</v>
      </c>
      <c r="D18" s="2" t="str">
        <f>IF($D$2="English","in", "mm")</f>
        <v>in</v>
      </c>
      <c r="Q18" s="44">
        <v>16</v>
      </c>
      <c r="R18" s="30">
        <v>2</v>
      </c>
      <c r="S18" s="30">
        <v>157</v>
      </c>
      <c r="T18" s="31">
        <v>144</v>
      </c>
      <c r="V18" s="29">
        <v>16</v>
      </c>
      <c r="W18" s="30">
        <v>1.5</v>
      </c>
      <c r="X18" s="30">
        <v>167</v>
      </c>
      <c r="Y18" s="45">
        <v>157</v>
      </c>
      <c r="AA18" s="51">
        <f>3/8</f>
        <v>0.375</v>
      </c>
      <c r="AB18" s="29">
        <v>0.375</v>
      </c>
      <c r="AC18" s="30">
        <v>16</v>
      </c>
      <c r="AD18" s="30">
        <v>7.7499999999999999E-2</v>
      </c>
      <c r="AE18" s="31">
        <v>6.7799999999999999E-2</v>
      </c>
      <c r="AG18" s="37">
        <f>3/8</f>
        <v>0.375</v>
      </c>
      <c r="AH18" s="29">
        <v>0.375</v>
      </c>
      <c r="AI18" s="30">
        <v>24</v>
      </c>
      <c r="AJ18" s="30">
        <v>8.7800000000000003E-2</v>
      </c>
      <c r="AK18" s="45">
        <v>8.09E-2</v>
      </c>
    </row>
    <row r="19" spans="2:37" ht="15" customHeight="1" x14ac:dyDescent="0.25">
      <c r="B19" s="2" t="s">
        <v>26</v>
      </c>
      <c r="C19" s="2">
        <f>C16-C18</f>
        <v>1.0589999999999999</v>
      </c>
      <c r="D19" s="2" t="str">
        <f>IF($D$2="English","in", "mm")</f>
        <v>in</v>
      </c>
      <c r="I19" s="2" t="s">
        <v>57</v>
      </c>
      <c r="J19" s="28">
        <f>C33/(C33+J16)</f>
        <v>0.34128317983181677</v>
      </c>
      <c r="Q19" s="44">
        <v>20</v>
      </c>
      <c r="R19" s="30">
        <v>2.5</v>
      </c>
      <c r="S19" s="30">
        <v>245</v>
      </c>
      <c r="T19" s="31">
        <v>225</v>
      </c>
      <c r="V19" s="29">
        <v>20</v>
      </c>
      <c r="W19" s="30">
        <v>1.5</v>
      </c>
      <c r="X19" s="30">
        <v>272</v>
      </c>
      <c r="Y19" s="45">
        <v>259</v>
      </c>
      <c r="AA19" s="51">
        <f>7/16</f>
        <v>0.4375</v>
      </c>
      <c r="AB19" s="29">
        <v>0.4375</v>
      </c>
      <c r="AC19" s="30">
        <v>14</v>
      </c>
      <c r="AD19" s="30">
        <v>0.10630000000000001</v>
      </c>
      <c r="AE19" s="31">
        <v>9.3299999999999994E-2</v>
      </c>
      <c r="AG19" s="37">
        <f>7/16</f>
        <v>0.4375</v>
      </c>
      <c r="AH19" s="29">
        <v>0.4375</v>
      </c>
      <c r="AI19" s="30">
        <v>20</v>
      </c>
      <c r="AJ19" s="30">
        <v>0.1187</v>
      </c>
      <c r="AK19" s="45">
        <v>0.109</v>
      </c>
    </row>
    <row r="20" spans="2:37" ht="15" customHeight="1" x14ac:dyDescent="0.25">
      <c r="B20" s="2" t="s">
        <v>7</v>
      </c>
      <c r="C20" s="18">
        <f>(PI()*(C13^2))/4</f>
        <v>0.19634954084936207</v>
      </c>
      <c r="D20" s="2" t="str">
        <f>IF($D$2="English","in^2","mm^2")</f>
        <v>in^2</v>
      </c>
      <c r="Q20" s="44">
        <v>24</v>
      </c>
      <c r="R20" s="30">
        <v>3</v>
      </c>
      <c r="S20" s="30">
        <v>353</v>
      </c>
      <c r="T20" s="31">
        <v>324</v>
      </c>
      <c r="V20" s="29">
        <v>24</v>
      </c>
      <c r="W20" s="30">
        <v>2</v>
      </c>
      <c r="X20" s="30">
        <v>384</v>
      </c>
      <c r="Y20" s="45">
        <v>365</v>
      </c>
      <c r="AA20" s="51">
        <f>1/2</f>
        <v>0.5</v>
      </c>
      <c r="AB20" s="29">
        <v>0.5</v>
      </c>
      <c r="AC20" s="30">
        <v>13</v>
      </c>
      <c r="AD20" s="30">
        <v>0.1419</v>
      </c>
      <c r="AE20" s="31">
        <v>0.12570000000000001</v>
      </c>
      <c r="AG20" s="37">
        <f>1/2</f>
        <v>0.5</v>
      </c>
      <c r="AH20" s="29">
        <v>0.5</v>
      </c>
      <c r="AI20" s="30">
        <v>20</v>
      </c>
      <c r="AJ20" s="30">
        <v>0.15989999999999999</v>
      </c>
      <c r="AK20" s="45">
        <v>0.14860000000000001</v>
      </c>
    </row>
    <row r="21" spans="2:37" ht="15" customHeight="1" x14ac:dyDescent="0.25">
      <c r="B21" s="2" t="s">
        <v>8</v>
      </c>
      <c r="C21" s="2">
        <f>IF($D$2="English",IF($C$14="UNC",VLOOKUP($C$13,$AB$6:$AE$27,3,FALSE),VLOOKUP($C$13,$AH$6:$AK$27,3,FALSE)), IF($C$14="UNC",VLOOKUP($C$13,$Q$6:$T$31,3,FALSE),VLOOKUP($C$13,$V$6:$Y$31,3,FALSE)))</f>
        <v>0.1419</v>
      </c>
      <c r="D21" s="2" t="str">
        <f>IF($D$2="English","in^2","mm^2")</f>
        <v>in^2</v>
      </c>
      <c r="Q21" s="44">
        <v>30</v>
      </c>
      <c r="R21" s="30">
        <v>3.5</v>
      </c>
      <c r="S21" s="30">
        <v>561</v>
      </c>
      <c r="T21" s="31">
        <v>519</v>
      </c>
      <c r="V21" s="29">
        <v>30</v>
      </c>
      <c r="W21" s="30">
        <v>2</v>
      </c>
      <c r="X21" s="30">
        <v>621</v>
      </c>
      <c r="Y21" s="45">
        <v>596</v>
      </c>
      <c r="AA21" s="51">
        <f>9/16</f>
        <v>0.5625</v>
      </c>
      <c r="AB21" s="29">
        <v>0.5625</v>
      </c>
      <c r="AC21" s="30">
        <v>12</v>
      </c>
      <c r="AD21" s="30">
        <v>0.182</v>
      </c>
      <c r="AE21" s="31">
        <v>0.16200000000000001</v>
      </c>
      <c r="AG21" s="37">
        <f>9/16</f>
        <v>0.5625</v>
      </c>
      <c r="AH21" s="29">
        <v>0.5625</v>
      </c>
      <c r="AI21" s="30">
        <v>18</v>
      </c>
      <c r="AJ21" s="30">
        <v>0.20300000000000001</v>
      </c>
      <c r="AK21" s="45">
        <v>0.189</v>
      </c>
    </row>
    <row r="22" spans="2:37" ht="15" customHeight="1" x14ac:dyDescent="0.25">
      <c r="B22" s="2" t="str">
        <f>IF($D$2="English","Bolt threads per inch, p","Bolt pitch, p")</f>
        <v>Bolt threads per inch, p</v>
      </c>
      <c r="C22" s="2">
        <f>IF($D$2="English",IF($C$14="UNC",VLOOKUP($C$13,$AB$6:$AE$27,2,FALSE),VLOOKUP($C$13,$AH$6:$AK$27,2,FALSE)), IF($C$14="UNC",VLOOKUP($C$13,$Q$6:$T$31,2,FALSE),VLOOKUP($C$13,$V$6:$Y$31,2,FALSE)))</f>
        <v>13</v>
      </c>
      <c r="D22" s="2" t="str">
        <f>IF($D$2="English","threads/in","mm")</f>
        <v>threads/in</v>
      </c>
      <c r="Q22" s="44">
        <v>36</v>
      </c>
      <c r="R22" s="30">
        <v>4</v>
      </c>
      <c r="S22" s="30">
        <v>817</v>
      </c>
      <c r="T22" s="31">
        <v>759</v>
      </c>
      <c r="V22" s="29">
        <v>36</v>
      </c>
      <c r="W22" s="30">
        <v>2</v>
      </c>
      <c r="X22" s="30">
        <v>915</v>
      </c>
      <c r="Y22" s="45">
        <v>884</v>
      </c>
      <c r="AA22" s="51">
        <f>5/8</f>
        <v>0.625</v>
      </c>
      <c r="AB22" s="29">
        <v>0.625</v>
      </c>
      <c r="AC22" s="30">
        <v>11</v>
      </c>
      <c r="AD22" s="30">
        <v>0.22600000000000001</v>
      </c>
      <c r="AE22" s="31">
        <v>0.20200000000000001</v>
      </c>
      <c r="AG22" s="37">
        <f>5/8</f>
        <v>0.625</v>
      </c>
      <c r="AH22" s="29">
        <v>0.625</v>
      </c>
      <c r="AI22" s="30">
        <v>18</v>
      </c>
      <c r="AJ22" s="30">
        <v>0.25600000000000001</v>
      </c>
      <c r="AK22" s="45">
        <v>0.24</v>
      </c>
    </row>
    <row r="23" spans="2:37" ht="15" customHeight="1" x14ac:dyDescent="0.25">
      <c r="Q23" s="44">
        <v>42</v>
      </c>
      <c r="R23" s="30">
        <v>4.5</v>
      </c>
      <c r="S23" s="30">
        <v>1120</v>
      </c>
      <c r="T23" s="31">
        <v>1050</v>
      </c>
      <c r="V23" s="29">
        <v>42</v>
      </c>
      <c r="W23" s="30">
        <v>2</v>
      </c>
      <c r="X23" s="30">
        <v>1260</v>
      </c>
      <c r="Y23" s="45">
        <v>1230</v>
      </c>
      <c r="AA23" s="51">
        <f>3/4</f>
        <v>0.75</v>
      </c>
      <c r="AB23" s="29">
        <v>0.75</v>
      </c>
      <c r="AC23" s="30">
        <v>10</v>
      </c>
      <c r="AD23" s="30">
        <v>0.33400000000000002</v>
      </c>
      <c r="AE23" s="31">
        <v>0.30199999999999999</v>
      </c>
      <c r="AG23" s="37">
        <f>3/4</f>
        <v>0.75</v>
      </c>
      <c r="AH23" s="29">
        <v>0.75</v>
      </c>
      <c r="AI23" s="30">
        <v>16</v>
      </c>
      <c r="AJ23" s="30">
        <v>0.373</v>
      </c>
      <c r="AK23" s="45">
        <v>0.35099999999999998</v>
      </c>
    </row>
    <row r="24" spans="2:37" ht="15" customHeight="1" x14ac:dyDescent="0.25">
      <c r="B24" s="1" t="s">
        <v>9</v>
      </c>
      <c r="C24" s="20" t="b">
        <v>0</v>
      </c>
      <c r="D24" s="57" t="s">
        <v>36</v>
      </c>
      <c r="E24" s="57"/>
      <c r="F24" s="57"/>
      <c r="Q24" s="44">
        <v>48</v>
      </c>
      <c r="R24" s="30">
        <v>5</v>
      </c>
      <c r="S24" s="30">
        <v>1470</v>
      </c>
      <c r="T24" s="31">
        <v>1380</v>
      </c>
      <c r="V24" s="29">
        <v>48</v>
      </c>
      <c r="W24" s="30">
        <v>2</v>
      </c>
      <c r="X24" s="30">
        <v>1670</v>
      </c>
      <c r="Y24" s="45">
        <v>1630</v>
      </c>
      <c r="AA24" s="51">
        <f>7/8</f>
        <v>0.875</v>
      </c>
      <c r="AB24" s="29">
        <v>0.875</v>
      </c>
      <c r="AC24" s="30">
        <v>9</v>
      </c>
      <c r="AD24" s="30">
        <v>0.46200000000000002</v>
      </c>
      <c r="AE24" s="31">
        <v>0.41899999999999998</v>
      </c>
      <c r="AG24" s="37">
        <f>7/8</f>
        <v>0.875</v>
      </c>
      <c r="AH24" s="29">
        <v>0.875</v>
      </c>
      <c r="AI24" s="30">
        <v>14</v>
      </c>
      <c r="AJ24" s="30">
        <v>0.50900000000000001</v>
      </c>
      <c r="AK24" s="45">
        <v>0.48</v>
      </c>
    </row>
    <row r="25" spans="2:37" ht="15" customHeight="1" x14ac:dyDescent="0.25">
      <c r="B25" s="1" t="s">
        <v>10</v>
      </c>
      <c r="C25" s="21" t="b">
        <f>NOT(C24)</f>
        <v>1</v>
      </c>
      <c r="D25" s="57"/>
      <c r="E25" s="57"/>
      <c r="F25" s="57"/>
      <c r="Q25" s="44">
        <v>56</v>
      </c>
      <c r="R25" s="30">
        <v>5.5</v>
      </c>
      <c r="S25" s="30">
        <v>2030</v>
      </c>
      <c r="T25" s="31">
        <v>1910</v>
      </c>
      <c r="V25" s="29">
        <v>56</v>
      </c>
      <c r="W25" s="30">
        <v>2</v>
      </c>
      <c r="X25" s="30">
        <v>2300</v>
      </c>
      <c r="Y25" s="45">
        <v>2250</v>
      </c>
      <c r="AA25" s="51">
        <f>1</f>
        <v>1</v>
      </c>
      <c r="AB25" s="29">
        <v>1</v>
      </c>
      <c r="AC25" s="30">
        <v>8</v>
      </c>
      <c r="AD25" s="30">
        <v>0.60599999999999998</v>
      </c>
      <c r="AE25" s="31">
        <v>0.55100000000000005</v>
      </c>
      <c r="AG25" s="37">
        <f>1</f>
        <v>1</v>
      </c>
      <c r="AH25" s="29">
        <v>1</v>
      </c>
      <c r="AI25" s="30">
        <v>12</v>
      </c>
      <c r="AJ25" s="30">
        <v>0.66300000000000003</v>
      </c>
      <c r="AK25" s="45">
        <v>0.625</v>
      </c>
    </row>
    <row r="26" spans="2:37" ht="15" customHeight="1" x14ac:dyDescent="0.25">
      <c r="Q26" s="44">
        <v>64</v>
      </c>
      <c r="R26" s="30">
        <v>6</v>
      </c>
      <c r="S26" s="30">
        <v>2680</v>
      </c>
      <c r="T26" s="31">
        <v>2520</v>
      </c>
      <c r="V26" s="29">
        <v>64</v>
      </c>
      <c r="W26" s="30">
        <v>2</v>
      </c>
      <c r="X26" s="30">
        <v>3030</v>
      </c>
      <c r="Y26" s="45">
        <v>2980</v>
      </c>
      <c r="AA26" s="51">
        <f>1.25</f>
        <v>1.25</v>
      </c>
      <c r="AB26" s="29">
        <v>1.25</v>
      </c>
      <c r="AC26" s="30">
        <v>7</v>
      </c>
      <c r="AD26" s="30">
        <v>0.96899999999999997</v>
      </c>
      <c r="AE26" s="31">
        <v>0.89</v>
      </c>
      <c r="AG26" s="37">
        <f>1.25</f>
        <v>1.25</v>
      </c>
      <c r="AH26" s="29">
        <v>1.25</v>
      </c>
      <c r="AI26" s="30">
        <v>12</v>
      </c>
      <c r="AJ26" s="30">
        <v>1.073</v>
      </c>
      <c r="AK26" s="45">
        <v>1.024</v>
      </c>
    </row>
    <row r="27" spans="2:37" ht="15" customHeight="1" thickBot="1" x14ac:dyDescent="0.3">
      <c r="B27" s="2" t="s">
        <v>39</v>
      </c>
      <c r="C27" s="24">
        <f>IF(C18=0,0,(C20*C12)/C18)</f>
        <v>23561944.901923448</v>
      </c>
      <c r="D27" s="2" t="str">
        <f>IF($D$2="English","lbf/in","mN/m")</f>
        <v>lbf/in</v>
      </c>
      <c r="Q27" s="44">
        <v>72</v>
      </c>
      <c r="R27" s="30">
        <v>6</v>
      </c>
      <c r="S27" s="30">
        <v>3460</v>
      </c>
      <c r="T27" s="31">
        <v>3280</v>
      </c>
      <c r="V27" s="29">
        <v>72</v>
      </c>
      <c r="W27" s="30">
        <v>2</v>
      </c>
      <c r="X27" s="30">
        <v>3860</v>
      </c>
      <c r="Y27" s="45">
        <v>3800</v>
      </c>
      <c r="AA27" s="52">
        <f>1.5</f>
        <v>1.5</v>
      </c>
      <c r="AB27" s="49">
        <v>1.5</v>
      </c>
      <c r="AC27" s="47">
        <v>6</v>
      </c>
      <c r="AD27" s="47">
        <v>1.405</v>
      </c>
      <c r="AE27" s="48">
        <v>1.294</v>
      </c>
      <c r="AF27" s="54"/>
      <c r="AG27" s="53">
        <f>1.5</f>
        <v>1.5</v>
      </c>
      <c r="AH27" s="49">
        <v>1.5</v>
      </c>
      <c r="AI27" s="47">
        <v>12</v>
      </c>
      <c r="AJ27" s="47">
        <v>1.581</v>
      </c>
      <c r="AK27" s="50">
        <v>1.5209999999999999</v>
      </c>
    </row>
    <row r="28" spans="2:37" ht="15" customHeight="1" x14ac:dyDescent="0.25">
      <c r="B28" s="2"/>
      <c r="C28" s="19">
        <f>IF($D$2="English",C27*10^-6,C27*10^-9)</f>
        <v>23.561944901923447</v>
      </c>
      <c r="D28" s="2" t="str">
        <f>IF($D$2="English","Mlbf/in","MN/m")</f>
        <v>Mlbf/in</v>
      </c>
      <c r="Q28" s="44">
        <v>80</v>
      </c>
      <c r="R28" s="30">
        <v>6</v>
      </c>
      <c r="S28" s="30">
        <v>4340</v>
      </c>
      <c r="T28" s="31">
        <v>4140</v>
      </c>
      <c r="V28" s="29">
        <v>80</v>
      </c>
      <c r="W28" s="30">
        <v>1.5</v>
      </c>
      <c r="X28" s="30">
        <v>4850</v>
      </c>
      <c r="Y28" s="45">
        <v>4800</v>
      </c>
    </row>
    <row r="29" spans="2:37" ht="15" customHeight="1" x14ac:dyDescent="0.25">
      <c r="Q29" s="44">
        <v>90</v>
      </c>
      <c r="R29" s="30">
        <v>6</v>
      </c>
      <c r="S29" s="30">
        <v>5590</v>
      </c>
      <c r="T29" s="31">
        <v>5360</v>
      </c>
      <c r="V29" s="29">
        <v>90</v>
      </c>
      <c r="W29" s="30">
        <v>2</v>
      </c>
      <c r="X29" s="30">
        <v>6100</v>
      </c>
      <c r="Y29" s="45">
        <v>6020</v>
      </c>
    </row>
    <row r="30" spans="2:37" ht="15" customHeight="1" x14ac:dyDescent="0.25">
      <c r="B30" s="2" t="s">
        <v>40</v>
      </c>
      <c r="C30" s="24">
        <f>IF(C19=0,0,(C21*C12)/C19)</f>
        <v>4019830.028328612</v>
      </c>
      <c r="D30" s="2" t="str">
        <f>IF($D$2="English","lbf/in","mN/m")</f>
        <v>lbf/in</v>
      </c>
      <c r="Q30" s="44">
        <v>100</v>
      </c>
      <c r="R30" s="30">
        <v>6</v>
      </c>
      <c r="S30" s="30">
        <v>6990</v>
      </c>
      <c r="T30" s="31">
        <v>6740</v>
      </c>
      <c r="V30" s="29">
        <v>100</v>
      </c>
      <c r="W30" s="30">
        <v>2</v>
      </c>
      <c r="X30" s="30">
        <v>7560</v>
      </c>
      <c r="Y30" s="45">
        <v>7470</v>
      </c>
    </row>
    <row r="31" spans="2:37" ht="15" customHeight="1" thickBot="1" x14ac:dyDescent="0.3">
      <c r="B31" s="2"/>
      <c r="C31" s="19">
        <f>IF($D$2="English",C30*10^-6,C30*10^-9)</f>
        <v>4.0198300283286121</v>
      </c>
      <c r="D31" s="2" t="str">
        <f>IF($D$2="English","Mlbf/in","MN/m")</f>
        <v>Mlbf/in</v>
      </c>
      <c r="Q31" s="46">
        <v>110</v>
      </c>
      <c r="R31" s="47">
        <v>6</v>
      </c>
      <c r="S31" s="47" t="e">
        <f>NA()</f>
        <v>#N/A</v>
      </c>
      <c r="T31" s="47" t="e">
        <f>NA()</f>
        <v>#N/A</v>
      </c>
      <c r="U31" s="54"/>
      <c r="V31" s="49">
        <v>110</v>
      </c>
      <c r="W31" s="47">
        <v>2</v>
      </c>
      <c r="X31" s="47">
        <v>9180</v>
      </c>
      <c r="Y31" s="50">
        <v>9080</v>
      </c>
    </row>
    <row r="33" spans="2:4" ht="15" customHeight="1" x14ac:dyDescent="0.25">
      <c r="B33" s="2" t="s">
        <v>6</v>
      </c>
      <c r="C33" s="24">
        <f>SUM(IF(C27=0,0,C27^-1),IF(C30=0,0,C30^-1))^-1</f>
        <v>3433970.9421198792</v>
      </c>
      <c r="D33" s="2" t="str">
        <f>IF($D$2="English","lbf/in","mN/m")</f>
        <v>lbf/in</v>
      </c>
    </row>
    <row r="34" spans="2:4" ht="15" customHeight="1" x14ac:dyDescent="0.25">
      <c r="B34" s="2"/>
      <c r="C34" s="28">
        <f>IF($D$2="English",C33*10^-6,C33*10^-9)</f>
        <v>3.433970942119879</v>
      </c>
      <c r="D34" s="2" t="str">
        <f>IF($D$2="English","Mlbf/in","MN/m")</f>
        <v>Mlbf/in</v>
      </c>
    </row>
    <row r="150" spans="38:38" ht="15" customHeight="1" x14ac:dyDescent="0.25">
      <c r="AL150" s="6" t="s">
        <v>27</v>
      </c>
    </row>
  </sheetData>
  <mergeCells count="5">
    <mergeCell ref="Q4:T4"/>
    <mergeCell ref="V4:Y4"/>
    <mergeCell ref="AA4:AE4"/>
    <mergeCell ref="AG4:AK4"/>
    <mergeCell ref="D24:F25"/>
  </mergeCells>
  <conditionalFormatting sqref="C16:D16">
    <cfRule type="expression" dxfId="53" priority="6">
      <formula>$C$16&lt;&gt;$J$12</formula>
    </cfRule>
    <cfRule type="duplicateValues" dxfId="52" priority="7"/>
  </conditionalFormatting>
  <conditionalFormatting sqref="I6:N6">
    <cfRule type="expression" dxfId="51" priority="4">
      <formula>0=$J$6</formula>
    </cfRule>
  </conditionalFormatting>
  <conditionalFormatting sqref="I7:N7">
    <cfRule type="expression" dxfId="50" priority="5">
      <formula>0=$J$7</formula>
    </cfRule>
  </conditionalFormatting>
  <conditionalFormatting sqref="I8:N8">
    <cfRule type="expression" dxfId="49" priority="3">
      <formula>0=$J$8</formula>
    </cfRule>
  </conditionalFormatting>
  <conditionalFormatting sqref="I9:N9">
    <cfRule type="expression" dxfId="48" priority="2">
      <formula>0=$J$9</formula>
    </cfRule>
  </conditionalFormatting>
  <conditionalFormatting sqref="I10:N10">
    <cfRule type="expression" dxfId="47" priority="1">
      <formula>0=$J$10</formula>
    </cfRule>
  </conditionalFormatting>
  <conditionalFormatting sqref="J12:K13">
    <cfRule type="expression" dxfId="46" priority="8">
      <formula>$C$16&lt;&gt;$J$12</formula>
    </cfRule>
  </conditionalFormatting>
  <dataValidations count="2">
    <dataValidation type="list" allowBlank="1" showInputMessage="1" showErrorMessage="1" sqref="D2" xr:uid="{5F40A0C7-AFDA-41E5-9251-792E1DEF7FC9}">
      <formula1>"English, Metric"</formula1>
    </dataValidation>
    <dataValidation type="list" allowBlank="1" showInputMessage="1" showErrorMessage="1" sqref="C14" xr:uid="{44D30482-255C-47D9-B2DC-56E1383B94D0}">
      <formula1>"UNC, UNF"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F162-0798-4DC7-B480-570954BD7249}">
  <sheetPr>
    <tabColor rgb="FF00B050"/>
  </sheetPr>
  <dimension ref="B2:AL150"/>
  <sheetViews>
    <sheetView zoomScaleNormal="100" workbookViewId="0">
      <selection activeCell="K32" sqref="K32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3" style="6" customWidth="1"/>
    <col min="4" max="4" width="10.140625" style="6" customWidth="1"/>
    <col min="5" max="5" width="17.4257812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" width="8.85546875" style="6"/>
    <col min="17" max="17" width="16.85546875" style="6" bestFit="1" customWidth="1"/>
    <col min="18" max="18" width="7.5703125" style="6" bestFit="1" customWidth="1"/>
    <col min="19" max="19" width="15.140625" style="6" customWidth="1"/>
    <col min="20" max="20" width="15.85546875" style="6" customWidth="1"/>
    <col min="21" max="21" width="8.85546875" style="6"/>
    <col min="22" max="22" width="16.85546875" style="6" bestFit="1" customWidth="1"/>
    <col min="23" max="23" width="7.5703125" style="6" bestFit="1" customWidth="1"/>
    <col min="24" max="24" width="15.140625" style="6" customWidth="1"/>
    <col min="25" max="25" width="15.85546875" style="6" customWidth="1"/>
    <col min="26" max="26" width="8.85546875" style="6"/>
    <col min="27" max="28" width="16.85546875" style="6" bestFit="1" customWidth="1"/>
    <col min="29" max="29" width="12" style="6" bestFit="1" customWidth="1"/>
    <col min="30" max="30" width="15.140625" style="6" customWidth="1"/>
    <col min="31" max="31" width="15.85546875" style="6" customWidth="1"/>
    <col min="32" max="32" width="8.85546875" style="6"/>
    <col min="33" max="34" width="16.85546875" style="6" bestFit="1" customWidth="1"/>
    <col min="35" max="35" width="12" style="6" bestFit="1" customWidth="1"/>
    <col min="36" max="36" width="15.140625" style="6" customWidth="1"/>
    <col min="37" max="37" width="15.85546875" style="6" customWidth="1"/>
    <col min="38" max="16384" width="8.85546875" style="6"/>
  </cols>
  <sheetData>
    <row r="2" spans="2:37" ht="15" customHeight="1" thickBot="1" x14ac:dyDescent="0.3">
      <c r="B2" s="3" t="s">
        <v>0</v>
      </c>
      <c r="C2" s="4" t="s">
        <v>18</v>
      </c>
      <c r="D2" s="5" t="s">
        <v>2</v>
      </c>
      <c r="I2" s="7" t="s">
        <v>1</v>
      </c>
      <c r="J2" s="2"/>
      <c r="K2" s="2"/>
      <c r="L2" s="2"/>
      <c r="M2" s="2"/>
      <c r="N2" s="2"/>
      <c r="Q2" s="6" t="s">
        <v>55</v>
      </c>
      <c r="AA2" s="6" t="s">
        <v>56</v>
      </c>
    </row>
    <row r="3" spans="2:37" ht="15" customHeight="1" x14ac:dyDescent="0.25">
      <c r="Q3" s="38"/>
      <c r="R3" s="39"/>
      <c r="S3" s="39"/>
      <c r="T3" s="39"/>
      <c r="U3" s="40" t="s">
        <v>37</v>
      </c>
      <c r="V3" s="39"/>
      <c r="W3" s="39"/>
      <c r="X3" s="39"/>
      <c r="Y3" s="41"/>
      <c r="AA3" s="38"/>
      <c r="AB3" s="39"/>
      <c r="AC3" s="39"/>
      <c r="AD3" s="39"/>
      <c r="AE3" s="39"/>
      <c r="AF3" s="40" t="s">
        <v>2</v>
      </c>
      <c r="AG3" s="39"/>
      <c r="AH3" s="39"/>
      <c r="AI3" s="39"/>
      <c r="AJ3" s="39"/>
      <c r="AK3" s="41"/>
    </row>
    <row r="4" spans="2:37" ht="15" customHeight="1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  <c r="Q4" s="58" t="s">
        <v>46</v>
      </c>
      <c r="R4" s="59"/>
      <c r="S4" s="59"/>
      <c r="T4" s="59"/>
      <c r="V4" s="59" t="s">
        <v>47</v>
      </c>
      <c r="W4" s="59"/>
      <c r="X4" s="59"/>
      <c r="Y4" s="60"/>
      <c r="AA4" s="58" t="s">
        <v>46</v>
      </c>
      <c r="AB4" s="59"/>
      <c r="AC4" s="59"/>
      <c r="AD4" s="59"/>
      <c r="AE4" s="59"/>
      <c r="AG4" s="59" t="s">
        <v>47</v>
      </c>
      <c r="AH4" s="59"/>
      <c r="AI4" s="59"/>
      <c r="AJ4" s="59"/>
      <c r="AK4" s="60"/>
    </row>
    <row r="5" spans="2:37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[in]</v>
      </c>
      <c r="K5" s="15" t="str">
        <f>_xlfn.CONCAT("D ", "[",D13,"]")</f>
        <v>D [in]</v>
      </c>
      <c r="L5" s="15" t="str">
        <f>_xlfn.CONCAT("E ", "[",G6,"]")</f>
        <v>E [psi]</v>
      </c>
      <c r="M5" s="15" t="str">
        <f>_xlfn.CONCAT("k ", "[",D33,"]")</f>
        <v>k [lbf/in]</v>
      </c>
      <c r="N5" s="15" t="s">
        <v>21</v>
      </c>
      <c r="Q5" s="42" t="s">
        <v>44</v>
      </c>
      <c r="R5" s="33" t="s">
        <v>43</v>
      </c>
      <c r="S5" s="33" t="s">
        <v>42</v>
      </c>
      <c r="T5" s="34" t="s">
        <v>45</v>
      </c>
      <c r="V5" s="32" t="s">
        <v>44</v>
      </c>
      <c r="W5" s="33" t="s">
        <v>43</v>
      </c>
      <c r="X5" s="33" t="s">
        <v>42</v>
      </c>
      <c r="Y5" s="43" t="s">
        <v>45</v>
      </c>
      <c r="AA5" s="42" t="s">
        <v>48</v>
      </c>
      <c r="AB5" s="32" t="s">
        <v>49</v>
      </c>
      <c r="AC5" s="33" t="s">
        <v>50</v>
      </c>
      <c r="AD5" s="33" t="s">
        <v>51</v>
      </c>
      <c r="AE5" s="34" t="s">
        <v>52</v>
      </c>
      <c r="AG5" s="32" t="s">
        <v>48</v>
      </c>
      <c r="AH5" s="32" t="s">
        <v>49</v>
      </c>
      <c r="AI5" s="33" t="s">
        <v>50</v>
      </c>
      <c r="AJ5" s="33" t="s">
        <v>51</v>
      </c>
      <c r="AK5" s="43" t="s">
        <v>52</v>
      </c>
    </row>
    <row r="6" spans="2:37" ht="15" customHeight="1" x14ac:dyDescent="0.25">
      <c r="B6" s="1" t="s">
        <v>29</v>
      </c>
      <c r="C6" s="1">
        <v>6.5000000000000002E-2</v>
      </c>
      <c r="D6" s="1" t="str">
        <f>IF($D$2="English","in", "mm")</f>
        <v>in</v>
      </c>
      <c r="E6" s="13" t="s">
        <v>12</v>
      </c>
      <c r="F6" s="22">
        <f>30*10^6</f>
        <v>30000000</v>
      </c>
      <c r="G6" s="1" t="str">
        <f t="shared" ref="G6:G9" si="0">IF($D$2="English","psi","Pa")</f>
        <v>psi</v>
      </c>
      <c r="I6" s="16">
        <v>1</v>
      </c>
      <c r="J6" s="2">
        <f>C6</f>
        <v>6.5000000000000002E-2</v>
      </c>
      <c r="K6" s="2">
        <f>1.5*C13</f>
        <v>0.375</v>
      </c>
      <c r="L6" s="23">
        <f>F6</f>
        <v>30000000</v>
      </c>
      <c r="M6" s="23">
        <f>IF(J6=0,0,(PI()*L6*$C$13*TAN(RADIANS($C$5)))/LN(((2*J6*TAN(RADIANS($C$5))+K6-$C$13)*(K6+$C$13))/((2*J6*TAN(RADIANS($C$5))+K6+$C$13)*(K6-$C$13))))</f>
        <v>38118562.585803673</v>
      </c>
      <c r="N6" s="23">
        <f>IF(M6=0,0,M6^-1)</f>
        <v>2.6233937802587171E-8</v>
      </c>
      <c r="Q6" s="44">
        <v>1.6</v>
      </c>
      <c r="R6" s="30">
        <v>0.35</v>
      </c>
      <c r="S6" s="30">
        <v>1.27</v>
      </c>
      <c r="T6" s="31">
        <v>1.07</v>
      </c>
      <c r="V6" s="29">
        <v>1.6</v>
      </c>
      <c r="W6" s="30" t="e">
        <f>NA()</f>
        <v>#N/A</v>
      </c>
      <c r="X6" s="30" t="e">
        <f>NA()</f>
        <v>#N/A</v>
      </c>
      <c r="Y6" s="30" t="e">
        <f>NA()</f>
        <v>#N/A</v>
      </c>
      <c r="AA6" s="51">
        <f>0</f>
        <v>0</v>
      </c>
      <c r="AB6" s="29">
        <v>0.06</v>
      </c>
      <c r="AC6" s="30" t="e">
        <f>NA()</f>
        <v>#N/A</v>
      </c>
      <c r="AD6" s="30" t="e">
        <f>NA()</f>
        <v>#N/A</v>
      </c>
      <c r="AE6" s="31" t="e">
        <f>NA()</f>
        <v>#N/A</v>
      </c>
      <c r="AG6" s="37">
        <f>0</f>
        <v>0</v>
      </c>
      <c r="AH6" s="29">
        <v>0.06</v>
      </c>
      <c r="AI6" s="30">
        <v>80</v>
      </c>
      <c r="AJ6" s="30">
        <v>1.8E-3</v>
      </c>
      <c r="AK6" s="45">
        <v>1.5100000000000001E-3</v>
      </c>
    </row>
    <row r="7" spans="2:37" ht="15" customHeight="1" x14ac:dyDescent="0.25">
      <c r="B7" s="1" t="s">
        <v>30</v>
      </c>
      <c r="C7" s="1">
        <v>0.25</v>
      </c>
      <c r="D7" s="1" t="str">
        <f t="shared" ref="D7:D9" si="1">IF($D$2="English","in", "mm")</f>
        <v>in</v>
      </c>
      <c r="E7" s="13" t="s">
        <v>13</v>
      </c>
      <c r="F7" s="22">
        <f>10.4*10^6</f>
        <v>10400000</v>
      </c>
      <c r="G7" s="1" t="str">
        <f t="shared" si="0"/>
        <v>psi</v>
      </c>
      <c r="I7" s="16">
        <v>2</v>
      </c>
      <c r="J7" s="2">
        <f>IF(C6+C7&lt;J14,C7,J14-C6)</f>
        <v>0.25</v>
      </c>
      <c r="K7" s="18">
        <f>K6+2*J6*TAN(RADIANS($C$5))</f>
        <v>0.45005553499465134</v>
      </c>
      <c r="L7" s="23">
        <f>F7</f>
        <v>10400000</v>
      </c>
      <c r="M7" s="23">
        <f>IF(J7=0,0,(PI()*L7*$C$13*TAN(RADIANS($C$5)))/LN(((2*J7*TAN(RADIANS($C$5))+K7-$C$13)*(K7+$C$13))/((2*J7*TAN(RADIANS($C$5))+K7+$C$13)*(K7-$C$13))))</f>
        <v>8606335.8324020635</v>
      </c>
      <c r="N7" s="23">
        <f t="shared" ref="N7:N10" si="2">IF(M7=0,0,M7^-1)</f>
        <v>1.1619346717044109E-7</v>
      </c>
      <c r="Q7" s="44">
        <v>2</v>
      </c>
      <c r="R7" s="30">
        <v>0.4</v>
      </c>
      <c r="S7" s="30">
        <v>2.0699999999999998</v>
      </c>
      <c r="T7" s="31">
        <v>1.79</v>
      </c>
      <c r="V7" s="29">
        <v>2</v>
      </c>
      <c r="W7" s="30" t="e">
        <f>NA()</f>
        <v>#N/A</v>
      </c>
      <c r="X7" s="30" t="e">
        <f>NA()</f>
        <v>#N/A</v>
      </c>
      <c r="Y7" s="30" t="e">
        <f>NA()</f>
        <v>#N/A</v>
      </c>
      <c r="AA7" s="51">
        <f>1</f>
        <v>1</v>
      </c>
      <c r="AB7" s="29">
        <v>7.2999999999999995E-2</v>
      </c>
      <c r="AC7" s="30">
        <v>64</v>
      </c>
      <c r="AD7" s="30">
        <v>2.63E-3</v>
      </c>
      <c r="AE7" s="31">
        <v>2.1800000000000001E-3</v>
      </c>
      <c r="AG7" s="37">
        <f>1</f>
        <v>1</v>
      </c>
      <c r="AH7" s="29">
        <v>7.2999999999999995E-2</v>
      </c>
      <c r="AI7" s="30">
        <v>72</v>
      </c>
      <c r="AJ7" s="30">
        <v>2.7799999999999999E-3</v>
      </c>
      <c r="AK7" s="45">
        <v>2.3700000000000001E-3</v>
      </c>
    </row>
    <row r="8" spans="2:37" ht="15" customHeight="1" x14ac:dyDescent="0.25">
      <c r="B8" s="1" t="s">
        <v>31</v>
      </c>
      <c r="C8" s="1">
        <v>1</v>
      </c>
      <c r="D8" s="1" t="str">
        <f t="shared" si="1"/>
        <v>in</v>
      </c>
      <c r="E8" s="13" t="s">
        <v>15</v>
      </c>
      <c r="F8" s="22">
        <f>14.5*10^6</f>
        <v>14500000</v>
      </c>
      <c r="G8" s="1" t="str">
        <f t="shared" si="0"/>
        <v>psi</v>
      </c>
      <c r="I8" s="16">
        <v>3</v>
      </c>
      <c r="J8" s="2">
        <f>IF(C6+C7&lt;J14,J14-C7-C6,C6+C7-J14)</f>
        <v>0.37499999999999994</v>
      </c>
      <c r="K8" s="18">
        <f>IF(J6+J7&lt;J14,K7+2*J7*TAN(RADIANS($C$5)),K7+2*J7*TAN(RADIANS($C$5))-2*J8*TAN(RADIANS($C$5)))</f>
        <v>0.73873066958946421</v>
      </c>
      <c r="L8" s="23">
        <f>IF(J6+J7&lt;J14,F8,F7)</f>
        <v>14500000</v>
      </c>
      <c r="M8" s="23">
        <f>IF(J8=0,0,(PI()*L8*$C$13*TAN(RADIANS($C$5)))/LN(((2*J8*TAN(RADIANS($C$5))+K8-$C$13)*(K8+$C$13))/((2*J8*TAN(RADIANS($C$5))+K8+$C$13)*(K8-$C$13))))</f>
        <v>24240775.734118201</v>
      </c>
      <c r="N8" s="23">
        <f t="shared" si="2"/>
        <v>4.1252805230672899E-8</v>
      </c>
      <c r="Q8" s="44">
        <v>2.5</v>
      </c>
      <c r="R8" s="30">
        <v>0.45</v>
      </c>
      <c r="S8" s="30">
        <v>3.39</v>
      </c>
      <c r="T8" s="31">
        <v>2.98</v>
      </c>
      <c r="V8" s="29">
        <v>2.5</v>
      </c>
      <c r="W8" s="30" t="e">
        <f>NA()</f>
        <v>#N/A</v>
      </c>
      <c r="X8" s="30" t="e">
        <f>NA()</f>
        <v>#N/A</v>
      </c>
      <c r="Y8" s="30" t="e">
        <f>NA()</f>
        <v>#N/A</v>
      </c>
      <c r="AA8" s="51">
        <f>2</f>
        <v>2</v>
      </c>
      <c r="AB8" s="29">
        <v>8.5999999999999993E-2</v>
      </c>
      <c r="AC8" s="30">
        <v>56</v>
      </c>
      <c r="AD8" s="30">
        <v>3.7000000000000002E-3</v>
      </c>
      <c r="AE8" s="31">
        <v>3.0999999999999999E-3</v>
      </c>
      <c r="AG8" s="37">
        <f>2</f>
        <v>2</v>
      </c>
      <c r="AH8" s="29">
        <v>8.5999999999999993E-2</v>
      </c>
      <c r="AI8" s="30">
        <v>64</v>
      </c>
      <c r="AJ8" s="30">
        <v>3.9399999999999999E-3</v>
      </c>
      <c r="AK8" s="45">
        <v>3.3899999999999998E-3</v>
      </c>
    </row>
    <row r="9" spans="2:37" ht="15" customHeight="1" x14ac:dyDescent="0.25">
      <c r="B9" s="1" t="s">
        <v>28</v>
      </c>
      <c r="C9" s="1">
        <v>6.5000000000000002E-2</v>
      </c>
      <c r="D9" s="1" t="str">
        <f t="shared" si="1"/>
        <v>in</v>
      </c>
      <c r="E9" s="13" t="s">
        <v>14</v>
      </c>
      <c r="F9" s="22">
        <f>30*10^6</f>
        <v>30000000</v>
      </c>
      <c r="G9" s="1" t="str">
        <f t="shared" si="0"/>
        <v>psi</v>
      </c>
      <c r="I9" s="16">
        <v>4</v>
      </c>
      <c r="J9" s="2">
        <f>C16-SUM(J6:J8)-J10</f>
        <v>0.625</v>
      </c>
      <c r="K9" s="18">
        <f>K10+2*J10*TAN(RADIANS($C$5))</f>
        <v>0.45005553499465134</v>
      </c>
      <c r="L9" s="23">
        <f>F8</f>
        <v>14500000</v>
      </c>
      <c r="M9" s="23">
        <f>IF(J9=0,0,(PI()*L9*$C$13*TAN(RADIANS($C$5)))/LN(((2*J9*TAN(RADIANS($C$5))+K9-$C$13)*(K9+$C$13))/((2*J9*TAN(RADIANS($C$5))+K9+$C$13)*(K9-$C$13))))</f>
        <v>8026225.3451698422</v>
      </c>
      <c r="N9" s="23">
        <f t="shared" si="2"/>
        <v>1.2459156789085131E-7</v>
      </c>
      <c r="Q9" s="44">
        <v>3</v>
      </c>
      <c r="R9" s="30">
        <v>0.5</v>
      </c>
      <c r="S9" s="30">
        <v>5.03</v>
      </c>
      <c r="T9" s="31">
        <v>4.47</v>
      </c>
      <c r="V9" s="29">
        <v>3</v>
      </c>
      <c r="W9" s="30" t="e">
        <f>NA()</f>
        <v>#N/A</v>
      </c>
      <c r="X9" s="30" t="e">
        <f>NA()</f>
        <v>#N/A</v>
      </c>
      <c r="Y9" s="30" t="e">
        <f>NA()</f>
        <v>#N/A</v>
      </c>
      <c r="AA9" s="51">
        <f>3</f>
        <v>3</v>
      </c>
      <c r="AB9" s="29">
        <v>9.9000000000000005E-2</v>
      </c>
      <c r="AC9" s="30">
        <v>48</v>
      </c>
      <c r="AD9" s="30">
        <v>4.8700000000000002E-3</v>
      </c>
      <c r="AE9" s="31">
        <v>4.0600000000000002E-3</v>
      </c>
      <c r="AG9" s="37">
        <f>3</f>
        <v>3</v>
      </c>
      <c r="AH9" s="29">
        <v>9.9000000000000005E-2</v>
      </c>
      <c r="AI9" s="30">
        <v>56</v>
      </c>
      <c r="AJ9" s="30">
        <v>5.2300000000000003E-3</v>
      </c>
      <c r="AK9" s="45">
        <v>4.5100000000000001E-3</v>
      </c>
    </row>
    <row r="10" spans="2:37" ht="15" customHeight="1" x14ac:dyDescent="0.25">
      <c r="I10" s="16">
        <v>5</v>
      </c>
      <c r="J10" s="2">
        <f>C9</f>
        <v>6.5000000000000002E-2</v>
      </c>
      <c r="K10" s="2">
        <f>1.5*C13</f>
        <v>0.375</v>
      </c>
      <c r="L10" s="23">
        <f>F9</f>
        <v>30000000</v>
      </c>
      <c r="M10" s="23">
        <f>IF(J10=0,0,(PI()*L10*$C$13*TAN(RADIANS($C$5)))/LN(((2*J10*TAN(RADIANS($C$5))+K10-$C$13)*(K10+$C$13))/((2*J10*TAN(RADIANS($C$5))+K10+$C$13)*(K10-$C$13))))</f>
        <v>38118562.585803673</v>
      </c>
      <c r="N10" s="23">
        <f t="shared" si="2"/>
        <v>2.6233937802587171E-8</v>
      </c>
      <c r="Q10" s="44">
        <v>3.5</v>
      </c>
      <c r="R10" s="30">
        <v>0.6</v>
      </c>
      <c r="S10" s="30">
        <v>6.78</v>
      </c>
      <c r="T10" s="31">
        <v>6</v>
      </c>
      <c r="V10" s="29">
        <v>3.5</v>
      </c>
      <c r="W10" s="30" t="e">
        <f>NA()</f>
        <v>#N/A</v>
      </c>
      <c r="X10" s="30" t="e">
        <f>NA()</f>
        <v>#N/A</v>
      </c>
      <c r="Y10" s="30" t="e">
        <f>NA()</f>
        <v>#N/A</v>
      </c>
      <c r="AA10" s="51">
        <f>4</f>
        <v>4</v>
      </c>
      <c r="AB10" s="29">
        <v>0.112</v>
      </c>
      <c r="AC10" s="30">
        <v>40</v>
      </c>
      <c r="AD10" s="30">
        <v>6.0400000000000002E-3</v>
      </c>
      <c r="AE10" s="31">
        <v>4.96E-3</v>
      </c>
      <c r="AG10" s="37">
        <f>4</f>
        <v>4</v>
      </c>
      <c r="AH10" s="29">
        <v>0.112</v>
      </c>
      <c r="AI10" s="30">
        <v>48</v>
      </c>
      <c r="AJ10" s="30">
        <v>6.6100000000000004E-3</v>
      </c>
      <c r="AK10" s="45">
        <v>5.6600000000000001E-3</v>
      </c>
    </row>
    <row r="11" spans="2:37" ht="15" customHeight="1" x14ac:dyDescent="0.25">
      <c r="B11" s="8" t="s">
        <v>16</v>
      </c>
      <c r="C11" s="36" t="str">
        <f>IF($D$2="English",_xlfn.CONCAT(TEXT(C13, "# ?/?"),"""-",C22,"-", C15, " ",C14),_xlfn.CONCAT("M",C13,"-", C22,"-", C15," ",C14))</f>
        <v xml:space="preserve"> 1/4"-20-1.75 UNC</v>
      </c>
      <c r="D11" s="8"/>
      <c r="Q11" s="44">
        <v>4</v>
      </c>
      <c r="R11" s="30">
        <v>0.7</v>
      </c>
      <c r="S11" s="30">
        <v>8.7799999999999994</v>
      </c>
      <c r="T11" s="31">
        <v>7.75</v>
      </c>
      <c r="V11" s="29">
        <v>4</v>
      </c>
      <c r="W11" s="30" t="e">
        <f>NA()</f>
        <v>#N/A</v>
      </c>
      <c r="X11" s="30" t="e">
        <f>NA()</f>
        <v>#N/A</v>
      </c>
      <c r="Y11" s="30" t="e">
        <f>NA()</f>
        <v>#N/A</v>
      </c>
      <c r="AA11" s="51">
        <f>5</f>
        <v>5</v>
      </c>
      <c r="AB11" s="29">
        <v>0.125</v>
      </c>
      <c r="AC11" s="30">
        <v>40</v>
      </c>
      <c r="AD11" s="30">
        <v>7.9600000000000001E-3</v>
      </c>
      <c r="AE11" s="31">
        <v>6.7200000000000003E-3</v>
      </c>
      <c r="AG11" s="37">
        <f>5</f>
        <v>5</v>
      </c>
      <c r="AH11" s="29">
        <v>0.125</v>
      </c>
      <c r="AI11" s="30">
        <v>44</v>
      </c>
      <c r="AJ11" s="30">
        <v>8.8000000000000005E-3</v>
      </c>
      <c r="AK11" s="45">
        <v>7.1599999999999997E-3</v>
      </c>
    </row>
    <row r="12" spans="2:37" ht="15" customHeight="1" x14ac:dyDescent="0.25">
      <c r="B12" s="1" t="s">
        <v>53</v>
      </c>
      <c r="C12" s="22">
        <f>30*10^6</f>
        <v>30000000</v>
      </c>
      <c r="D12" s="1" t="str">
        <f>IF($D$2="English","psi","Pa")</f>
        <v>psi</v>
      </c>
      <c r="I12" s="25" t="s">
        <v>34</v>
      </c>
      <c r="J12" s="25">
        <f>SUM(J6:J10)</f>
        <v>1.38</v>
      </c>
      <c r="K12" s="25" t="str">
        <f>IF($D$2="English","in", "mm")</f>
        <v>in</v>
      </c>
      <c r="Q12" s="44">
        <v>5</v>
      </c>
      <c r="R12" s="30">
        <v>0.8</v>
      </c>
      <c r="S12" s="30">
        <v>14.2</v>
      </c>
      <c r="T12" s="31">
        <v>12.7</v>
      </c>
      <c r="V12" s="29">
        <v>5</v>
      </c>
      <c r="W12" s="30" t="e">
        <f>NA()</f>
        <v>#N/A</v>
      </c>
      <c r="X12" s="30" t="e">
        <f>NA()</f>
        <v>#N/A</v>
      </c>
      <c r="Y12" s="30" t="e">
        <f>NA()</f>
        <v>#N/A</v>
      </c>
      <c r="AA12" s="51">
        <f>6</f>
        <v>6</v>
      </c>
      <c r="AB12" s="29">
        <v>0.13800000000000001</v>
      </c>
      <c r="AC12" s="30">
        <v>32</v>
      </c>
      <c r="AD12" s="30">
        <v>9.0900000000000009E-3</v>
      </c>
      <c r="AE12" s="31">
        <v>7.45E-3</v>
      </c>
      <c r="AG12" s="37">
        <f>6</f>
        <v>6</v>
      </c>
      <c r="AH12" s="29">
        <v>0.13800000000000001</v>
      </c>
      <c r="AI12" s="30">
        <v>40</v>
      </c>
      <c r="AJ12" s="30">
        <v>1.0149999999999999E-2</v>
      </c>
      <c r="AK12" s="45">
        <v>8.7399999999999995E-3</v>
      </c>
    </row>
    <row r="13" spans="2:37" ht="15" customHeight="1" x14ac:dyDescent="0.25">
      <c r="B13" s="1" t="s">
        <v>4</v>
      </c>
      <c r="C13" s="1">
        <v>0.25</v>
      </c>
      <c r="D13" s="1" t="str">
        <f t="shared" ref="D13" si="3">IF($D$2="English","in", "mm")</f>
        <v>in</v>
      </c>
      <c r="I13" s="25" t="s">
        <v>23</v>
      </c>
      <c r="J13" s="25">
        <f>C16</f>
        <v>1.38</v>
      </c>
      <c r="K13" s="25" t="str">
        <f>IF($D$2="English","in", "mm")</f>
        <v>in</v>
      </c>
      <c r="Q13" s="44">
        <v>6</v>
      </c>
      <c r="R13" s="30">
        <v>1</v>
      </c>
      <c r="S13" s="30">
        <v>20.100000000000001</v>
      </c>
      <c r="T13" s="31">
        <v>17.899999999999999</v>
      </c>
      <c r="V13" s="29">
        <v>6</v>
      </c>
      <c r="W13" s="30" t="e">
        <f>NA()</f>
        <v>#N/A</v>
      </c>
      <c r="X13" s="30" t="e">
        <f>NA()</f>
        <v>#N/A</v>
      </c>
      <c r="Y13" s="30" t="e">
        <f>NA()</f>
        <v>#N/A</v>
      </c>
      <c r="AA13" s="51">
        <f>8</f>
        <v>8</v>
      </c>
      <c r="AB13" s="29">
        <v>0.16400000000000001</v>
      </c>
      <c r="AC13" s="30">
        <v>32</v>
      </c>
      <c r="AD13" s="30">
        <v>1.4E-2</v>
      </c>
      <c r="AE13" s="31">
        <v>1.196E-2</v>
      </c>
      <c r="AG13" s="37">
        <f>8</f>
        <v>8</v>
      </c>
      <c r="AH13" s="29">
        <v>0.16400000000000001</v>
      </c>
      <c r="AI13" s="30">
        <v>36</v>
      </c>
      <c r="AJ13" s="30">
        <v>1.474E-2</v>
      </c>
      <c r="AK13" s="45">
        <v>1.285E-2</v>
      </c>
    </row>
    <row r="14" spans="2:37" ht="15" customHeight="1" x14ac:dyDescent="0.25">
      <c r="B14" s="1" t="s">
        <v>54</v>
      </c>
      <c r="C14" s="35" t="s">
        <v>46</v>
      </c>
      <c r="D14" s="1"/>
      <c r="I14" s="25" t="s">
        <v>24</v>
      </c>
      <c r="J14" s="25">
        <f>C16/2</f>
        <v>0.69</v>
      </c>
      <c r="K14" s="25" t="str">
        <f t="shared" ref="K14" si="4">IF($D$2="English","in", "mm")</f>
        <v>in</v>
      </c>
      <c r="Q14" s="44">
        <v>8</v>
      </c>
      <c r="R14" s="30">
        <v>1.25</v>
      </c>
      <c r="S14" s="30">
        <v>36.6</v>
      </c>
      <c r="T14" s="31">
        <v>32.799999999999997</v>
      </c>
      <c r="V14" s="29">
        <v>8</v>
      </c>
      <c r="W14" s="30">
        <v>1</v>
      </c>
      <c r="X14" s="30">
        <v>39.200000000000003</v>
      </c>
      <c r="Y14" s="45">
        <v>36</v>
      </c>
      <c r="AA14" s="51">
        <f>10</f>
        <v>10</v>
      </c>
      <c r="AB14" s="29">
        <v>0.19</v>
      </c>
      <c r="AC14" s="30">
        <v>24</v>
      </c>
      <c r="AD14" s="30">
        <v>1.7500000000000002E-2</v>
      </c>
      <c r="AE14" s="31">
        <v>1.4500000000000001E-2</v>
      </c>
      <c r="AG14" s="37">
        <f>10</f>
        <v>10</v>
      </c>
      <c r="AH14" s="29">
        <v>0.19</v>
      </c>
      <c r="AI14" s="30">
        <v>32</v>
      </c>
      <c r="AJ14" s="30">
        <v>0.02</v>
      </c>
      <c r="AK14" s="45">
        <v>1.7500000000000002E-2</v>
      </c>
    </row>
    <row r="15" spans="2:37" ht="15" customHeight="1" x14ac:dyDescent="0.25">
      <c r="B15" s="1" t="s">
        <v>5</v>
      </c>
      <c r="C15" s="1">
        <v>1.75</v>
      </c>
      <c r="D15" s="1" t="str">
        <f t="shared" ref="D15" si="5">IF($D$2="English","in", "mm")</f>
        <v>in</v>
      </c>
      <c r="Q15" s="44">
        <v>10</v>
      </c>
      <c r="R15" s="30">
        <v>1.5</v>
      </c>
      <c r="S15" s="30">
        <v>58</v>
      </c>
      <c r="T15" s="31">
        <v>52.3</v>
      </c>
      <c r="V15" s="29">
        <v>10</v>
      </c>
      <c r="W15" s="30">
        <v>1.25</v>
      </c>
      <c r="X15" s="30">
        <v>61.2</v>
      </c>
      <c r="Y15" s="45">
        <v>56.3</v>
      </c>
      <c r="AA15" s="51">
        <f>12</f>
        <v>12</v>
      </c>
      <c r="AB15" s="29">
        <v>0.216</v>
      </c>
      <c r="AC15" s="30">
        <v>24</v>
      </c>
      <c r="AD15" s="30">
        <v>2.4199999999999999E-2</v>
      </c>
      <c r="AE15" s="31">
        <v>2.06E-2</v>
      </c>
      <c r="AG15" s="37">
        <f>12</f>
        <v>12</v>
      </c>
      <c r="AH15" s="29">
        <v>0.216</v>
      </c>
      <c r="AI15" s="30">
        <v>28</v>
      </c>
      <c r="AJ15" s="30">
        <v>2.58E-2</v>
      </c>
      <c r="AK15" s="45">
        <v>2.2599999999999999E-2</v>
      </c>
    </row>
    <row r="16" spans="2:37" ht="15" customHeight="1" x14ac:dyDescent="0.25">
      <c r="B16" s="2" t="s">
        <v>23</v>
      </c>
      <c r="C16" s="2">
        <f>IF(C25,SUM(C6:C8)+C9,IF(C13&lt;=C8, C6+C7+(C13/2), C6+C7+(C8/2)))</f>
        <v>1.38</v>
      </c>
      <c r="D16" s="2" t="str">
        <f>IF($D$2="English","in", "mm")</f>
        <v>in</v>
      </c>
      <c r="I16" s="2" t="s">
        <v>35</v>
      </c>
      <c r="J16" s="24">
        <f>SUM(N6:N10)^-1</f>
        <v>2989485.5378420488</v>
      </c>
      <c r="K16" s="2" t="str">
        <f>IF($D$2="English","lbf/in","mN/m")</f>
        <v>lbf/in</v>
      </c>
      <c r="Q16" s="44">
        <v>12</v>
      </c>
      <c r="R16" s="30">
        <v>1.75</v>
      </c>
      <c r="S16" s="30">
        <v>84.3</v>
      </c>
      <c r="T16" s="31">
        <v>76.3</v>
      </c>
      <c r="V16" s="29">
        <v>12</v>
      </c>
      <c r="W16" s="30">
        <v>1.25</v>
      </c>
      <c r="X16" s="30">
        <v>92.1</v>
      </c>
      <c r="Y16" s="45">
        <v>86</v>
      </c>
      <c r="AA16" s="51">
        <f>1/4</f>
        <v>0.25</v>
      </c>
      <c r="AB16" s="29">
        <v>0.25</v>
      </c>
      <c r="AC16" s="30">
        <v>20</v>
      </c>
      <c r="AD16" s="30">
        <v>3.1800000000000002E-2</v>
      </c>
      <c r="AE16" s="31">
        <v>2.69E-2</v>
      </c>
      <c r="AG16" s="37">
        <f>1/4</f>
        <v>0.25</v>
      </c>
      <c r="AH16" s="29">
        <v>0.25</v>
      </c>
      <c r="AI16" s="30">
        <v>28</v>
      </c>
      <c r="AJ16" s="30">
        <v>3.6400000000000002E-2</v>
      </c>
      <c r="AK16" s="45">
        <v>3.2599999999999997E-2</v>
      </c>
    </row>
    <row r="17" spans="2:37" ht="15" customHeight="1" x14ac:dyDescent="0.25">
      <c r="B17" s="2" t="s">
        <v>22</v>
      </c>
      <c r="C17" s="2">
        <f>IF(F17,C15,IF($D$2="English",IF(C15&lt;=6, 2*C13+0.25, 2*C13+0.5),IF(AND(C15&lt;=125,C13&lt;=48),2*C13+6,IF(C15&lt;=200,2*C13+12,2*C13+25))))</f>
        <v>0.75</v>
      </c>
      <c r="D17" s="2" t="str">
        <f t="shared" ref="D17" si="6">IF($D$2="English","in", "mm")</f>
        <v>in</v>
      </c>
      <c r="E17" s="1" t="s">
        <v>38</v>
      </c>
      <c r="F17" s="20" t="b">
        <v>0</v>
      </c>
      <c r="I17" s="2"/>
      <c r="J17" s="28">
        <f>IF($D$2="English",J16*10^-6,J16*10^-9)</f>
        <v>2.9894855378420488</v>
      </c>
      <c r="K17" s="2" t="str">
        <f>IF($D$2="English","Mlbf/in","MN/m")</f>
        <v>Mlbf/in</v>
      </c>
      <c r="Q17" s="44">
        <v>14</v>
      </c>
      <c r="R17" s="30">
        <v>2</v>
      </c>
      <c r="S17" s="30">
        <v>115</v>
      </c>
      <c r="T17" s="31">
        <v>104</v>
      </c>
      <c r="V17" s="29">
        <v>14</v>
      </c>
      <c r="W17" s="30">
        <v>1.5</v>
      </c>
      <c r="X17" s="30">
        <v>125</v>
      </c>
      <c r="Y17" s="45">
        <v>116</v>
      </c>
      <c r="AA17" s="51">
        <f>5/16</f>
        <v>0.3125</v>
      </c>
      <c r="AB17" s="29">
        <v>0.3125</v>
      </c>
      <c r="AC17" s="30">
        <v>18</v>
      </c>
      <c r="AD17" s="30">
        <v>5.2400000000000002E-2</v>
      </c>
      <c r="AE17" s="31">
        <v>4.5400000000000003E-2</v>
      </c>
      <c r="AG17" s="37">
        <f>5/16</f>
        <v>0.3125</v>
      </c>
      <c r="AH17" s="29">
        <v>0.3125</v>
      </c>
      <c r="AI17" s="30">
        <v>24</v>
      </c>
      <c r="AJ17" s="30">
        <v>5.8000000000000003E-2</v>
      </c>
      <c r="AK17" s="45">
        <v>5.2400000000000002E-2</v>
      </c>
    </row>
    <row r="18" spans="2:37" ht="15" customHeight="1" x14ac:dyDescent="0.25">
      <c r="B18" s="2" t="s">
        <v>25</v>
      </c>
      <c r="C18" s="2">
        <f>C15-C17</f>
        <v>1</v>
      </c>
      <c r="D18" s="2" t="str">
        <f>IF($D$2="English","in", "mm")</f>
        <v>in</v>
      </c>
      <c r="Q18" s="44">
        <v>16</v>
      </c>
      <c r="R18" s="30">
        <v>2</v>
      </c>
      <c r="S18" s="30">
        <v>157</v>
      </c>
      <c r="T18" s="31">
        <v>144</v>
      </c>
      <c r="V18" s="29">
        <v>16</v>
      </c>
      <c r="W18" s="30">
        <v>1.5</v>
      </c>
      <c r="X18" s="30">
        <v>167</v>
      </c>
      <c r="Y18" s="45">
        <v>157</v>
      </c>
      <c r="AA18" s="51">
        <f>3/8</f>
        <v>0.375</v>
      </c>
      <c r="AB18" s="29">
        <v>0.375</v>
      </c>
      <c r="AC18" s="30">
        <v>16</v>
      </c>
      <c r="AD18" s="30">
        <v>7.7499999999999999E-2</v>
      </c>
      <c r="AE18" s="31">
        <v>6.7799999999999999E-2</v>
      </c>
      <c r="AG18" s="37">
        <f>3/8</f>
        <v>0.375</v>
      </c>
      <c r="AH18" s="29">
        <v>0.375</v>
      </c>
      <c r="AI18" s="30">
        <v>24</v>
      </c>
      <c r="AJ18" s="30">
        <v>8.7800000000000003E-2</v>
      </c>
      <c r="AK18" s="45">
        <v>8.09E-2</v>
      </c>
    </row>
    <row r="19" spans="2:37" ht="15" customHeight="1" x14ac:dyDescent="0.25">
      <c r="B19" s="2" t="s">
        <v>26</v>
      </c>
      <c r="C19" s="2">
        <f>C16-C18</f>
        <v>0.37999999999999989</v>
      </c>
      <c r="D19" s="2" t="str">
        <f>IF($D$2="English","in", "mm")</f>
        <v>in</v>
      </c>
      <c r="I19" s="2" t="s">
        <v>57</v>
      </c>
      <c r="J19" s="28">
        <f>C33/(C33+J16)</f>
        <v>0.23692057952427384</v>
      </c>
      <c r="Q19" s="44">
        <v>20</v>
      </c>
      <c r="R19" s="30">
        <v>2.5</v>
      </c>
      <c r="S19" s="30">
        <v>245</v>
      </c>
      <c r="T19" s="31">
        <v>225</v>
      </c>
      <c r="V19" s="29">
        <v>20</v>
      </c>
      <c r="W19" s="30">
        <v>1.5</v>
      </c>
      <c r="X19" s="30">
        <v>272</v>
      </c>
      <c r="Y19" s="45">
        <v>259</v>
      </c>
      <c r="AA19" s="51">
        <f>7/16</f>
        <v>0.4375</v>
      </c>
      <c r="AB19" s="29">
        <v>0.4375</v>
      </c>
      <c r="AC19" s="30">
        <v>14</v>
      </c>
      <c r="AD19" s="30">
        <v>0.10630000000000001</v>
      </c>
      <c r="AE19" s="31">
        <v>9.3299999999999994E-2</v>
      </c>
      <c r="AG19" s="37">
        <f>7/16</f>
        <v>0.4375</v>
      </c>
      <c r="AH19" s="29">
        <v>0.4375</v>
      </c>
      <c r="AI19" s="30">
        <v>20</v>
      </c>
      <c r="AJ19" s="30">
        <v>0.1187</v>
      </c>
      <c r="AK19" s="45">
        <v>0.109</v>
      </c>
    </row>
    <row r="20" spans="2:37" ht="15" customHeight="1" x14ac:dyDescent="0.25">
      <c r="B20" s="2" t="s">
        <v>7</v>
      </c>
      <c r="C20" s="18">
        <f>(PI()*(C13^2))/4</f>
        <v>4.9087385212340517E-2</v>
      </c>
      <c r="D20" s="2" t="str">
        <f>IF($D$2="English","in^2","mm^2")</f>
        <v>in^2</v>
      </c>
      <c r="Q20" s="44">
        <v>24</v>
      </c>
      <c r="R20" s="30">
        <v>3</v>
      </c>
      <c r="S20" s="30">
        <v>353</v>
      </c>
      <c r="T20" s="31">
        <v>324</v>
      </c>
      <c r="V20" s="29">
        <v>24</v>
      </c>
      <c r="W20" s="30">
        <v>2</v>
      </c>
      <c r="X20" s="30">
        <v>384</v>
      </c>
      <c r="Y20" s="45">
        <v>365</v>
      </c>
      <c r="AA20" s="51">
        <f>1/2</f>
        <v>0.5</v>
      </c>
      <c r="AB20" s="29">
        <v>0.5</v>
      </c>
      <c r="AC20" s="30">
        <v>13</v>
      </c>
      <c r="AD20" s="30">
        <v>0.1419</v>
      </c>
      <c r="AE20" s="31">
        <v>0.12570000000000001</v>
      </c>
      <c r="AG20" s="37">
        <f>1/2</f>
        <v>0.5</v>
      </c>
      <c r="AH20" s="29">
        <v>0.5</v>
      </c>
      <c r="AI20" s="30">
        <v>20</v>
      </c>
      <c r="AJ20" s="30">
        <v>0.15989999999999999</v>
      </c>
      <c r="AK20" s="45">
        <v>0.14860000000000001</v>
      </c>
    </row>
    <row r="21" spans="2:37" ht="15" customHeight="1" x14ac:dyDescent="0.25">
      <c r="B21" s="2" t="s">
        <v>8</v>
      </c>
      <c r="C21" s="2">
        <f>IF($D$2="English",IF($C$14="UNC",VLOOKUP($C$13,$AB$6:$AE$27,3,FALSE),VLOOKUP($C$13,$AH$6:$AK$27,3,FALSE)), IF($C$14="UNC",VLOOKUP($C$13,$Q$6:$T$31,3,FALSE),VLOOKUP($C$13,$V$6:$Y$31,3,FALSE)))</f>
        <v>3.1800000000000002E-2</v>
      </c>
      <c r="D21" s="2" t="str">
        <f>IF($D$2="English","in^2","mm^2")</f>
        <v>in^2</v>
      </c>
      <c r="Q21" s="44">
        <v>30</v>
      </c>
      <c r="R21" s="30">
        <v>3.5</v>
      </c>
      <c r="S21" s="30">
        <v>561</v>
      </c>
      <c r="T21" s="31">
        <v>519</v>
      </c>
      <c r="V21" s="29">
        <v>30</v>
      </c>
      <c r="W21" s="30">
        <v>2</v>
      </c>
      <c r="X21" s="30">
        <v>621</v>
      </c>
      <c r="Y21" s="45">
        <v>596</v>
      </c>
      <c r="AA21" s="51">
        <f>9/16</f>
        <v>0.5625</v>
      </c>
      <c r="AB21" s="29">
        <v>0.5625</v>
      </c>
      <c r="AC21" s="30">
        <v>12</v>
      </c>
      <c r="AD21" s="30">
        <v>0.182</v>
      </c>
      <c r="AE21" s="31">
        <v>0.16200000000000001</v>
      </c>
      <c r="AG21" s="37">
        <f>9/16</f>
        <v>0.5625</v>
      </c>
      <c r="AH21" s="29">
        <v>0.5625</v>
      </c>
      <c r="AI21" s="30">
        <v>18</v>
      </c>
      <c r="AJ21" s="30">
        <v>0.20300000000000001</v>
      </c>
      <c r="AK21" s="45">
        <v>0.189</v>
      </c>
    </row>
    <row r="22" spans="2:37" ht="15" customHeight="1" x14ac:dyDescent="0.25">
      <c r="B22" s="2" t="str">
        <f>IF($D$2="English","Bolt threads per inch, p","Bolt pitch, p")</f>
        <v>Bolt threads per inch, p</v>
      </c>
      <c r="C22" s="2">
        <f>IF($D$2="English",IF($C$14="UNC",VLOOKUP($C$13,$AB$6:$AE$27,2,FALSE),VLOOKUP($C$13,$AH$6:$AK$27,2,FALSE)), IF($C$14="UNC",VLOOKUP($C$13,$Q$6:$T$31,2,FALSE),VLOOKUP($C$13,$V$6:$Y$31,2,FALSE)))</f>
        <v>20</v>
      </c>
      <c r="D22" s="2" t="str">
        <f>IF($D$2="English","threads/in","mm")</f>
        <v>threads/in</v>
      </c>
      <c r="Q22" s="44">
        <v>36</v>
      </c>
      <c r="R22" s="30">
        <v>4</v>
      </c>
      <c r="S22" s="30">
        <v>817</v>
      </c>
      <c r="T22" s="31">
        <v>759</v>
      </c>
      <c r="V22" s="29">
        <v>36</v>
      </c>
      <c r="W22" s="30">
        <v>2</v>
      </c>
      <c r="X22" s="30">
        <v>915</v>
      </c>
      <c r="Y22" s="45">
        <v>884</v>
      </c>
      <c r="AA22" s="51">
        <f>5/8</f>
        <v>0.625</v>
      </c>
      <c r="AB22" s="29">
        <v>0.625</v>
      </c>
      <c r="AC22" s="30">
        <v>11</v>
      </c>
      <c r="AD22" s="30">
        <v>0.22600000000000001</v>
      </c>
      <c r="AE22" s="31">
        <v>0.20200000000000001</v>
      </c>
      <c r="AG22" s="37">
        <f>5/8</f>
        <v>0.625</v>
      </c>
      <c r="AH22" s="29">
        <v>0.625</v>
      </c>
      <c r="AI22" s="30">
        <v>18</v>
      </c>
      <c r="AJ22" s="30">
        <v>0.25600000000000001</v>
      </c>
      <c r="AK22" s="45">
        <v>0.24</v>
      </c>
    </row>
    <row r="23" spans="2:37" ht="15" customHeight="1" x14ac:dyDescent="0.25">
      <c r="Q23" s="44">
        <v>42</v>
      </c>
      <c r="R23" s="30">
        <v>4.5</v>
      </c>
      <c r="S23" s="30">
        <v>1120</v>
      </c>
      <c r="T23" s="31">
        <v>1050</v>
      </c>
      <c r="V23" s="29">
        <v>42</v>
      </c>
      <c r="W23" s="30">
        <v>2</v>
      </c>
      <c r="X23" s="30">
        <v>1260</v>
      </c>
      <c r="Y23" s="45">
        <v>1230</v>
      </c>
      <c r="AA23" s="51">
        <f>3/4</f>
        <v>0.75</v>
      </c>
      <c r="AB23" s="29">
        <v>0.75</v>
      </c>
      <c r="AC23" s="30">
        <v>10</v>
      </c>
      <c r="AD23" s="30">
        <v>0.33400000000000002</v>
      </c>
      <c r="AE23" s="31">
        <v>0.30199999999999999</v>
      </c>
      <c r="AG23" s="37">
        <f>3/4</f>
        <v>0.75</v>
      </c>
      <c r="AH23" s="29">
        <v>0.75</v>
      </c>
      <c r="AI23" s="30">
        <v>16</v>
      </c>
      <c r="AJ23" s="30">
        <v>0.373</v>
      </c>
      <c r="AK23" s="45">
        <v>0.35099999999999998</v>
      </c>
    </row>
    <row r="24" spans="2:37" ht="15" customHeight="1" x14ac:dyDescent="0.25">
      <c r="B24" s="1" t="s">
        <v>9</v>
      </c>
      <c r="C24" s="20" t="b">
        <v>0</v>
      </c>
      <c r="D24" s="57" t="s">
        <v>36</v>
      </c>
      <c r="E24" s="57"/>
      <c r="F24" s="57"/>
      <c r="Q24" s="44">
        <v>48</v>
      </c>
      <c r="R24" s="30">
        <v>5</v>
      </c>
      <c r="S24" s="30">
        <v>1470</v>
      </c>
      <c r="T24" s="31">
        <v>1380</v>
      </c>
      <c r="V24" s="29">
        <v>48</v>
      </c>
      <c r="W24" s="30">
        <v>2</v>
      </c>
      <c r="X24" s="30">
        <v>1670</v>
      </c>
      <c r="Y24" s="45">
        <v>1630</v>
      </c>
      <c r="AA24" s="51">
        <f>7/8</f>
        <v>0.875</v>
      </c>
      <c r="AB24" s="29">
        <v>0.875</v>
      </c>
      <c r="AC24" s="30">
        <v>9</v>
      </c>
      <c r="AD24" s="30">
        <v>0.46200000000000002</v>
      </c>
      <c r="AE24" s="31">
        <v>0.41899999999999998</v>
      </c>
      <c r="AG24" s="37">
        <f>7/8</f>
        <v>0.875</v>
      </c>
      <c r="AH24" s="29">
        <v>0.875</v>
      </c>
      <c r="AI24" s="30">
        <v>14</v>
      </c>
      <c r="AJ24" s="30">
        <v>0.50900000000000001</v>
      </c>
      <c r="AK24" s="45">
        <v>0.48</v>
      </c>
    </row>
    <row r="25" spans="2:37" ht="15" customHeight="1" x14ac:dyDescent="0.25">
      <c r="B25" s="1" t="s">
        <v>10</v>
      </c>
      <c r="C25" s="21" t="b">
        <f>NOT(C24)</f>
        <v>1</v>
      </c>
      <c r="D25" s="57"/>
      <c r="E25" s="57"/>
      <c r="F25" s="57"/>
      <c r="Q25" s="44">
        <v>56</v>
      </c>
      <c r="R25" s="30">
        <v>5.5</v>
      </c>
      <c r="S25" s="30">
        <v>2030</v>
      </c>
      <c r="T25" s="31">
        <v>1910</v>
      </c>
      <c r="V25" s="29">
        <v>56</v>
      </c>
      <c r="W25" s="30">
        <v>2</v>
      </c>
      <c r="X25" s="30">
        <v>2300</v>
      </c>
      <c r="Y25" s="45">
        <v>2250</v>
      </c>
      <c r="AA25" s="51">
        <f>1</f>
        <v>1</v>
      </c>
      <c r="AB25" s="29">
        <v>1</v>
      </c>
      <c r="AC25" s="30">
        <v>8</v>
      </c>
      <c r="AD25" s="30">
        <v>0.60599999999999998</v>
      </c>
      <c r="AE25" s="31">
        <v>0.55100000000000005</v>
      </c>
      <c r="AG25" s="37">
        <f>1</f>
        <v>1</v>
      </c>
      <c r="AH25" s="29">
        <v>1</v>
      </c>
      <c r="AI25" s="30">
        <v>12</v>
      </c>
      <c r="AJ25" s="30">
        <v>0.66300000000000003</v>
      </c>
      <c r="AK25" s="45">
        <v>0.625</v>
      </c>
    </row>
    <row r="26" spans="2:37" ht="15" customHeight="1" x14ac:dyDescent="0.25">
      <c r="Q26" s="44">
        <v>64</v>
      </c>
      <c r="R26" s="30">
        <v>6</v>
      </c>
      <c r="S26" s="30">
        <v>2680</v>
      </c>
      <c r="T26" s="31">
        <v>2520</v>
      </c>
      <c r="V26" s="29">
        <v>64</v>
      </c>
      <c r="W26" s="30">
        <v>2</v>
      </c>
      <c r="X26" s="30">
        <v>3030</v>
      </c>
      <c r="Y26" s="45">
        <v>2980</v>
      </c>
      <c r="AA26" s="51">
        <f>1.25</f>
        <v>1.25</v>
      </c>
      <c r="AB26" s="29">
        <v>1.25</v>
      </c>
      <c r="AC26" s="30">
        <v>7</v>
      </c>
      <c r="AD26" s="30">
        <v>0.96899999999999997</v>
      </c>
      <c r="AE26" s="31">
        <v>0.89</v>
      </c>
      <c r="AG26" s="37">
        <f>1.25</f>
        <v>1.25</v>
      </c>
      <c r="AH26" s="29">
        <v>1.25</v>
      </c>
      <c r="AI26" s="30">
        <v>12</v>
      </c>
      <c r="AJ26" s="30">
        <v>1.073</v>
      </c>
      <c r="AK26" s="45">
        <v>1.024</v>
      </c>
    </row>
    <row r="27" spans="2:37" ht="15" customHeight="1" thickBot="1" x14ac:dyDescent="0.3">
      <c r="B27" s="2" t="s">
        <v>39</v>
      </c>
      <c r="C27" s="24">
        <f>IF(C18=0,0,(C20*C12)/C18)</f>
        <v>1472621.5563702155</v>
      </c>
      <c r="D27" s="2" t="str">
        <f>IF($D$2="English","lbf/in","mN/m")</f>
        <v>lbf/in</v>
      </c>
      <c r="Q27" s="44">
        <v>72</v>
      </c>
      <c r="R27" s="30">
        <v>6</v>
      </c>
      <c r="S27" s="30">
        <v>3460</v>
      </c>
      <c r="T27" s="31">
        <v>3280</v>
      </c>
      <c r="V27" s="29">
        <v>72</v>
      </c>
      <c r="W27" s="30">
        <v>2</v>
      </c>
      <c r="X27" s="30">
        <v>3860</v>
      </c>
      <c r="Y27" s="45">
        <v>3800</v>
      </c>
      <c r="AA27" s="52">
        <f>1.5</f>
        <v>1.5</v>
      </c>
      <c r="AB27" s="49">
        <v>1.5</v>
      </c>
      <c r="AC27" s="47">
        <v>6</v>
      </c>
      <c r="AD27" s="47">
        <v>1.405</v>
      </c>
      <c r="AE27" s="48">
        <v>1.294</v>
      </c>
      <c r="AF27" s="54"/>
      <c r="AG27" s="53">
        <f>1.5</f>
        <v>1.5</v>
      </c>
      <c r="AH27" s="49">
        <v>1.5</v>
      </c>
      <c r="AI27" s="47">
        <v>12</v>
      </c>
      <c r="AJ27" s="47">
        <v>1.581</v>
      </c>
      <c r="AK27" s="50">
        <v>1.5209999999999999</v>
      </c>
    </row>
    <row r="28" spans="2:37" ht="15" customHeight="1" x14ac:dyDescent="0.25">
      <c r="B28" s="2"/>
      <c r="C28" s="19">
        <f>IF($D$2="English",C27*10^-6,C27*10^-9)</f>
        <v>1.4726215563702154</v>
      </c>
      <c r="D28" s="2" t="str">
        <f>IF($D$2="English","Mlbf/in","MN/m")</f>
        <v>Mlbf/in</v>
      </c>
      <c r="Q28" s="44">
        <v>80</v>
      </c>
      <c r="R28" s="30">
        <v>6</v>
      </c>
      <c r="S28" s="30">
        <v>4340</v>
      </c>
      <c r="T28" s="31">
        <v>4140</v>
      </c>
      <c r="V28" s="29">
        <v>80</v>
      </c>
      <c r="W28" s="30">
        <v>1.5</v>
      </c>
      <c r="X28" s="30">
        <v>4850</v>
      </c>
      <c r="Y28" s="45">
        <v>4800</v>
      </c>
    </row>
    <row r="29" spans="2:37" ht="15" customHeight="1" x14ac:dyDescent="0.25">
      <c r="Q29" s="44">
        <v>90</v>
      </c>
      <c r="R29" s="30">
        <v>6</v>
      </c>
      <c r="S29" s="30">
        <v>5590</v>
      </c>
      <c r="T29" s="31">
        <v>5360</v>
      </c>
      <c r="V29" s="29">
        <v>90</v>
      </c>
      <c r="W29" s="30">
        <v>2</v>
      </c>
      <c r="X29" s="30">
        <v>6100</v>
      </c>
      <c r="Y29" s="45">
        <v>6020</v>
      </c>
    </row>
    <row r="30" spans="2:37" ht="15" customHeight="1" x14ac:dyDescent="0.25">
      <c r="B30" s="2" t="s">
        <v>40</v>
      </c>
      <c r="C30" s="24">
        <f>IF(C19=0,0,(C21*C12)/C19)</f>
        <v>2510526.3157894742</v>
      </c>
      <c r="D30" s="2" t="str">
        <f>IF($D$2="English","lbf/in","mN/m")</f>
        <v>lbf/in</v>
      </c>
      <c r="Q30" s="44">
        <v>100</v>
      </c>
      <c r="R30" s="30">
        <v>6</v>
      </c>
      <c r="S30" s="30">
        <v>6990</v>
      </c>
      <c r="T30" s="31">
        <v>6740</v>
      </c>
      <c r="V30" s="29">
        <v>100</v>
      </c>
      <c r="W30" s="30">
        <v>2</v>
      </c>
      <c r="X30" s="30">
        <v>7560</v>
      </c>
      <c r="Y30" s="45">
        <v>7470</v>
      </c>
    </row>
    <row r="31" spans="2:37" ht="15" customHeight="1" thickBot="1" x14ac:dyDescent="0.3">
      <c r="B31" s="2"/>
      <c r="C31" s="19">
        <f>IF($D$2="English",C30*10^-6,C30*10^-9)</f>
        <v>2.5105263157894742</v>
      </c>
      <c r="D31" s="2" t="str">
        <f>IF($D$2="English","Mlbf/in","MN/m")</f>
        <v>Mlbf/in</v>
      </c>
      <c r="Q31" s="46">
        <v>110</v>
      </c>
      <c r="R31" s="47">
        <v>6</v>
      </c>
      <c r="S31" s="47" t="e">
        <f>NA()</f>
        <v>#N/A</v>
      </c>
      <c r="T31" s="47" t="e">
        <f>NA()</f>
        <v>#N/A</v>
      </c>
      <c r="U31" s="54"/>
      <c r="V31" s="49">
        <v>110</v>
      </c>
      <c r="W31" s="47">
        <v>2</v>
      </c>
      <c r="X31" s="47">
        <v>9180</v>
      </c>
      <c r="Y31" s="50">
        <v>9080</v>
      </c>
    </row>
    <row r="33" spans="2:4" ht="15" customHeight="1" x14ac:dyDescent="0.25">
      <c r="B33" s="2" t="s">
        <v>6</v>
      </c>
      <c r="C33" s="24">
        <f>SUM(IF(C27=0,0,C27^-1),IF(C30=0,0,C30^-1))^-1</f>
        <v>928174.22027109179</v>
      </c>
      <c r="D33" s="2" t="str">
        <f>IF($D$2="English","lbf/in","mN/m")</f>
        <v>lbf/in</v>
      </c>
    </row>
    <row r="34" spans="2:4" ht="15" customHeight="1" x14ac:dyDescent="0.25">
      <c r="B34" s="2"/>
      <c r="C34" s="28">
        <f>IF($D$2="English",C33*10^-6,C33*10^-9)</f>
        <v>0.92817422027109175</v>
      </c>
      <c r="D34" s="2" t="str">
        <f>IF($D$2="English","Mlbf/in","MN/m")</f>
        <v>Mlbf/in</v>
      </c>
    </row>
    <row r="150" spans="38:38" ht="15" customHeight="1" x14ac:dyDescent="0.25">
      <c r="AL150" s="6" t="s">
        <v>27</v>
      </c>
    </row>
  </sheetData>
  <mergeCells count="5">
    <mergeCell ref="Q4:T4"/>
    <mergeCell ref="V4:Y4"/>
    <mergeCell ref="AA4:AE4"/>
    <mergeCell ref="AG4:AK4"/>
    <mergeCell ref="D24:F25"/>
  </mergeCells>
  <conditionalFormatting sqref="C16:D16">
    <cfRule type="expression" dxfId="45" priority="6">
      <formula>$C$16&lt;&gt;$J$12</formula>
    </cfRule>
    <cfRule type="duplicateValues" dxfId="44" priority="7"/>
  </conditionalFormatting>
  <conditionalFormatting sqref="I6:N6">
    <cfRule type="expression" dxfId="43" priority="4">
      <formula>0=$J$6</formula>
    </cfRule>
  </conditionalFormatting>
  <conditionalFormatting sqref="I7:N7">
    <cfRule type="expression" dxfId="42" priority="5">
      <formula>0=$J$7</formula>
    </cfRule>
  </conditionalFormatting>
  <conditionalFormatting sqref="I8:N8">
    <cfRule type="expression" dxfId="41" priority="3">
      <formula>0=$J$8</formula>
    </cfRule>
  </conditionalFormatting>
  <conditionalFormatting sqref="I9:N9">
    <cfRule type="expression" dxfId="40" priority="2">
      <formula>0=$J$9</formula>
    </cfRule>
  </conditionalFormatting>
  <conditionalFormatting sqref="I10:N10">
    <cfRule type="expression" dxfId="39" priority="1">
      <formula>0=$J$10</formula>
    </cfRule>
  </conditionalFormatting>
  <conditionalFormatting sqref="J12:K13">
    <cfRule type="expression" dxfId="38" priority="8">
      <formula>$C$16&lt;&gt;$J$12</formula>
    </cfRule>
  </conditionalFormatting>
  <dataValidations count="2">
    <dataValidation type="list" allowBlank="1" showInputMessage="1" showErrorMessage="1" sqref="C14" xr:uid="{3B5DB288-F1E2-41C3-85BF-D75431A527D5}">
      <formula1>"UNC, UNF"</formula1>
    </dataValidation>
    <dataValidation type="list" allowBlank="1" showInputMessage="1" showErrorMessage="1" sqref="D2" xr:uid="{6418ABBD-0C9B-4D84-9DA4-A3E1575D51B0}">
      <formula1>"English, Metric"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B6AD-AD0B-4085-9A10-141D3587D5F2}">
  <sheetPr>
    <tabColor rgb="FF002060"/>
  </sheetPr>
  <dimension ref="B2:AO101"/>
  <sheetViews>
    <sheetView zoomScaleNormal="100" workbookViewId="0">
      <selection activeCell="K32" sqref="K32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1.28515625" style="6" bestFit="1" customWidth="1"/>
    <col min="4" max="4" width="9.140625" style="6" customWidth="1"/>
    <col min="5" max="5" width="17.710937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384" width="8.85546875" style="6"/>
  </cols>
  <sheetData>
    <row r="2" spans="2:14" ht="15" customHeight="1" x14ac:dyDescent="0.25">
      <c r="B2" s="3" t="s">
        <v>0</v>
      </c>
      <c r="C2" s="4" t="s">
        <v>18</v>
      </c>
      <c r="D2" s="5" t="s">
        <v>37</v>
      </c>
      <c r="I2" s="7" t="s">
        <v>1</v>
      </c>
      <c r="J2" s="2"/>
      <c r="K2" s="2"/>
      <c r="L2" s="2"/>
      <c r="M2" s="2"/>
      <c r="N2" s="2"/>
    </row>
    <row r="4" spans="2:14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</row>
    <row r="5" spans="2:14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[mm]</v>
      </c>
      <c r="K5" s="15" t="str">
        <f>_xlfn.CONCAT("D ", "[",D14,"]")</f>
        <v>D [mm]</v>
      </c>
      <c r="L5" s="15" t="str">
        <f>_xlfn.CONCAT("E ", "[",G6,"]")</f>
        <v>E [Pa]</v>
      </c>
      <c r="M5" s="15" t="str">
        <f>_xlfn.CONCAT("k ", "[",D31,"]")</f>
        <v>k [mN/m]</v>
      </c>
      <c r="N5" s="15" t="s">
        <v>21</v>
      </c>
    </row>
    <row r="6" spans="2:14" ht="15" customHeight="1" x14ac:dyDescent="0.25">
      <c r="B6" s="1" t="s">
        <v>29</v>
      </c>
      <c r="C6" s="1">
        <v>1.75</v>
      </c>
      <c r="D6" s="1" t="str">
        <f>IF($D$2="English","in",IF($D$2="Metric", "mm", "Unit Selection Error"))</f>
        <v>mm</v>
      </c>
      <c r="E6" s="13" t="s">
        <v>12</v>
      </c>
      <c r="F6" s="22">
        <f>207*10^9</f>
        <v>207000000000</v>
      </c>
      <c r="G6" s="1" t="str">
        <f>IF($D$2="English","psi",IF($D$2="Metric", "Pa", "Unit Selection Error"))</f>
        <v>Pa</v>
      </c>
      <c r="I6" s="16">
        <v>1</v>
      </c>
      <c r="J6" s="2">
        <f>C6</f>
        <v>1.75</v>
      </c>
      <c r="K6" s="2">
        <f>1.5*C14</f>
        <v>9</v>
      </c>
      <c r="L6" s="23">
        <f>F6</f>
        <v>207000000000</v>
      </c>
      <c r="M6" s="23">
        <f>IF(J6=0,0,(PI()*L6*$C$14*TAN(RADIANS($C$5)))/LN(((2*J6*TAN(RADIANS($C$5))+K6-$C$14)*(K6+$C$14))/((2*J6*TAN(RADIANS($C$5))+K6+$C$14)*(K6-$C$14))))</f>
        <v>5797351689616.5986</v>
      </c>
      <c r="N6" s="23">
        <f>IF(M6=0,0,M6^-1)</f>
        <v>1.7249255410725892E-13</v>
      </c>
    </row>
    <row r="7" spans="2:14" ht="15" customHeight="1" x14ac:dyDescent="0.25">
      <c r="B7" s="1" t="s">
        <v>30</v>
      </c>
      <c r="C7" s="1">
        <v>10</v>
      </c>
      <c r="D7" s="1" t="str">
        <f>IF($D$2="English","in",IF($D$2="Metric", "mm", "Unit Selection Error"))</f>
        <v>mm</v>
      </c>
      <c r="E7" s="13" t="s">
        <v>13</v>
      </c>
      <c r="F7" s="22">
        <f>207*10^9</f>
        <v>207000000000</v>
      </c>
      <c r="G7" s="1" t="str">
        <f>IF($D$2="English","psi",IF($D$2="Metric", "Pa", "Unit Selection Error"))</f>
        <v>Pa</v>
      </c>
      <c r="I7" s="16">
        <v>2</v>
      </c>
      <c r="J7" s="2">
        <f>IF(C6+C7&lt;J14,C7,J14-C6)</f>
        <v>5.625</v>
      </c>
      <c r="K7" s="18">
        <f>K6+2*J6*TAN(RADIANS($C$5))</f>
        <v>11.02072594216369</v>
      </c>
      <c r="L7" s="23">
        <f>F7</f>
        <v>207000000000</v>
      </c>
      <c r="M7" s="23">
        <f>IF(J7=0,0,(PI()*L7*$C$14*TAN(RADIANS($C$5)))/LN(((2*J7*TAN(RADIANS($C$5))+K7-$C$14)*(K7+$C$14))/((2*J7*TAN(RADIANS($C$5))+K7+$C$14)*(K7-$C$14))))</f>
        <v>4444061822516.9434</v>
      </c>
      <c r="N7" s="23">
        <f t="shared" ref="N7:N10" si="0">IF(M7=0,0,M7^-1)</f>
        <v>2.2501937190280557E-13</v>
      </c>
    </row>
    <row r="8" spans="2:14" ht="15" customHeight="1" x14ac:dyDescent="0.25">
      <c r="B8" s="1" t="s">
        <v>31</v>
      </c>
      <c r="C8" s="1">
        <v>25</v>
      </c>
      <c r="D8" s="1" t="str">
        <f>IF($D$2="English","in",IF($D$2="Metric", "mm", "Unit Selection Error"))</f>
        <v>mm</v>
      </c>
      <c r="E8" s="13" t="s">
        <v>15</v>
      </c>
      <c r="F8" s="22">
        <f>100*10^9</f>
        <v>100000000000</v>
      </c>
      <c r="G8" s="1" t="str">
        <f>IF($D$2="English","psi",IF($D$2="Metric", "Pa", "Unit Selection Error"))</f>
        <v>Pa</v>
      </c>
      <c r="I8" s="16">
        <v>3</v>
      </c>
      <c r="J8" s="2">
        <f>IF(C6+C7&lt;J14,J14-C7-C6,C6+C7-J14)</f>
        <v>4.375</v>
      </c>
      <c r="K8" s="18">
        <f>IF(J6+J7&lt;J14,K7+2*J7*TAN(RADIANS($C$5)),K7+2*J7*TAN(RADIANS($C$5))-2*J8*TAN(RADIANS($C$5)))</f>
        <v>12.464101615137753</v>
      </c>
      <c r="L8" s="23">
        <f>IF(J6+J7&lt;J14,F8,F7)</f>
        <v>207000000000</v>
      </c>
      <c r="M8" s="23">
        <f>IF(J8=0,0,(PI()*L8*$C$14*TAN(RADIANS($C$5)))/LN(((2*J8*TAN(RADIANS($C$5))+K8-$C$14)*(K8+$C$14))/((2*J8*TAN(RADIANS($C$5))+K8+$C$14)*(K8-$C$14))))</f>
        <v>6712231270013.668</v>
      </c>
      <c r="N8" s="23">
        <f t="shared" si="0"/>
        <v>1.4898175580859622E-13</v>
      </c>
    </row>
    <row r="9" spans="2:14" ht="15" customHeight="1" x14ac:dyDescent="0.25">
      <c r="B9" s="1" t="s">
        <v>28</v>
      </c>
      <c r="C9" s="1">
        <v>0</v>
      </c>
      <c r="D9" s="1" t="str">
        <f>IF($D$2="English","in",IF($D$2="Metric", "mm", "Unit Selection Error"))</f>
        <v>mm</v>
      </c>
      <c r="E9" s="13" t="s">
        <v>14</v>
      </c>
      <c r="F9" s="22">
        <f>30*10^6</f>
        <v>30000000</v>
      </c>
      <c r="G9" s="1" t="str">
        <f>IF($D$2="English","psi",IF($D$2="Metric", "Pa", "Unit Selection Error"))</f>
        <v>Pa</v>
      </c>
      <c r="I9" s="16">
        <v>4</v>
      </c>
      <c r="J9" s="2">
        <f>C15-SUM(J6:J8)-J10</f>
        <v>3</v>
      </c>
      <c r="K9" s="18">
        <f>K10+2*J10*TAN(RADIANS($C$5))</f>
        <v>9</v>
      </c>
      <c r="L9" s="23">
        <f>F8</f>
        <v>100000000000</v>
      </c>
      <c r="M9" s="23">
        <f>IF(J9=0,0,(PI()*L9*$C$14*TAN(RADIANS($C$5)))/LN(((2*J9*TAN(RADIANS($C$5))+K9-$C$14)*(K9+$C$14))/((2*J9*TAN(RADIANS($C$5))+K9+$C$14)*(K9-$C$14))))</f>
        <v>1943795343028.1743</v>
      </c>
      <c r="N9" s="23">
        <f t="shared" si="0"/>
        <v>5.1445745231703928E-13</v>
      </c>
    </row>
    <row r="10" spans="2:14" ht="15" customHeight="1" x14ac:dyDescent="0.25">
      <c r="I10" s="16">
        <v>5</v>
      </c>
      <c r="J10" s="2">
        <f>C9</f>
        <v>0</v>
      </c>
      <c r="K10" s="2">
        <f>1.5*C14</f>
        <v>9</v>
      </c>
      <c r="L10" s="23">
        <f>F9</f>
        <v>30000000</v>
      </c>
      <c r="M10" s="23">
        <f>IF(J10=0,0,(PI()*L10*$C$14*TAN(RADIANS($C$5)))/LN(((2*J10*TAN(RADIANS($C$5))+K10-$C$14)*(K10+$C$14))/((2*J10*TAN(RADIANS($C$5))+K10+$C$14)*(K10-$C$14))))</f>
        <v>0</v>
      </c>
      <c r="N10" s="23">
        <f t="shared" si="0"/>
        <v>0</v>
      </c>
    </row>
    <row r="11" spans="2:14" ht="15" customHeight="1" x14ac:dyDescent="0.25">
      <c r="B11" s="8" t="s">
        <v>16</v>
      </c>
      <c r="C11" s="9"/>
      <c r="D11" s="9"/>
    </row>
    <row r="12" spans="2:14" ht="15" customHeight="1" x14ac:dyDescent="0.25">
      <c r="B12" s="1" t="s">
        <v>3</v>
      </c>
      <c r="C12" s="22">
        <f>207*10^9</f>
        <v>207000000000</v>
      </c>
      <c r="D12" s="1" t="str">
        <f>IF($D$2="English","psi",IF($D$2="Metric", "Pa", "Unit Selection Error"))</f>
        <v>Pa</v>
      </c>
      <c r="I12" s="25" t="s">
        <v>34</v>
      </c>
      <c r="J12" s="25">
        <f>SUM(J6:J10)</f>
        <v>14.75</v>
      </c>
      <c r="K12" s="25" t="str">
        <f>IF($D$2="English","in",IF($D$2="Metric", "mm", "Unit Selection Error"))</f>
        <v>mm</v>
      </c>
    </row>
    <row r="13" spans="2:14" ht="15" customHeight="1" x14ac:dyDescent="0.25">
      <c r="B13" s="1" t="s">
        <v>5</v>
      </c>
      <c r="C13" s="1">
        <v>36</v>
      </c>
      <c r="D13" s="1" t="str">
        <f t="shared" ref="D13:D18" si="1">IF($D$2="English","in",IF($D$2="Metric", "mm", "Unit Selection Error"))</f>
        <v>mm</v>
      </c>
      <c r="I13" s="25" t="s">
        <v>23</v>
      </c>
      <c r="J13" s="25">
        <f>C15</f>
        <v>14.75</v>
      </c>
      <c r="K13" s="25" t="str">
        <f>IF($D$2="English","in",IF($D$2="Metric", "mm", "Unit Selection Error"))</f>
        <v>mm</v>
      </c>
    </row>
    <row r="14" spans="2:14" ht="15" customHeight="1" x14ac:dyDescent="0.25">
      <c r="B14" s="1" t="s">
        <v>4</v>
      </c>
      <c r="C14" s="17">
        <v>6</v>
      </c>
      <c r="D14" s="1" t="str">
        <f t="shared" si="1"/>
        <v>mm</v>
      </c>
      <c r="I14" s="25" t="s">
        <v>24</v>
      </c>
      <c r="J14" s="25">
        <f>C15/2</f>
        <v>7.375</v>
      </c>
      <c r="K14" s="25" t="str">
        <f>IF($D$2="English","in",IF($D$2="Metric", "mm", "Unit Selection Error"))</f>
        <v>mm</v>
      </c>
    </row>
    <row r="15" spans="2:14" ht="15" customHeight="1" x14ac:dyDescent="0.25">
      <c r="B15" s="2" t="s">
        <v>23</v>
      </c>
      <c r="C15" s="2">
        <f>IF(C23,SUM(C6:C8)+C9,IF(C14&lt;=C8, C6+C7+(C14/2), C6+C7+(C8/2)))</f>
        <v>14.75</v>
      </c>
      <c r="D15" s="2" t="str">
        <f t="shared" si="1"/>
        <v>mm</v>
      </c>
    </row>
    <row r="16" spans="2:14" ht="15" customHeight="1" x14ac:dyDescent="0.25">
      <c r="B16" s="2" t="s">
        <v>22</v>
      </c>
      <c r="C16" s="2">
        <f>IF(F16,C13,IF($D$2="English",IF(C13&lt;=6, 2*C14+0.25, 2*C14+0.5),IF($D$2="Metric",IF(AND(C13&lt;=125,C14&lt;=48),2*C14+6,IF(C13&lt;=200,2*C14+12,2*C14+25)), "Unit Selection Error")))</f>
        <v>36</v>
      </c>
      <c r="D16" s="2" t="str">
        <f t="shared" si="1"/>
        <v>mm</v>
      </c>
      <c r="E16" s="1" t="s">
        <v>38</v>
      </c>
      <c r="F16" s="20" t="b">
        <v>1</v>
      </c>
      <c r="I16" s="2" t="s">
        <v>35</v>
      </c>
      <c r="J16" s="24">
        <f>SUM(N6:N10)^-1</f>
        <v>942550479306.14307</v>
      </c>
      <c r="K16" s="2" t="str">
        <f>IF($D$2="English","lb/in",IF($D$2="Metric", "mN/m", "Unit Selection Error"))</f>
        <v>mN/m</v>
      </c>
    </row>
    <row r="17" spans="2:11" ht="15" customHeight="1" x14ac:dyDescent="0.25">
      <c r="B17" s="2" t="s">
        <v>25</v>
      </c>
      <c r="C17" s="2">
        <f>C13-C16</f>
        <v>0</v>
      </c>
      <c r="D17" s="2" t="str">
        <f t="shared" si="1"/>
        <v>mm</v>
      </c>
      <c r="I17" s="2"/>
      <c r="J17" s="19">
        <f>IF($D$2="English",J16*10^-6,IF($D$2="Metric",J16*10^-9, "Unit Selection Error"))</f>
        <v>942.55047930614307</v>
      </c>
      <c r="K17" s="2" t="str">
        <f>IF($D$2="English","Mlb/in",IF($D$2="Metric", "MN/m", "Unit Selection Error"))</f>
        <v>MN/m</v>
      </c>
    </row>
    <row r="18" spans="2:11" ht="15" customHeight="1" x14ac:dyDescent="0.25">
      <c r="B18" s="2" t="s">
        <v>26</v>
      </c>
      <c r="C18" s="2">
        <f>C15-C17</f>
        <v>14.75</v>
      </c>
      <c r="D18" s="2" t="str">
        <f t="shared" si="1"/>
        <v>mm</v>
      </c>
    </row>
    <row r="19" spans="2:11" ht="15" customHeight="1" x14ac:dyDescent="0.25">
      <c r="B19" s="2" t="s">
        <v>7</v>
      </c>
      <c r="C19" s="18">
        <f>(PI()*(C14^2))/4</f>
        <v>28.274333882308138</v>
      </c>
      <c r="D19" s="2" t="str">
        <f>IF($D$2="English","in^2",IF($D$2="Metric", "mm^2", "Unit Selection Error"))</f>
        <v>mm^2</v>
      </c>
    </row>
    <row r="20" spans="2:11" ht="15" customHeight="1" x14ac:dyDescent="0.25">
      <c r="B20" s="1" t="s">
        <v>8</v>
      </c>
      <c r="C20" s="1">
        <v>20.100000000000001</v>
      </c>
      <c r="D20" s="1" t="str">
        <f>IF($D$2="English","in^2",IF($D$2="Metric", "mm^2", "Unit Selection Error"))</f>
        <v>mm^2</v>
      </c>
    </row>
    <row r="22" spans="2:11" ht="15" customHeight="1" x14ac:dyDescent="0.25">
      <c r="B22" s="1" t="s">
        <v>9</v>
      </c>
      <c r="C22" s="20" t="b">
        <v>1</v>
      </c>
      <c r="D22" s="26" t="s">
        <v>36</v>
      </c>
      <c r="E22" s="27"/>
      <c r="F22" s="27"/>
      <c r="G22" s="27"/>
      <c r="H22" s="27"/>
      <c r="I22" s="27"/>
    </row>
    <row r="23" spans="2:11" ht="15" customHeight="1" x14ac:dyDescent="0.25">
      <c r="B23" s="1" t="s">
        <v>10</v>
      </c>
      <c r="C23" s="21" t="b">
        <f>NOT(C22)</f>
        <v>0</v>
      </c>
    </row>
    <row r="25" spans="2:11" ht="15" customHeight="1" x14ac:dyDescent="0.25">
      <c r="B25" s="2" t="s">
        <v>39</v>
      </c>
      <c r="C25" s="24">
        <f>IF(C17=0,0,(C19*C12)/C17)</f>
        <v>0</v>
      </c>
      <c r="D25" s="2" t="str">
        <f>IF($D$2="English","lb/in",IF($D$2="Metric", "mN/m", "Unit Selection Error"))</f>
        <v>mN/m</v>
      </c>
    </row>
    <row r="26" spans="2:11" ht="15" customHeight="1" x14ac:dyDescent="0.25">
      <c r="B26" s="2"/>
      <c r="C26" s="19">
        <f>IF($D$2="English",C25*10^-6,IF($D$2="Metric",C25*10^-9, "Unit Selection Error"))</f>
        <v>0</v>
      </c>
      <c r="D26" s="2" t="str">
        <f>IF($D$2="English","Mlb/in",IF($D$2="Metric", "MN/m", "Unit Selection Error"))</f>
        <v>MN/m</v>
      </c>
    </row>
    <row r="28" spans="2:11" ht="15" customHeight="1" x14ac:dyDescent="0.25">
      <c r="B28" s="2" t="s">
        <v>40</v>
      </c>
      <c r="C28" s="24">
        <f>IF(C18=0,0,(C20*C12)/C18)</f>
        <v>282081355932.20343</v>
      </c>
      <c r="D28" s="2" t="str">
        <f>IF($D$2="English","lb/in",IF($D$2="Metric", "mN/m", "Unit Selection Error"))</f>
        <v>mN/m</v>
      </c>
    </row>
    <row r="29" spans="2:11" ht="15" customHeight="1" x14ac:dyDescent="0.25">
      <c r="B29" s="2"/>
      <c r="C29" s="19">
        <f>IF($D$2="English",C28*10^-6,IF($D$2="Metric",C28*10^-9, "Unit Selection Error"))</f>
        <v>282.08135593220345</v>
      </c>
      <c r="D29" s="2" t="str">
        <f>IF($D$2="English","Mlb/in",IF($D$2="Metric", "MN/m", "Unit Selection Error"))</f>
        <v>MN/m</v>
      </c>
    </row>
    <row r="31" spans="2:11" ht="15" customHeight="1" x14ac:dyDescent="0.25">
      <c r="B31" s="2" t="s">
        <v>6</v>
      </c>
      <c r="C31" s="24">
        <f>SUM(IF(C25=0,0,C25^-1),IF(C28=0,0,C28^-1))^-1</f>
        <v>282081355932.20343</v>
      </c>
      <c r="D31" s="2" t="str">
        <f>IF($D$2="English","lb/in",IF($D$2="Metric", "mN/m", "Unit Selection Error"))</f>
        <v>mN/m</v>
      </c>
    </row>
    <row r="32" spans="2:11" ht="15" customHeight="1" x14ac:dyDescent="0.25">
      <c r="B32" s="2"/>
      <c r="C32" s="19">
        <f>IF($D$2="English",C31*10^-6,IF($D$2="Metric",C31*10^-9, "Unit Selection Error"))</f>
        <v>282.08135593220345</v>
      </c>
      <c r="D32" s="2" t="str">
        <f>IF($D$2="English","Mlb/in",IF($D$2="Metric", "MN/m", "Unit Selection Error"))</f>
        <v>MN/m</v>
      </c>
    </row>
    <row r="101" spans="41:41" ht="15" customHeight="1" x14ac:dyDescent="0.25">
      <c r="AO101" s="6" t="s">
        <v>27</v>
      </c>
    </row>
  </sheetData>
  <conditionalFormatting sqref="C15:D15">
    <cfRule type="duplicateValues" dxfId="37" priority="7"/>
  </conditionalFormatting>
  <conditionalFormatting sqref="I6:N6">
    <cfRule type="expression" dxfId="36" priority="4">
      <formula>0=$J$6</formula>
    </cfRule>
  </conditionalFormatting>
  <conditionalFormatting sqref="I7:N7">
    <cfRule type="expression" dxfId="35" priority="5">
      <formula>0=$J$7</formula>
    </cfRule>
  </conditionalFormatting>
  <conditionalFormatting sqref="I8:N8">
    <cfRule type="expression" dxfId="34" priority="3">
      <formula>0=$J$8</formula>
    </cfRule>
  </conditionalFormatting>
  <conditionalFormatting sqref="I9:N9">
    <cfRule type="expression" dxfId="33" priority="2">
      <formula>0=$J$9</formula>
    </cfRule>
  </conditionalFormatting>
  <conditionalFormatting sqref="I10:N10">
    <cfRule type="expression" dxfId="32" priority="1">
      <formula>0=$J$10</formula>
    </cfRule>
  </conditionalFormatting>
  <conditionalFormatting sqref="J12:K12 C15:D15">
    <cfRule type="expression" dxfId="31" priority="6">
      <formula>$C$15&lt;&gt;$J$12</formula>
    </cfRule>
  </conditionalFormatting>
  <dataValidations count="1">
    <dataValidation type="list" allowBlank="1" showInputMessage="1" showErrorMessage="1" sqref="D2" xr:uid="{CEAF783B-3EB8-41DC-A35C-35C5343328EC}">
      <formula1>"English, Metric"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8EEF-3C78-44E2-9B9C-7C99F055CD3A}">
  <sheetPr>
    <tabColor rgb="FF002060"/>
  </sheetPr>
  <dimension ref="B2:AO101"/>
  <sheetViews>
    <sheetView zoomScaleNormal="100" workbookViewId="0">
      <selection activeCell="K32" sqref="K32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1.28515625" style="6" bestFit="1" customWidth="1"/>
    <col min="4" max="4" width="9.140625" style="6" customWidth="1"/>
    <col min="5" max="5" width="17.710937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384" width="8.85546875" style="6"/>
  </cols>
  <sheetData>
    <row r="2" spans="2:14" ht="15" customHeight="1" x14ac:dyDescent="0.25">
      <c r="B2" s="3" t="s">
        <v>0</v>
      </c>
      <c r="C2" s="4" t="s">
        <v>18</v>
      </c>
      <c r="D2" s="5" t="s">
        <v>37</v>
      </c>
      <c r="I2" s="7" t="s">
        <v>1</v>
      </c>
      <c r="J2" s="2"/>
      <c r="K2" s="2"/>
      <c r="L2" s="2"/>
      <c r="M2" s="2"/>
      <c r="N2" s="2"/>
    </row>
    <row r="4" spans="2:14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</row>
    <row r="5" spans="2:14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[mm]</v>
      </c>
      <c r="K5" s="15" t="str">
        <f>_xlfn.CONCAT("D ", "[",D14,"]")</f>
        <v>D [mm]</v>
      </c>
      <c r="L5" s="15" t="str">
        <f>_xlfn.CONCAT("E ", "[",G6,"]")</f>
        <v>E [Pa]</v>
      </c>
      <c r="M5" s="15" t="str">
        <f>_xlfn.CONCAT("k ", "[",D31,"]")</f>
        <v>k [mN/m]</v>
      </c>
      <c r="N5" s="15" t="s">
        <v>21</v>
      </c>
    </row>
    <row r="6" spans="2:14" ht="15" customHeight="1" x14ac:dyDescent="0.25">
      <c r="B6" s="1" t="s">
        <v>29</v>
      </c>
      <c r="C6" s="1">
        <v>1.75</v>
      </c>
      <c r="D6" s="1" t="str">
        <f>IF($D$2="English","in",IF($D$2="Metric", "mm", "Unit Selection Error"))</f>
        <v>mm</v>
      </c>
      <c r="E6" s="13" t="s">
        <v>12</v>
      </c>
      <c r="F6" s="22">
        <f>207*10^9</f>
        <v>207000000000</v>
      </c>
      <c r="G6" s="1" t="str">
        <f>IF($D$2="English","psi",IF($D$2="Metric", "Pa", "Unit Selection Error"))</f>
        <v>Pa</v>
      </c>
      <c r="I6" s="16">
        <v>1</v>
      </c>
      <c r="J6" s="2">
        <f>C6</f>
        <v>1.75</v>
      </c>
      <c r="K6" s="2">
        <f>1.5*C14</f>
        <v>9</v>
      </c>
      <c r="L6" s="23">
        <f>F6</f>
        <v>207000000000</v>
      </c>
      <c r="M6" s="23">
        <f>IF(J6=0,0,(PI()*L6*$C$14*TAN(RADIANS($C$5)))/LN(((2*J6*TAN(RADIANS($C$5))+K6-$C$14)*(K6+$C$14))/((2*J6*TAN(RADIANS($C$5))+K6+$C$14)*(K6-$C$14))))</f>
        <v>5797351689616.5986</v>
      </c>
      <c r="N6" s="23">
        <f>IF(M6=0,0,M6^-1)</f>
        <v>1.7249255410725892E-13</v>
      </c>
    </row>
    <row r="7" spans="2:14" ht="15" customHeight="1" x14ac:dyDescent="0.25">
      <c r="B7" s="1" t="s">
        <v>30</v>
      </c>
      <c r="C7" s="1">
        <v>10</v>
      </c>
      <c r="D7" s="1" t="str">
        <f>IF($D$2="English","in",IF($D$2="Metric", "mm", "Unit Selection Error"))</f>
        <v>mm</v>
      </c>
      <c r="E7" s="13" t="s">
        <v>13</v>
      </c>
      <c r="F7" s="22">
        <f>207*10^9</f>
        <v>207000000000</v>
      </c>
      <c r="G7" s="1" t="str">
        <f>IF($D$2="English","psi",IF($D$2="Metric", "Pa", "Unit Selection Error"))</f>
        <v>Pa</v>
      </c>
      <c r="I7" s="16">
        <v>2</v>
      </c>
      <c r="J7" s="2">
        <f>IF(C6+C7&lt;J14,C7,J14-C6)</f>
        <v>10</v>
      </c>
      <c r="K7" s="18">
        <f>K6+2*J6*TAN(RADIANS($C$5))</f>
        <v>11.02072594216369</v>
      </c>
      <c r="L7" s="23">
        <f>F7</f>
        <v>207000000000</v>
      </c>
      <c r="M7" s="23">
        <f>IF(J7=0,0,(PI()*L7*$C$14*TAN(RADIANS($C$5)))/LN(((2*J7*TAN(RADIANS($C$5))+K7-$C$14)*(K7+$C$14))/((2*J7*TAN(RADIANS($C$5))+K7+$C$14)*(K7-$C$14))))</f>
        <v>3332274710900.0142</v>
      </c>
      <c r="N7" s="23">
        <f t="shared" ref="N7:N10" si="0">IF(M7=0,0,M7^-1)</f>
        <v>3.0009530628701075E-13</v>
      </c>
    </row>
    <row r="8" spans="2:14" ht="15" customHeight="1" x14ac:dyDescent="0.25">
      <c r="B8" s="1" t="s">
        <v>31</v>
      </c>
      <c r="C8" s="1">
        <v>25</v>
      </c>
      <c r="D8" s="1" t="str">
        <f>IF($D$2="English","in",IF($D$2="Metric", "mm", "Unit Selection Error"))</f>
        <v>mm</v>
      </c>
      <c r="E8" s="13" t="s">
        <v>15</v>
      </c>
      <c r="F8" s="22">
        <f>100*10^9</f>
        <v>100000000000</v>
      </c>
      <c r="G8" s="1" t="str">
        <f>IF($D$2="English","psi",IF($D$2="Metric", "Pa", "Unit Selection Error"))</f>
        <v>Pa</v>
      </c>
      <c r="I8" s="16">
        <v>3</v>
      </c>
      <c r="J8" s="2">
        <f>IF(C6+C7&lt;J14,J14-C7-C6,C6+C7-J14)</f>
        <v>7.5</v>
      </c>
      <c r="K8" s="18">
        <f>IF(J6+J7&lt;J14,K7+2*J7*TAN(RADIANS($C$5)),K7+2*J7*TAN(RADIANS($C$5))-2*J8*TAN(RADIANS($C$5)))</f>
        <v>22.567731325956203</v>
      </c>
      <c r="L8" s="23">
        <f>IF(J6+J7&lt;J14,F8,F7)</f>
        <v>100000000000</v>
      </c>
      <c r="M8" s="23">
        <f>IF(J8=0,0,(PI()*L8*$C$14*TAN(RADIANS($C$5)))/LN(((2*J8*TAN(RADIANS($C$5))+K8-$C$14)*(K8+$C$14))/((2*J8*TAN(RADIANS($C$5))+K8+$C$14)*(K8-$C$14))))</f>
        <v>6988962999740.4961</v>
      </c>
      <c r="N8" s="23">
        <f t="shared" si="0"/>
        <v>1.4308274346811258E-13</v>
      </c>
    </row>
    <row r="9" spans="2:14" ht="15" customHeight="1" x14ac:dyDescent="0.25">
      <c r="B9" s="1" t="s">
        <v>28</v>
      </c>
      <c r="C9" s="1">
        <v>1.75</v>
      </c>
      <c r="D9" s="1" t="str">
        <f>IF($D$2="English","in",IF($D$2="Metric", "mm", "Unit Selection Error"))</f>
        <v>mm</v>
      </c>
      <c r="E9" s="13" t="s">
        <v>14</v>
      </c>
      <c r="F9" s="22">
        <f>207*10^9</f>
        <v>207000000000</v>
      </c>
      <c r="G9" s="1" t="str">
        <f>IF($D$2="English","psi",IF($D$2="Metric", "Pa", "Unit Selection Error"))</f>
        <v>Pa</v>
      </c>
      <c r="I9" s="16">
        <v>4</v>
      </c>
      <c r="J9" s="2">
        <f>C15-SUM(J6:J8)-J10</f>
        <v>17.5</v>
      </c>
      <c r="K9" s="18">
        <f>K10+2*J10*TAN(RADIANS($C$5))</f>
        <v>11.02072594216369</v>
      </c>
      <c r="L9" s="23">
        <f>F8</f>
        <v>100000000000</v>
      </c>
      <c r="M9" s="23">
        <f>IF(J9=0,0,(PI()*L9*$C$14*TAN(RADIANS($C$5)))/LN(((2*J9*TAN(RADIANS($C$5))+K9-$C$14)*(K9+$C$14))/((2*J9*TAN(RADIANS($C$5))+K9+$C$14)*(K9-$C$14))))</f>
        <v>1308420950491.5488</v>
      </c>
      <c r="N9" s="23">
        <f t="shared" si="0"/>
        <v>7.6428002748222509E-13</v>
      </c>
    </row>
    <row r="10" spans="2:14" ht="15" customHeight="1" x14ac:dyDescent="0.25">
      <c r="I10" s="16">
        <v>5</v>
      </c>
      <c r="J10" s="2">
        <f>C9</f>
        <v>1.75</v>
      </c>
      <c r="K10" s="2">
        <f>1.5*C14</f>
        <v>9</v>
      </c>
      <c r="L10" s="23">
        <f>F9</f>
        <v>207000000000</v>
      </c>
      <c r="M10" s="23">
        <f>IF(J10=0,0,(PI()*L10*$C$14*TAN(RADIANS($C$5)))/LN(((2*J10*TAN(RADIANS($C$5))+K10-$C$14)*(K10+$C$14))/((2*J10*TAN(RADIANS($C$5))+K10+$C$14)*(K10-$C$14))))</f>
        <v>5797351689616.5986</v>
      </c>
      <c r="N10" s="23">
        <f t="shared" si="0"/>
        <v>1.7249255410725892E-13</v>
      </c>
    </row>
    <row r="11" spans="2:14" ht="15" customHeight="1" x14ac:dyDescent="0.25">
      <c r="B11" s="8" t="s">
        <v>16</v>
      </c>
      <c r="C11" s="9"/>
      <c r="D11" s="9"/>
    </row>
    <row r="12" spans="2:14" ht="15" customHeight="1" x14ac:dyDescent="0.25">
      <c r="B12" s="1" t="s">
        <v>3</v>
      </c>
      <c r="C12" s="22">
        <f>207*10^9</f>
        <v>207000000000</v>
      </c>
      <c r="D12" s="1" t="str">
        <f>IF($D$2="English","psi",IF($D$2="Metric", "Pa", "Unit Selection Error"))</f>
        <v>Pa</v>
      </c>
      <c r="I12" s="25" t="s">
        <v>34</v>
      </c>
      <c r="J12" s="25">
        <f>SUM(J6:J10)</f>
        <v>38.5</v>
      </c>
      <c r="K12" s="25" t="str">
        <f>IF($D$2="English","in",IF($D$2="Metric", "mm", "Unit Selection Error"))</f>
        <v>mm</v>
      </c>
    </row>
    <row r="13" spans="2:14" ht="15" customHeight="1" x14ac:dyDescent="0.25">
      <c r="B13" s="1" t="s">
        <v>5</v>
      </c>
      <c r="C13" s="1">
        <v>44</v>
      </c>
      <c r="D13" s="1" t="str">
        <f t="shared" ref="D13:D18" si="1">IF($D$2="English","in",IF($D$2="Metric", "mm", "Unit Selection Error"))</f>
        <v>mm</v>
      </c>
      <c r="I13" s="25" t="s">
        <v>23</v>
      </c>
      <c r="J13" s="25">
        <f>C15</f>
        <v>38.5</v>
      </c>
      <c r="K13" s="25" t="str">
        <f>IF($D$2="English","in",IF($D$2="Metric", "mm", "Unit Selection Error"))</f>
        <v>mm</v>
      </c>
    </row>
    <row r="14" spans="2:14" ht="15" customHeight="1" x14ac:dyDescent="0.25">
      <c r="B14" s="1" t="s">
        <v>4</v>
      </c>
      <c r="C14" s="17">
        <v>6</v>
      </c>
      <c r="D14" s="1" t="str">
        <f t="shared" si="1"/>
        <v>mm</v>
      </c>
      <c r="I14" s="25" t="s">
        <v>24</v>
      </c>
      <c r="J14" s="25">
        <f>C15/2</f>
        <v>19.25</v>
      </c>
      <c r="K14" s="25" t="str">
        <f>IF($D$2="English","in",IF($D$2="Metric", "mm", "Unit Selection Error"))</f>
        <v>mm</v>
      </c>
    </row>
    <row r="15" spans="2:14" ht="15" customHeight="1" x14ac:dyDescent="0.25">
      <c r="B15" s="2" t="s">
        <v>23</v>
      </c>
      <c r="C15" s="2">
        <f>IF(C23,SUM(C6:C8)+C9,IF(C14&lt;=C8, C6+C7+(C14/2), C6+C7+(C8/2)))</f>
        <v>38.5</v>
      </c>
      <c r="D15" s="2" t="str">
        <f t="shared" si="1"/>
        <v>mm</v>
      </c>
    </row>
    <row r="16" spans="2:14" ht="15" customHeight="1" x14ac:dyDescent="0.25">
      <c r="B16" s="2" t="s">
        <v>22</v>
      </c>
      <c r="C16" s="2">
        <f>IF(F16,C13,IF($D$2="English",IF(C13&lt;=6, 2*C14+0.25, 2*C14+0.5),IF($D$2="Metric",IF(AND(C13&lt;=125,C14&lt;=48),2*C14+6,IF(C13&lt;=200,2*C14+12,2*C14+25)), "Unit Selection Error")))</f>
        <v>18</v>
      </c>
      <c r="D16" s="2" t="str">
        <f t="shared" si="1"/>
        <v>mm</v>
      </c>
      <c r="E16" s="1" t="s">
        <v>38</v>
      </c>
      <c r="F16" s="20" t="b">
        <v>0</v>
      </c>
      <c r="I16" s="2" t="s">
        <v>35</v>
      </c>
      <c r="J16" s="24">
        <f>SUM(N6:N10)^-1</f>
        <v>644145956110.42102</v>
      </c>
      <c r="K16" s="2" t="str">
        <f>IF($D$2="English","lb/in",IF($D$2="Metric", "mN/m", "Unit Selection Error"))</f>
        <v>mN/m</v>
      </c>
    </row>
    <row r="17" spans="2:11" ht="15" customHeight="1" x14ac:dyDescent="0.25">
      <c r="B17" s="2" t="s">
        <v>25</v>
      </c>
      <c r="C17" s="2">
        <f>C13-C16</f>
        <v>26</v>
      </c>
      <c r="D17" s="2" t="str">
        <f t="shared" si="1"/>
        <v>mm</v>
      </c>
      <c r="I17" s="2"/>
      <c r="J17" s="19">
        <f>IF($D$2="English",J16*10^-6,IF($D$2="Metric",J16*10^-9, "Unit Selection Error"))</f>
        <v>644.14595611042103</v>
      </c>
      <c r="K17" s="2" t="str">
        <f>IF($D$2="English","Mlb/in",IF($D$2="Metric", "MN/m", "Unit Selection Error"))</f>
        <v>MN/m</v>
      </c>
    </row>
    <row r="18" spans="2:11" ht="15" customHeight="1" x14ac:dyDescent="0.25">
      <c r="B18" s="2" t="s">
        <v>26</v>
      </c>
      <c r="C18" s="2">
        <f>C15-C17</f>
        <v>12.5</v>
      </c>
      <c r="D18" s="2" t="str">
        <f t="shared" si="1"/>
        <v>mm</v>
      </c>
    </row>
    <row r="19" spans="2:11" ht="15" customHeight="1" x14ac:dyDescent="0.25">
      <c r="B19" s="2" t="s">
        <v>7</v>
      </c>
      <c r="C19" s="18">
        <f>(PI()*(C14^2))/4</f>
        <v>28.274333882308138</v>
      </c>
      <c r="D19" s="2" t="str">
        <f>IF($D$2="English","in^2",IF($D$2="Metric", "mm^2", "Unit Selection Error"))</f>
        <v>mm^2</v>
      </c>
      <c r="I19" s="2" t="s">
        <v>41</v>
      </c>
      <c r="J19" s="28">
        <f>C31/(C31+J16)</f>
        <v>0.17251144955574843</v>
      </c>
    </row>
    <row r="20" spans="2:11" ht="15" customHeight="1" x14ac:dyDescent="0.25">
      <c r="B20" s="1" t="s">
        <v>8</v>
      </c>
      <c r="C20" s="1">
        <v>20.100000000000001</v>
      </c>
      <c r="D20" s="1" t="str">
        <f>IF($D$2="English","in^2",IF($D$2="Metric", "mm^2", "Unit Selection Error"))</f>
        <v>mm^2</v>
      </c>
    </row>
    <row r="22" spans="2:11" ht="15" customHeight="1" x14ac:dyDescent="0.25">
      <c r="B22" s="1" t="s">
        <v>9</v>
      </c>
      <c r="C22" s="20" t="b">
        <v>0</v>
      </c>
      <c r="D22" s="26" t="s">
        <v>36</v>
      </c>
      <c r="E22" s="27"/>
      <c r="F22" s="27"/>
      <c r="G22" s="27"/>
      <c r="H22" s="27"/>
      <c r="I22" s="27"/>
    </row>
    <row r="23" spans="2:11" ht="15" customHeight="1" x14ac:dyDescent="0.25">
      <c r="B23" s="1" t="s">
        <v>10</v>
      </c>
      <c r="C23" s="21" t="b">
        <f>NOT(C22)</f>
        <v>1</v>
      </c>
    </row>
    <row r="25" spans="2:11" ht="15" customHeight="1" x14ac:dyDescent="0.25">
      <c r="B25" s="2" t="s">
        <v>39</v>
      </c>
      <c r="C25" s="24">
        <f>IF(C17=0,0,(C19*C12)/C17)</f>
        <v>225107196678.37631</v>
      </c>
      <c r="D25" s="2" t="str">
        <f>IF($D$2="English","lb/in",IF($D$2="Metric", "mN/m", "Unit Selection Error"))</f>
        <v>mN/m</v>
      </c>
    </row>
    <row r="26" spans="2:11" ht="15" customHeight="1" x14ac:dyDescent="0.25">
      <c r="B26" s="2"/>
      <c r="C26" s="19">
        <f>IF($D$2="English",C25*10^-6,IF($D$2="Metric",C25*10^-9, "Unit Selection Error"))</f>
        <v>225.10719667837634</v>
      </c>
      <c r="D26" s="2" t="str">
        <f>IF($D$2="English","Mlb/in",IF($D$2="Metric", "MN/m", "Unit Selection Error"))</f>
        <v>MN/m</v>
      </c>
    </row>
    <row r="28" spans="2:11" ht="15" customHeight="1" x14ac:dyDescent="0.25">
      <c r="B28" s="2" t="s">
        <v>40</v>
      </c>
      <c r="C28" s="24">
        <f>IF(C18=0,0,(C20*C12)/C18)</f>
        <v>332856000000.00006</v>
      </c>
      <c r="D28" s="2" t="str">
        <f>IF($D$2="English","lb/in",IF($D$2="Metric", "mN/m", "Unit Selection Error"))</f>
        <v>mN/m</v>
      </c>
    </row>
    <row r="29" spans="2:11" ht="15" customHeight="1" x14ac:dyDescent="0.25">
      <c r="B29" s="2"/>
      <c r="C29" s="19">
        <f>IF($D$2="English",C28*10^-6,IF($D$2="Metric",C28*10^-9, "Unit Selection Error"))</f>
        <v>332.85600000000011</v>
      </c>
      <c r="D29" s="2" t="str">
        <f>IF($D$2="English","Mlb/in",IF($D$2="Metric", "MN/m", "Unit Selection Error"))</f>
        <v>MN/m</v>
      </c>
    </row>
    <row r="31" spans="2:11" ht="15" customHeight="1" x14ac:dyDescent="0.25">
      <c r="B31" s="2" t="s">
        <v>6</v>
      </c>
      <c r="C31" s="24">
        <f>SUM(IF(C25=0,0,C25^-1),IF(C28=0,0,C28^-1))^-1</f>
        <v>134288930710.18829</v>
      </c>
      <c r="D31" s="2" t="str">
        <f>IF($D$2="English","lb/in",IF($D$2="Metric", "mN/m", "Unit Selection Error"))</f>
        <v>mN/m</v>
      </c>
    </row>
    <row r="32" spans="2:11" ht="15" customHeight="1" x14ac:dyDescent="0.25">
      <c r="B32" s="2"/>
      <c r="C32" s="19">
        <f>IF($D$2="English",C31*10^-6,IF($D$2="Metric",C31*10^-9, "Unit Selection Error"))</f>
        <v>134.28893071018831</v>
      </c>
      <c r="D32" s="2" t="str">
        <f>IF($D$2="English","Mlb/in",IF($D$2="Metric", "MN/m", "Unit Selection Error"))</f>
        <v>MN/m</v>
      </c>
    </row>
    <row r="101" spans="41:41" ht="15" customHeight="1" x14ac:dyDescent="0.25">
      <c r="AO101" s="6" t="s">
        <v>27</v>
      </c>
    </row>
  </sheetData>
  <conditionalFormatting sqref="C15:D15">
    <cfRule type="duplicateValues" dxfId="30" priority="7"/>
  </conditionalFormatting>
  <conditionalFormatting sqref="I6:N6">
    <cfRule type="expression" dxfId="29" priority="4">
      <formula>0=$J$6</formula>
    </cfRule>
  </conditionalFormatting>
  <conditionalFormatting sqref="I7:N7">
    <cfRule type="expression" dxfId="28" priority="5">
      <formula>0=$J$7</formula>
    </cfRule>
  </conditionalFormatting>
  <conditionalFormatting sqref="I8:N8">
    <cfRule type="expression" dxfId="27" priority="3">
      <formula>0=$J$8</formula>
    </cfRule>
  </conditionalFormatting>
  <conditionalFormatting sqref="I9:N9">
    <cfRule type="expression" dxfId="26" priority="2">
      <formula>0=$J$9</formula>
    </cfRule>
  </conditionalFormatting>
  <conditionalFormatting sqref="I10:N10">
    <cfRule type="expression" dxfId="25" priority="1">
      <formula>0=$J$10</formula>
    </cfRule>
  </conditionalFormatting>
  <conditionalFormatting sqref="J12:K12 C15:D15">
    <cfRule type="expression" dxfId="24" priority="6">
      <formula>$C$15&lt;&gt;$J$12</formula>
    </cfRule>
  </conditionalFormatting>
  <dataValidations count="1">
    <dataValidation type="list" allowBlank="1" showInputMessage="1" showErrorMessage="1" sqref="D2" xr:uid="{CD26D99E-4EF9-4738-90D8-2E5A0CFE159C}">
      <formula1>"English, Metric"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392B-8748-4C54-BABA-07AF1A1EEF0A}">
  <sheetPr>
    <tabColor rgb="FF00B0F0"/>
  </sheetPr>
  <dimension ref="B2:AL150"/>
  <sheetViews>
    <sheetView zoomScaleNormal="100" workbookViewId="0">
      <selection activeCell="K32" sqref="K32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3" style="6" customWidth="1"/>
    <col min="4" max="4" width="10.140625" style="6" customWidth="1"/>
    <col min="5" max="5" width="17.4257812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" width="8.85546875" style="6"/>
    <col min="17" max="17" width="16.85546875" style="6" bestFit="1" customWidth="1"/>
    <col min="18" max="18" width="7.5703125" style="6" bestFit="1" customWidth="1"/>
    <col min="19" max="19" width="15.140625" style="6" customWidth="1"/>
    <col min="20" max="20" width="15.85546875" style="6" customWidth="1"/>
    <col min="21" max="21" width="8.85546875" style="6"/>
    <col min="22" max="22" width="16.85546875" style="6" bestFit="1" customWidth="1"/>
    <col min="23" max="23" width="7.5703125" style="6" bestFit="1" customWidth="1"/>
    <col min="24" max="24" width="15.140625" style="6" customWidth="1"/>
    <col min="25" max="25" width="15.85546875" style="6" customWidth="1"/>
    <col min="26" max="26" width="8.85546875" style="6"/>
    <col min="27" max="28" width="16.85546875" style="6" bestFit="1" customWidth="1"/>
    <col min="29" max="29" width="12" style="6" bestFit="1" customWidth="1"/>
    <col min="30" max="30" width="15.140625" style="6" customWidth="1"/>
    <col min="31" max="31" width="15.85546875" style="6" customWidth="1"/>
    <col min="32" max="32" width="8.85546875" style="6"/>
    <col min="33" max="34" width="16.85546875" style="6" bestFit="1" customWidth="1"/>
    <col min="35" max="35" width="12" style="6" bestFit="1" customWidth="1"/>
    <col min="36" max="36" width="15.140625" style="6" customWidth="1"/>
    <col min="37" max="37" width="15.85546875" style="6" customWidth="1"/>
    <col min="38" max="16384" width="8.85546875" style="6"/>
  </cols>
  <sheetData>
    <row r="2" spans="2:37" ht="15" customHeight="1" thickBot="1" x14ac:dyDescent="0.3">
      <c r="B2" s="3" t="s">
        <v>0</v>
      </c>
      <c r="C2" s="4" t="s">
        <v>18</v>
      </c>
      <c r="D2" s="5" t="s">
        <v>2</v>
      </c>
      <c r="I2" s="7" t="s">
        <v>1</v>
      </c>
      <c r="J2" s="2"/>
      <c r="K2" s="2"/>
      <c r="L2" s="2"/>
      <c r="M2" s="2"/>
      <c r="N2" s="2"/>
      <c r="Q2" s="6" t="s">
        <v>55</v>
      </c>
      <c r="AA2" s="6" t="s">
        <v>56</v>
      </c>
    </row>
    <row r="3" spans="2:37" ht="15" customHeight="1" x14ac:dyDescent="0.25">
      <c r="Q3" s="38"/>
      <c r="R3" s="39"/>
      <c r="S3" s="39"/>
      <c r="T3" s="39"/>
      <c r="U3" s="40" t="s">
        <v>37</v>
      </c>
      <c r="V3" s="39"/>
      <c r="W3" s="39"/>
      <c r="X3" s="39"/>
      <c r="Y3" s="41"/>
      <c r="AA3" s="38"/>
      <c r="AB3" s="39"/>
      <c r="AC3" s="39"/>
      <c r="AD3" s="39"/>
      <c r="AE3" s="39"/>
      <c r="AF3" s="40" t="s">
        <v>2</v>
      </c>
      <c r="AG3" s="39"/>
      <c r="AH3" s="39"/>
      <c r="AI3" s="39"/>
      <c r="AJ3" s="39"/>
      <c r="AK3" s="41"/>
    </row>
    <row r="4" spans="2:37" ht="15" customHeight="1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  <c r="Q4" s="58" t="s">
        <v>46</v>
      </c>
      <c r="R4" s="59"/>
      <c r="S4" s="59"/>
      <c r="T4" s="59"/>
      <c r="V4" s="59" t="s">
        <v>47</v>
      </c>
      <c r="W4" s="59"/>
      <c r="X4" s="59"/>
      <c r="Y4" s="60"/>
      <c r="AA4" s="58" t="s">
        <v>46</v>
      </c>
      <c r="AB4" s="59"/>
      <c r="AC4" s="59"/>
      <c r="AD4" s="59"/>
      <c r="AE4" s="59"/>
      <c r="AG4" s="59" t="s">
        <v>47</v>
      </c>
      <c r="AH4" s="59"/>
      <c r="AI4" s="59"/>
      <c r="AJ4" s="59"/>
      <c r="AK4" s="60"/>
    </row>
    <row r="5" spans="2:37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[in]</v>
      </c>
      <c r="K5" s="15" t="str">
        <f>_xlfn.CONCAT("D ", "[",D13,"]")</f>
        <v>D [in]</v>
      </c>
      <c r="L5" s="15" t="str">
        <f>_xlfn.CONCAT("E ", "[",G6,"]")</f>
        <v>E [psi]</v>
      </c>
      <c r="M5" s="15" t="str">
        <f>_xlfn.CONCAT("k ", "[",D33,"]")</f>
        <v>k [lbf/in]</v>
      </c>
      <c r="N5" s="15" t="s">
        <v>21</v>
      </c>
      <c r="Q5" s="42" t="s">
        <v>44</v>
      </c>
      <c r="R5" s="33" t="s">
        <v>43</v>
      </c>
      <c r="S5" s="33" t="s">
        <v>42</v>
      </c>
      <c r="T5" s="34" t="s">
        <v>45</v>
      </c>
      <c r="V5" s="32" t="s">
        <v>44</v>
      </c>
      <c r="W5" s="33" t="s">
        <v>43</v>
      </c>
      <c r="X5" s="33" t="s">
        <v>42</v>
      </c>
      <c r="Y5" s="43" t="s">
        <v>45</v>
      </c>
      <c r="AA5" s="42" t="s">
        <v>48</v>
      </c>
      <c r="AB5" s="32" t="s">
        <v>49</v>
      </c>
      <c r="AC5" s="33" t="s">
        <v>50</v>
      </c>
      <c r="AD5" s="33" t="s">
        <v>51</v>
      </c>
      <c r="AE5" s="34" t="s">
        <v>52</v>
      </c>
      <c r="AG5" s="32" t="s">
        <v>48</v>
      </c>
      <c r="AH5" s="32" t="s">
        <v>49</v>
      </c>
      <c r="AI5" s="33" t="s">
        <v>50</v>
      </c>
      <c r="AJ5" s="33" t="s">
        <v>51</v>
      </c>
      <c r="AK5" s="43" t="s">
        <v>52</v>
      </c>
    </row>
    <row r="6" spans="2:37" ht="15" customHeight="1" x14ac:dyDescent="0.25">
      <c r="B6" s="1" t="s">
        <v>29</v>
      </c>
      <c r="C6" s="1">
        <v>9.5000000000000001E-2</v>
      </c>
      <c r="D6" s="1" t="str">
        <f>IF($D$2="English","in", "mm")</f>
        <v>in</v>
      </c>
      <c r="E6" s="13" t="s">
        <v>12</v>
      </c>
      <c r="F6" s="22">
        <f>30*10^6</f>
        <v>30000000</v>
      </c>
      <c r="G6" s="1" t="str">
        <f t="shared" ref="G6:G9" si="0">IF($D$2="English","psi","Pa")</f>
        <v>psi</v>
      </c>
      <c r="I6" s="16">
        <v>1</v>
      </c>
      <c r="J6" s="2">
        <f>C6</f>
        <v>9.5000000000000001E-2</v>
      </c>
      <c r="K6" s="2">
        <f>1.5*C13</f>
        <v>0.75</v>
      </c>
      <c r="L6" s="23">
        <f>F6</f>
        <v>30000000</v>
      </c>
      <c r="M6" s="23">
        <f>IF(J6=0,0,(PI()*L6*$C$13*TAN(RADIANS($C$5)))/LN(((2*J6*TAN(RADIANS($C$5))+K6-$C$13)*(K6+$C$13))/((2*J6*TAN(RADIANS($C$5))+K6+$C$13)*(K6-$C$13))))</f>
        <v>97278357.259746253</v>
      </c>
      <c r="N6" s="23">
        <f>IF(M6=0,0,M6^-1)</f>
        <v>1.0279778854919044E-8</v>
      </c>
      <c r="Q6" s="44">
        <v>1.6</v>
      </c>
      <c r="R6" s="30">
        <v>0.35</v>
      </c>
      <c r="S6" s="30">
        <v>1.27</v>
      </c>
      <c r="T6" s="31">
        <v>1.07</v>
      </c>
      <c r="V6" s="29">
        <v>1.6</v>
      </c>
      <c r="W6" s="30" t="e">
        <f>NA()</f>
        <v>#N/A</v>
      </c>
      <c r="X6" s="30" t="e">
        <f>NA()</f>
        <v>#N/A</v>
      </c>
      <c r="Y6" s="30" t="e">
        <f>NA()</f>
        <v>#N/A</v>
      </c>
      <c r="AA6" s="51">
        <f>0</f>
        <v>0</v>
      </c>
      <c r="AB6" s="29">
        <v>0.06</v>
      </c>
      <c r="AC6" s="30" t="e">
        <f>NA()</f>
        <v>#N/A</v>
      </c>
      <c r="AD6" s="30" t="e">
        <f>NA()</f>
        <v>#N/A</v>
      </c>
      <c r="AE6" s="31" t="e">
        <f>NA()</f>
        <v>#N/A</v>
      </c>
      <c r="AG6" s="37">
        <f>0</f>
        <v>0</v>
      </c>
      <c r="AH6" s="29">
        <v>0.06</v>
      </c>
      <c r="AI6" s="30">
        <v>80</v>
      </c>
      <c r="AJ6" s="30">
        <v>1.8E-3</v>
      </c>
      <c r="AK6" s="45">
        <v>1.5100000000000001E-3</v>
      </c>
    </row>
    <row r="7" spans="2:37" ht="15" customHeight="1" x14ac:dyDescent="0.25">
      <c r="B7" s="1" t="s">
        <v>30</v>
      </c>
      <c r="C7" s="1">
        <v>0.25</v>
      </c>
      <c r="D7" s="1" t="str">
        <f t="shared" ref="D7:D9" si="1">IF($D$2="English","in", "mm")</f>
        <v>in</v>
      </c>
      <c r="E7" s="13" t="s">
        <v>13</v>
      </c>
      <c r="F7" s="22">
        <f>30*10^6</f>
        <v>30000000</v>
      </c>
      <c r="G7" s="1" t="str">
        <f t="shared" si="0"/>
        <v>psi</v>
      </c>
      <c r="I7" s="16">
        <v>2</v>
      </c>
      <c r="J7" s="2">
        <f>IF(C6+C7&lt;J14,C7,J14-C6)</f>
        <v>0.25</v>
      </c>
      <c r="K7" s="18">
        <f>K6+2*J6*TAN(RADIANS($C$5))</f>
        <v>0.85969655114602883</v>
      </c>
      <c r="L7" s="23">
        <f>F7</f>
        <v>30000000</v>
      </c>
      <c r="M7" s="23">
        <f>IF(J7=0,0,(PI()*L7*$C$13*TAN(RADIANS($C$5)))/LN(((2*J7*TAN(RADIANS($C$5))+K7-$C$13)*(K7+$C$13))/((2*J7*TAN(RADIANS($C$5))+K7+$C$13)*(K7-$C$13))))</f>
        <v>68587270.796280205</v>
      </c>
      <c r="N7" s="23">
        <f t="shared" ref="N7:N10" si="2">IF(M7=0,0,M7^-1)</f>
        <v>1.4579964888386177E-8</v>
      </c>
      <c r="Q7" s="44">
        <v>2</v>
      </c>
      <c r="R7" s="30">
        <v>0.4</v>
      </c>
      <c r="S7" s="30">
        <v>2.0699999999999998</v>
      </c>
      <c r="T7" s="31">
        <v>1.79</v>
      </c>
      <c r="V7" s="29">
        <v>2</v>
      </c>
      <c r="W7" s="30" t="e">
        <f>NA()</f>
        <v>#N/A</v>
      </c>
      <c r="X7" s="30" t="e">
        <f>NA()</f>
        <v>#N/A</v>
      </c>
      <c r="Y7" s="30" t="e">
        <f>NA()</f>
        <v>#N/A</v>
      </c>
      <c r="AA7" s="51">
        <f>1</f>
        <v>1</v>
      </c>
      <c r="AB7" s="29">
        <v>7.2999999999999995E-2</v>
      </c>
      <c r="AC7" s="30">
        <v>64</v>
      </c>
      <c r="AD7" s="30">
        <v>2.63E-3</v>
      </c>
      <c r="AE7" s="31">
        <v>2.1800000000000001E-3</v>
      </c>
      <c r="AG7" s="37">
        <f>1</f>
        <v>1</v>
      </c>
      <c r="AH7" s="29">
        <v>7.2999999999999995E-2</v>
      </c>
      <c r="AI7" s="30">
        <v>72</v>
      </c>
      <c r="AJ7" s="30">
        <v>2.7799999999999999E-3</v>
      </c>
      <c r="AK7" s="45">
        <v>2.3700000000000001E-3</v>
      </c>
    </row>
    <row r="8" spans="2:37" ht="15" customHeight="1" x14ac:dyDescent="0.25">
      <c r="B8" s="1" t="s">
        <v>31</v>
      </c>
      <c r="C8" s="1">
        <v>1.5</v>
      </c>
      <c r="D8" s="1" t="str">
        <f t="shared" si="1"/>
        <v>in</v>
      </c>
      <c r="E8" s="13" t="s">
        <v>15</v>
      </c>
      <c r="F8" s="22">
        <f>14.5*10^6</f>
        <v>14500000</v>
      </c>
      <c r="G8" s="1" t="str">
        <f t="shared" si="0"/>
        <v>psi</v>
      </c>
      <c r="I8" s="16">
        <v>3</v>
      </c>
      <c r="J8" s="2">
        <f>IF(C6+C7&lt;J14,J14-C7-C6,C6+C7-J14)</f>
        <v>0.625</v>
      </c>
      <c r="K8" s="18">
        <f>IF(J6+J7&lt;J14,K7+2*J7*TAN(RADIANS($C$5)),K7+2*J7*TAN(RADIANS($C$5))-2*J8*TAN(RADIANS($C$5)))</f>
        <v>1.1483716857408417</v>
      </c>
      <c r="L8" s="23">
        <f>IF(J6+J7&lt;J14,F8,F7)</f>
        <v>14500000</v>
      </c>
      <c r="M8" s="23">
        <f>IF(J8=0,0,(PI()*L8*$C$13*TAN(RADIANS($C$5)))/LN(((2*J8*TAN(RADIANS($C$5))+K8-$C$13)*(K8+$C$13))/((2*J8*TAN(RADIANS($C$5))+K8+$C$13)*(K8-$C$13))))</f>
        <v>34154345.926287666</v>
      </c>
      <c r="N8" s="23">
        <f t="shared" si="2"/>
        <v>2.9278850842531502E-8</v>
      </c>
      <c r="Q8" s="44">
        <v>2.5</v>
      </c>
      <c r="R8" s="30">
        <v>0.45</v>
      </c>
      <c r="S8" s="30">
        <v>3.39</v>
      </c>
      <c r="T8" s="31">
        <v>2.98</v>
      </c>
      <c r="V8" s="29">
        <v>2.5</v>
      </c>
      <c r="W8" s="30" t="e">
        <f>NA()</f>
        <v>#N/A</v>
      </c>
      <c r="X8" s="30" t="e">
        <f>NA()</f>
        <v>#N/A</v>
      </c>
      <c r="Y8" s="30" t="e">
        <f>NA()</f>
        <v>#N/A</v>
      </c>
      <c r="AA8" s="51">
        <f>2</f>
        <v>2</v>
      </c>
      <c r="AB8" s="29">
        <v>8.5999999999999993E-2</v>
      </c>
      <c r="AC8" s="30">
        <v>56</v>
      </c>
      <c r="AD8" s="30">
        <v>3.7000000000000002E-3</v>
      </c>
      <c r="AE8" s="31">
        <v>3.0999999999999999E-3</v>
      </c>
      <c r="AG8" s="37">
        <f>2</f>
        <v>2</v>
      </c>
      <c r="AH8" s="29">
        <v>8.5999999999999993E-2</v>
      </c>
      <c r="AI8" s="30">
        <v>64</v>
      </c>
      <c r="AJ8" s="30">
        <v>3.9399999999999999E-3</v>
      </c>
      <c r="AK8" s="45">
        <v>3.3899999999999998E-3</v>
      </c>
    </row>
    <row r="9" spans="2:37" ht="15" customHeight="1" x14ac:dyDescent="0.25">
      <c r="B9" s="1" t="s">
        <v>28</v>
      </c>
      <c r="C9" s="1">
        <v>9.5000000000000001E-2</v>
      </c>
      <c r="D9" s="1" t="str">
        <f t="shared" si="1"/>
        <v>in</v>
      </c>
      <c r="E9" s="13" t="s">
        <v>14</v>
      </c>
      <c r="F9" s="22">
        <f>30*10^6</f>
        <v>30000000</v>
      </c>
      <c r="G9" s="1" t="str">
        <f t="shared" si="0"/>
        <v>psi</v>
      </c>
      <c r="I9" s="16">
        <v>4</v>
      </c>
      <c r="J9" s="2">
        <f>C16-SUM(J6:J8)-J10</f>
        <v>0.875</v>
      </c>
      <c r="K9" s="18">
        <f>K10+2*J10*TAN(RADIANS($C$5))</f>
        <v>0.85969655114602883</v>
      </c>
      <c r="L9" s="23">
        <f>F8</f>
        <v>14500000</v>
      </c>
      <c r="M9" s="23">
        <f>IF(J9=0,0,(PI()*L9*$C$13*TAN(RADIANS($C$5)))/LN(((2*J9*TAN(RADIANS($C$5))+K9-$C$13)*(K9+$C$13))/((2*J9*TAN(RADIANS($C$5))+K9+$C$13)*(K9-$C$13))))</f>
        <v>16822472.074262056</v>
      </c>
      <c r="N9" s="23">
        <f t="shared" si="2"/>
        <v>5.944429543919255E-8</v>
      </c>
      <c r="Q9" s="44">
        <v>3</v>
      </c>
      <c r="R9" s="30">
        <v>0.5</v>
      </c>
      <c r="S9" s="30">
        <v>5.03</v>
      </c>
      <c r="T9" s="31">
        <v>4.47</v>
      </c>
      <c r="V9" s="29">
        <v>3</v>
      </c>
      <c r="W9" s="30" t="e">
        <f>NA()</f>
        <v>#N/A</v>
      </c>
      <c r="X9" s="30" t="e">
        <f>NA()</f>
        <v>#N/A</v>
      </c>
      <c r="Y9" s="30" t="e">
        <f>NA()</f>
        <v>#N/A</v>
      </c>
      <c r="AA9" s="51">
        <f>3</f>
        <v>3</v>
      </c>
      <c r="AB9" s="29">
        <v>9.9000000000000005E-2</v>
      </c>
      <c r="AC9" s="30">
        <v>48</v>
      </c>
      <c r="AD9" s="30">
        <v>4.8700000000000002E-3</v>
      </c>
      <c r="AE9" s="31">
        <v>4.0600000000000002E-3</v>
      </c>
      <c r="AG9" s="37">
        <f>3</f>
        <v>3</v>
      </c>
      <c r="AH9" s="29">
        <v>9.9000000000000005E-2</v>
      </c>
      <c r="AI9" s="30">
        <v>56</v>
      </c>
      <c r="AJ9" s="30">
        <v>5.2300000000000003E-3</v>
      </c>
      <c r="AK9" s="45">
        <v>4.5100000000000001E-3</v>
      </c>
    </row>
    <row r="10" spans="2:37" ht="15" customHeight="1" x14ac:dyDescent="0.25">
      <c r="I10" s="16">
        <v>5</v>
      </c>
      <c r="J10" s="2">
        <f>C9</f>
        <v>9.5000000000000001E-2</v>
      </c>
      <c r="K10" s="2">
        <f>1.5*C13</f>
        <v>0.75</v>
      </c>
      <c r="L10" s="23">
        <f>F9</f>
        <v>30000000</v>
      </c>
      <c r="M10" s="23">
        <f>IF(J10=0,0,(PI()*L10*$C$13*TAN(RADIANS($C$5)))/LN(((2*J10*TAN(RADIANS($C$5))+K10-$C$13)*(K10+$C$13))/((2*J10*TAN(RADIANS($C$5))+K10+$C$13)*(K10-$C$13))))</f>
        <v>97278357.259746253</v>
      </c>
      <c r="N10" s="23">
        <f t="shared" si="2"/>
        <v>1.0279778854919044E-8</v>
      </c>
      <c r="Q10" s="44">
        <v>3.5</v>
      </c>
      <c r="R10" s="30">
        <v>0.6</v>
      </c>
      <c r="S10" s="30">
        <v>6.78</v>
      </c>
      <c r="T10" s="31">
        <v>6</v>
      </c>
      <c r="V10" s="29">
        <v>3.5</v>
      </c>
      <c r="W10" s="30" t="e">
        <f>NA()</f>
        <v>#N/A</v>
      </c>
      <c r="X10" s="30" t="e">
        <f>NA()</f>
        <v>#N/A</v>
      </c>
      <c r="Y10" s="30" t="e">
        <f>NA()</f>
        <v>#N/A</v>
      </c>
      <c r="AA10" s="51">
        <f>4</f>
        <v>4</v>
      </c>
      <c r="AB10" s="29">
        <v>0.112</v>
      </c>
      <c r="AC10" s="30">
        <v>40</v>
      </c>
      <c r="AD10" s="30">
        <v>6.0400000000000002E-3</v>
      </c>
      <c r="AE10" s="31">
        <v>4.96E-3</v>
      </c>
      <c r="AG10" s="37">
        <f>4</f>
        <v>4</v>
      </c>
      <c r="AH10" s="29">
        <v>0.112</v>
      </c>
      <c r="AI10" s="30">
        <v>48</v>
      </c>
      <c r="AJ10" s="30">
        <v>6.6100000000000004E-3</v>
      </c>
      <c r="AK10" s="45">
        <v>5.6600000000000001E-3</v>
      </c>
    </row>
    <row r="11" spans="2:37" ht="15" customHeight="1" x14ac:dyDescent="0.25">
      <c r="B11" s="8" t="s">
        <v>16</v>
      </c>
      <c r="C11" s="36" t="str">
        <f>IF($D$2="English",_xlfn.CONCAT(TEXT(C13, "# ?/?"),"""-",C22,"-", C15, " ",C14),_xlfn.CONCAT("M",C13,"-", C22,"-", C15," ",C14))</f>
        <v xml:space="preserve"> 1/2"-13-2.25 UNC</v>
      </c>
      <c r="D11" s="8"/>
      <c r="Q11" s="44">
        <v>4</v>
      </c>
      <c r="R11" s="30">
        <v>0.7</v>
      </c>
      <c r="S11" s="30">
        <v>8.7799999999999994</v>
      </c>
      <c r="T11" s="31">
        <v>7.75</v>
      </c>
      <c r="V11" s="29">
        <v>4</v>
      </c>
      <c r="W11" s="30" t="e">
        <f>NA()</f>
        <v>#N/A</v>
      </c>
      <c r="X11" s="30" t="e">
        <f>NA()</f>
        <v>#N/A</v>
      </c>
      <c r="Y11" s="30" t="e">
        <f>NA()</f>
        <v>#N/A</v>
      </c>
      <c r="AA11" s="51">
        <f>5</f>
        <v>5</v>
      </c>
      <c r="AB11" s="29">
        <v>0.125</v>
      </c>
      <c r="AC11" s="30">
        <v>40</v>
      </c>
      <c r="AD11" s="30">
        <v>7.9600000000000001E-3</v>
      </c>
      <c r="AE11" s="31">
        <v>6.7200000000000003E-3</v>
      </c>
      <c r="AG11" s="37">
        <f>5</f>
        <v>5</v>
      </c>
      <c r="AH11" s="29">
        <v>0.125</v>
      </c>
      <c r="AI11" s="30">
        <v>44</v>
      </c>
      <c r="AJ11" s="30">
        <v>8.8000000000000005E-3</v>
      </c>
      <c r="AK11" s="45">
        <v>7.1599999999999997E-3</v>
      </c>
    </row>
    <row r="12" spans="2:37" ht="15" customHeight="1" x14ac:dyDescent="0.25">
      <c r="B12" s="1" t="s">
        <v>53</v>
      </c>
      <c r="C12" s="22">
        <f>30*10^6</f>
        <v>30000000</v>
      </c>
      <c r="D12" s="1" t="str">
        <f>IF($D$2="English","psi","Pa")</f>
        <v>psi</v>
      </c>
      <c r="I12" s="25" t="s">
        <v>34</v>
      </c>
      <c r="J12" s="25">
        <f>SUM(J6:J10)</f>
        <v>1.94</v>
      </c>
      <c r="K12" s="25" t="str">
        <f>IF($D$2="English","in", "mm")</f>
        <v>in</v>
      </c>
      <c r="Q12" s="44">
        <v>5</v>
      </c>
      <c r="R12" s="30">
        <v>0.8</v>
      </c>
      <c r="S12" s="30">
        <v>14.2</v>
      </c>
      <c r="T12" s="31">
        <v>12.7</v>
      </c>
      <c r="V12" s="29">
        <v>5</v>
      </c>
      <c r="W12" s="30" t="e">
        <f>NA()</f>
        <v>#N/A</v>
      </c>
      <c r="X12" s="30" t="e">
        <f>NA()</f>
        <v>#N/A</v>
      </c>
      <c r="Y12" s="30" t="e">
        <f>NA()</f>
        <v>#N/A</v>
      </c>
      <c r="AA12" s="51">
        <f>6</f>
        <v>6</v>
      </c>
      <c r="AB12" s="29">
        <v>0.13800000000000001</v>
      </c>
      <c r="AC12" s="30">
        <v>32</v>
      </c>
      <c r="AD12" s="30">
        <v>9.0900000000000009E-3</v>
      </c>
      <c r="AE12" s="31">
        <v>7.45E-3</v>
      </c>
      <c r="AG12" s="37">
        <f>6</f>
        <v>6</v>
      </c>
      <c r="AH12" s="29">
        <v>0.13800000000000001</v>
      </c>
      <c r="AI12" s="30">
        <v>40</v>
      </c>
      <c r="AJ12" s="30">
        <v>1.0149999999999999E-2</v>
      </c>
      <c r="AK12" s="45">
        <v>8.7399999999999995E-3</v>
      </c>
    </row>
    <row r="13" spans="2:37" ht="15" customHeight="1" x14ac:dyDescent="0.25">
      <c r="B13" s="1" t="s">
        <v>4</v>
      </c>
      <c r="C13" s="17">
        <v>0.5</v>
      </c>
      <c r="D13" s="1" t="str">
        <f t="shared" ref="D13" si="3">IF($D$2="English","in", "mm")</f>
        <v>in</v>
      </c>
      <c r="I13" s="25" t="s">
        <v>23</v>
      </c>
      <c r="J13" s="25">
        <f>C16</f>
        <v>1.94</v>
      </c>
      <c r="K13" s="25" t="str">
        <f>IF($D$2="English","in", "mm")</f>
        <v>in</v>
      </c>
      <c r="Q13" s="44">
        <v>6</v>
      </c>
      <c r="R13" s="30">
        <v>1</v>
      </c>
      <c r="S13" s="30">
        <v>20.100000000000001</v>
      </c>
      <c r="T13" s="31">
        <v>17.899999999999999</v>
      </c>
      <c r="V13" s="29">
        <v>6</v>
      </c>
      <c r="W13" s="30" t="e">
        <f>NA()</f>
        <v>#N/A</v>
      </c>
      <c r="X13" s="30" t="e">
        <f>NA()</f>
        <v>#N/A</v>
      </c>
      <c r="Y13" s="30" t="e">
        <f>NA()</f>
        <v>#N/A</v>
      </c>
      <c r="AA13" s="51">
        <f>8</f>
        <v>8</v>
      </c>
      <c r="AB13" s="29">
        <v>0.16400000000000001</v>
      </c>
      <c r="AC13" s="30">
        <v>32</v>
      </c>
      <c r="AD13" s="30">
        <v>1.4E-2</v>
      </c>
      <c r="AE13" s="31">
        <v>1.196E-2</v>
      </c>
      <c r="AG13" s="37">
        <f>8</f>
        <v>8</v>
      </c>
      <c r="AH13" s="29">
        <v>0.16400000000000001</v>
      </c>
      <c r="AI13" s="30">
        <v>36</v>
      </c>
      <c r="AJ13" s="30">
        <v>1.474E-2</v>
      </c>
      <c r="AK13" s="45">
        <v>1.285E-2</v>
      </c>
    </row>
    <row r="14" spans="2:37" ht="15" customHeight="1" x14ac:dyDescent="0.25">
      <c r="B14" s="1" t="s">
        <v>54</v>
      </c>
      <c r="C14" s="35" t="s">
        <v>46</v>
      </c>
      <c r="D14" s="1"/>
      <c r="I14" s="25" t="s">
        <v>24</v>
      </c>
      <c r="J14" s="25">
        <f>C16/2</f>
        <v>0.97</v>
      </c>
      <c r="K14" s="25" t="str">
        <f t="shared" ref="K14" si="4">IF($D$2="English","in", "mm")</f>
        <v>in</v>
      </c>
      <c r="Q14" s="44">
        <v>8</v>
      </c>
      <c r="R14" s="30">
        <v>1.25</v>
      </c>
      <c r="S14" s="30">
        <v>36.6</v>
      </c>
      <c r="T14" s="31">
        <v>32.799999999999997</v>
      </c>
      <c r="V14" s="29">
        <v>8</v>
      </c>
      <c r="W14" s="30">
        <v>1</v>
      </c>
      <c r="X14" s="30">
        <v>39.200000000000003</v>
      </c>
      <c r="Y14" s="45">
        <v>36</v>
      </c>
      <c r="AA14" s="51">
        <f>10</f>
        <v>10</v>
      </c>
      <c r="AB14" s="29">
        <v>0.19</v>
      </c>
      <c r="AC14" s="30">
        <v>24</v>
      </c>
      <c r="AD14" s="30">
        <v>1.7500000000000002E-2</v>
      </c>
      <c r="AE14" s="31">
        <v>1.4500000000000001E-2</v>
      </c>
      <c r="AG14" s="37">
        <f>10</f>
        <v>10</v>
      </c>
      <c r="AH14" s="29">
        <v>0.19</v>
      </c>
      <c r="AI14" s="30">
        <v>32</v>
      </c>
      <c r="AJ14" s="30">
        <v>0.02</v>
      </c>
      <c r="AK14" s="45">
        <v>1.7500000000000002E-2</v>
      </c>
    </row>
    <row r="15" spans="2:37" ht="15" customHeight="1" x14ac:dyDescent="0.25">
      <c r="B15" s="1" t="s">
        <v>5</v>
      </c>
      <c r="C15" s="1">
        <v>2.25</v>
      </c>
      <c r="D15" s="1" t="str">
        <f t="shared" ref="D15" si="5">IF($D$2="English","in", "mm")</f>
        <v>in</v>
      </c>
      <c r="Q15" s="44">
        <v>10</v>
      </c>
      <c r="R15" s="30">
        <v>1.5</v>
      </c>
      <c r="S15" s="30">
        <v>58</v>
      </c>
      <c r="T15" s="31">
        <v>52.3</v>
      </c>
      <c r="V15" s="29">
        <v>10</v>
      </c>
      <c r="W15" s="30">
        <v>1.25</v>
      </c>
      <c r="X15" s="30">
        <v>61.2</v>
      </c>
      <c r="Y15" s="45">
        <v>56.3</v>
      </c>
      <c r="AA15" s="51">
        <f>12</f>
        <v>12</v>
      </c>
      <c r="AB15" s="29">
        <v>0.216</v>
      </c>
      <c r="AC15" s="30">
        <v>24</v>
      </c>
      <c r="AD15" s="30">
        <v>2.4199999999999999E-2</v>
      </c>
      <c r="AE15" s="31">
        <v>2.06E-2</v>
      </c>
      <c r="AG15" s="37">
        <f>12</f>
        <v>12</v>
      </c>
      <c r="AH15" s="29">
        <v>0.216</v>
      </c>
      <c r="AI15" s="30">
        <v>28</v>
      </c>
      <c r="AJ15" s="30">
        <v>2.58E-2</v>
      </c>
      <c r="AK15" s="45">
        <v>2.2599999999999999E-2</v>
      </c>
    </row>
    <row r="16" spans="2:37" ht="15" customHeight="1" x14ac:dyDescent="0.25">
      <c r="B16" s="2" t="s">
        <v>23</v>
      </c>
      <c r="C16" s="2">
        <f>IF(C25,SUM(C6:C8)+C9,IF(C13&lt;=C8, C6+C7+(C13/2), C6+C7+(C8/2)))</f>
        <v>1.94</v>
      </c>
      <c r="D16" s="2" t="str">
        <f>IF($D$2="English","in", "mm")</f>
        <v>in</v>
      </c>
      <c r="I16" s="2" t="s">
        <v>35</v>
      </c>
      <c r="J16" s="24">
        <f>SUM(N6:N10)^-1</f>
        <v>8073457.5562006673</v>
      </c>
      <c r="K16" s="2" t="str">
        <f>IF($D$2="English","lbf/in","mN/m")</f>
        <v>lbf/in</v>
      </c>
      <c r="Q16" s="44">
        <v>12</v>
      </c>
      <c r="R16" s="30">
        <v>1.75</v>
      </c>
      <c r="S16" s="30">
        <v>84.3</v>
      </c>
      <c r="T16" s="31">
        <v>76.3</v>
      </c>
      <c r="V16" s="29">
        <v>12</v>
      </c>
      <c r="W16" s="30">
        <v>1.25</v>
      </c>
      <c r="X16" s="30">
        <v>92.1</v>
      </c>
      <c r="Y16" s="45">
        <v>86</v>
      </c>
      <c r="AA16" s="51">
        <f>1/4</f>
        <v>0.25</v>
      </c>
      <c r="AB16" s="29">
        <v>0.25</v>
      </c>
      <c r="AC16" s="30">
        <v>20</v>
      </c>
      <c r="AD16" s="30">
        <v>3.1800000000000002E-2</v>
      </c>
      <c r="AE16" s="31">
        <v>2.69E-2</v>
      </c>
      <c r="AG16" s="37">
        <f>1/4</f>
        <v>0.25</v>
      </c>
      <c r="AH16" s="29">
        <v>0.25</v>
      </c>
      <c r="AI16" s="30">
        <v>28</v>
      </c>
      <c r="AJ16" s="30">
        <v>3.6400000000000002E-2</v>
      </c>
      <c r="AK16" s="45">
        <v>3.2599999999999997E-2</v>
      </c>
    </row>
    <row r="17" spans="2:37" ht="15" customHeight="1" x14ac:dyDescent="0.25">
      <c r="B17" s="2" t="s">
        <v>22</v>
      </c>
      <c r="C17" s="2">
        <f>IF(F17,C15,IF($D$2="English",IF(C15&lt;=6, 2*C13+0.25, 2*C13+0.5),IF(AND(C15&lt;=125,C13&lt;=48),2*C13+6,IF(C15&lt;=200,2*C13+12,2*C13+25))))</f>
        <v>1.25</v>
      </c>
      <c r="D17" s="2" t="str">
        <f t="shared" ref="D17" si="6">IF($D$2="English","in", "mm")</f>
        <v>in</v>
      </c>
      <c r="E17" s="1" t="s">
        <v>38</v>
      </c>
      <c r="F17" s="20" t="b">
        <v>0</v>
      </c>
      <c r="I17" s="2"/>
      <c r="J17" s="19">
        <f>IF($D$2="English",J16*10^-6,J16*10^-9)</f>
        <v>8.0734575562006672</v>
      </c>
      <c r="K17" s="2" t="str">
        <f>IF($D$2="English","Mlbf/in","MN/m")</f>
        <v>Mlbf/in</v>
      </c>
      <c r="Q17" s="44">
        <v>14</v>
      </c>
      <c r="R17" s="30">
        <v>2</v>
      </c>
      <c r="S17" s="30">
        <v>115</v>
      </c>
      <c r="T17" s="31">
        <v>104</v>
      </c>
      <c r="V17" s="29">
        <v>14</v>
      </c>
      <c r="W17" s="30">
        <v>1.5</v>
      </c>
      <c r="X17" s="30">
        <v>125</v>
      </c>
      <c r="Y17" s="45">
        <v>116</v>
      </c>
      <c r="AA17" s="51">
        <f>5/16</f>
        <v>0.3125</v>
      </c>
      <c r="AB17" s="29">
        <v>0.3125</v>
      </c>
      <c r="AC17" s="30">
        <v>18</v>
      </c>
      <c r="AD17" s="30">
        <v>5.2400000000000002E-2</v>
      </c>
      <c r="AE17" s="31">
        <v>4.5400000000000003E-2</v>
      </c>
      <c r="AG17" s="37">
        <f>5/16</f>
        <v>0.3125</v>
      </c>
      <c r="AH17" s="29">
        <v>0.3125</v>
      </c>
      <c r="AI17" s="30">
        <v>24</v>
      </c>
      <c r="AJ17" s="30">
        <v>5.8000000000000003E-2</v>
      </c>
      <c r="AK17" s="45">
        <v>5.2400000000000002E-2</v>
      </c>
    </row>
    <row r="18" spans="2:37" ht="15" customHeight="1" x14ac:dyDescent="0.25">
      <c r="B18" s="2" t="s">
        <v>25</v>
      </c>
      <c r="C18" s="2">
        <f>C15-C17</f>
        <v>1</v>
      </c>
      <c r="D18" s="2" t="str">
        <f>IF($D$2="English","in", "mm")</f>
        <v>in</v>
      </c>
      <c r="Q18" s="44">
        <v>16</v>
      </c>
      <c r="R18" s="30">
        <v>2</v>
      </c>
      <c r="S18" s="30">
        <v>157</v>
      </c>
      <c r="T18" s="31">
        <v>144</v>
      </c>
      <c r="V18" s="29">
        <v>16</v>
      </c>
      <c r="W18" s="30">
        <v>1.5</v>
      </c>
      <c r="X18" s="30">
        <v>167</v>
      </c>
      <c r="Y18" s="45">
        <v>157</v>
      </c>
      <c r="AA18" s="51">
        <f>3/8</f>
        <v>0.375</v>
      </c>
      <c r="AB18" s="29">
        <v>0.375</v>
      </c>
      <c r="AC18" s="30">
        <v>16</v>
      </c>
      <c r="AD18" s="30">
        <v>7.7499999999999999E-2</v>
      </c>
      <c r="AE18" s="31">
        <v>6.7799999999999999E-2</v>
      </c>
      <c r="AG18" s="37">
        <f>3/8</f>
        <v>0.375</v>
      </c>
      <c r="AH18" s="29">
        <v>0.375</v>
      </c>
      <c r="AI18" s="30">
        <v>24</v>
      </c>
      <c r="AJ18" s="30">
        <v>8.7800000000000003E-2</v>
      </c>
      <c r="AK18" s="45">
        <v>8.09E-2</v>
      </c>
    </row>
    <row r="19" spans="2:37" ht="15" customHeight="1" x14ac:dyDescent="0.25">
      <c r="B19" s="2" t="s">
        <v>26</v>
      </c>
      <c r="C19" s="2">
        <f>C16-C18</f>
        <v>0.94</v>
      </c>
      <c r="D19" s="2" t="str">
        <f>IF($D$2="English","in", "mm")</f>
        <v>in</v>
      </c>
      <c r="I19" s="2" t="s">
        <v>57</v>
      </c>
      <c r="J19" s="28">
        <f>C33/(C33+J16)</f>
        <v>0.24077150962762534</v>
      </c>
      <c r="Q19" s="44">
        <v>20</v>
      </c>
      <c r="R19" s="30">
        <v>2.5</v>
      </c>
      <c r="S19" s="30">
        <v>245</v>
      </c>
      <c r="T19" s="31">
        <v>225</v>
      </c>
      <c r="V19" s="29">
        <v>20</v>
      </c>
      <c r="W19" s="30">
        <v>1.5</v>
      </c>
      <c r="X19" s="30">
        <v>272</v>
      </c>
      <c r="Y19" s="45">
        <v>259</v>
      </c>
      <c r="AA19" s="51">
        <f>7/16</f>
        <v>0.4375</v>
      </c>
      <c r="AB19" s="29">
        <v>0.4375</v>
      </c>
      <c r="AC19" s="30">
        <v>14</v>
      </c>
      <c r="AD19" s="30">
        <v>0.10630000000000001</v>
      </c>
      <c r="AE19" s="31">
        <v>9.3299999999999994E-2</v>
      </c>
      <c r="AG19" s="37">
        <f>7/16</f>
        <v>0.4375</v>
      </c>
      <c r="AH19" s="29">
        <v>0.4375</v>
      </c>
      <c r="AI19" s="30">
        <v>20</v>
      </c>
      <c r="AJ19" s="30">
        <v>0.1187</v>
      </c>
      <c r="AK19" s="45">
        <v>0.109</v>
      </c>
    </row>
    <row r="20" spans="2:37" ht="15" customHeight="1" x14ac:dyDescent="0.25">
      <c r="B20" s="2" t="s">
        <v>7</v>
      </c>
      <c r="C20" s="18">
        <f>(PI()*(C13^2))/4</f>
        <v>0.19634954084936207</v>
      </c>
      <c r="D20" s="2" t="str">
        <f>IF($D$2="English","in^2","mm^2")</f>
        <v>in^2</v>
      </c>
      <c r="Q20" s="44">
        <v>24</v>
      </c>
      <c r="R20" s="30">
        <v>3</v>
      </c>
      <c r="S20" s="30">
        <v>353</v>
      </c>
      <c r="T20" s="31">
        <v>324</v>
      </c>
      <c r="V20" s="29">
        <v>24</v>
      </c>
      <c r="W20" s="30">
        <v>2</v>
      </c>
      <c r="X20" s="30">
        <v>384</v>
      </c>
      <c r="Y20" s="45">
        <v>365</v>
      </c>
      <c r="AA20" s="51">
        <f>1/2</f>
        <v>0.5</v>
      </c>
      <c r="AB20" s="29">
        <v>0.5</v>
      </c>
      <c r="AC20" s="30">
        <v>13</v>
      </c>
      <c r="AD20" s="30">
        <v>0.1419</v>
      </c>
      <c r="AE20" s="31">
        <v>0.12570000000000001</v>
      </c>
      <c r="AG20" s="37">
        <f>1/2</f>
        <v>0.5</v>
      </c>
      <c r="AH20" s="29">
        <v>0.5</v>
      </c>
      <c r="AI20" s="30">
        <v>20</v>
      </c>
      <c r="AJ20" s="30">
        <v>0.15989999999999999</v>
      </c>
      <c r="AK20" s="45">
        <v>0.14860000000000001</v>
      </c>
    </row>
    <row r="21" spans="2:37" ht="15" customHeight="1" x14ac:dyDescent="0.25">
      <c r="B21" s="2" t="s">
        <v>8</v>
      </c>
      <c r="C21" s="2">
        <f>IF($D$2="English",IF($C$14="UNC",VLOOKUP($C$13,$AB$6:$AE$27,3,FALSE),VLOOKUP($C$13,$AH$6:$AK$27,3,FALSE)), IF($C$14="UNC",VLOOKUP($C$13,$Q$6:$T$31,3,FALSE),VLOOKUP($C$13,$V$6:$Y$31,3,FALSE)))</f>
        <v>0.1419</v>
      </c>
      <c r="D21" s="2" t="str">
        <f>IF($D$2="English","in^2","mm^2")</f>
        <v>in^2</v>
      </c>
      <c r="Q21" s="44">
        <v>30</v>
      </c>
      <c r="R21" s="30">
        <v>3.5</v>
      </c>
      <c r="S21" s="30">
        <v>561</v>
      </c>
      <c r="T21" s="31">
        <v>519</v>
      </c>
      <c r="V21" s="29">
        <v>30</v>
      </c>
      <c r="W21" s="30">
        <v>2</v>
      </c>
      <c r="X21" s="30">
        <v>621</v>
      </c>
      <c r="Y21" s="45">
        <v>596</v>
      </c>
      <c r="AA21" s="51">
        <f>9/16</f>
        <v>0.5625</v>
      </c>
      <c r="AB21" s="29">
        <v>0.5625</v>
      </c>
      <c r="AC21" s="30">
        <v>12</v>
      </c>
      <c r="AD21" s="30">
        <v>0.182</v>
      </c>
      <c r="AE21" s="31">
        <v>0.16200000000000001</v>
      </c>
      <c r="AG21" s="37">
        <f>9/16</f>
        <v>0.5625</v>
      </c>
      <c r="AH21" s="29">
        <v>0.5625</v>
      </c>
      <c r="AI21" s="30">
        <v>18</v>
      </c>
      <c r="AJ21" s="30">
        <v>0.20300000000000001</v>
      </c>
      <c r="AK21" s="45">
        <v>0.189</v>
      </c>
    </row>
    <row r="22" spans="2:37" ht="15" customHeight="1" x14ac:dyDescent="0.25">
      <c r="B22" s="2" t="str">
        <f>IF($D$2="English","Bolt threads per inch, p","Bolt pitch, p")</f>
        <v>Bolt threads per inch, p</v>
      </c>
      <c r="C22" s="2">
        <f>IF($D$2="English",IF($C$14="UNC",VLOOKUP($C$13,$AB$6:$AE$27,2,FALSE),VLOOKUP($C$13,$AH$6:$AK$27,2,FALSE)), IF($C$14="UNC",VLOOKUP($C$13,$Q$6:$T$31,2,FALSE),VLOOKUP($C$13,$V$6:$Y$31,2,FALSE)))</f>
        <v>13</v>
      </c>
      <c r="D22" s="2" t="str">
        <f>IF($D$2="English","threads/in","mm")</f>
        <v>threads/in</v>
      </c>
      <c r="Q22" s="44">
        <v>36</v>
      </c>
      <c r="R22" s="30">
        <v>4</v>
      </c>
      <c r="S22" s="30">
        <v>817</v>
      </c>
      <c r="T22" s="31">
        <v>759</v>
      </c>
      <c r="V22" s="29">
        <v>36</v>
      </c>
      <c r="W22" s="30">
        <v>2</v>
      </c>
      <c r="X22" s="30">
        <v>915</v>
      </c>
      <c r="Y22" s="45">
        <v>884</v>
      </c>
      <c r="AA22" s="51">
        <f>5/8</f>
        <v>0.625</v>
      </c>
      <c r="AB22" s="29">
        <v>0.625</v>
      </c>
      <c r="AC22" s="30">
        <v>11</v>
      </c>
      <c r="AD22" s="30">
        <v>0.22600000000000001</v>
      </c>
      <c r="AE22" s="31">
        <v>0.20200000000000001</v>
      </c>
      <c r="AG22" s="37">
        <f>5/8</f>
        <v>0.625</v>
      </c>
      <c r="AH22" s="29">
        <v>0.625</v>
      </c>
      <c r="AI22" s="30">
        <v>18</v>
      </c>
      <c r="AJ22" s="30">
        <v>0.25600000000000001</v>
      </c>
      <c r="AK22" s="45">
        <v>0.24</v>
      </c>
    </row>
    <row r="23" spans="2:37" ht="15" customHeight="1" x14ac:dyDescent="0.25">
      <c r="Q23" s="44">
        <v>42</v>
      </c>
      <c r="R23" s="30">
        <v>4.5</v>
      </c>
      <c r="S23" s="30">
        <v>1120</v>
      </c>
      <c r="T23" s="31">
        <v>1050</v>
      </c>
      <c r="V23" s="29">
        <v>42</v>
      </c>
      <c r="W23" s="30">
        <v>2</v>
      </c>
      <c r="X23" s="30">
        <v>1260</v>
      </c>
      <c r="Y23" s="45">
        <v>1230</v>
      </c>
      <c r="AA23" s="51">
        <f>3/4</f>
        <v>0.75</v>
      </c>
      <c r="AB23" s="29">
        <v>0.75</v>
      </c>
      <c r="AC23" s="30">
        <v>10</v>
      </c>
      <c r="AD23" s="30">
        <v>0.33400000000000002</v>
      </c>
      <c r="AE23" s="31">
        <v>0.30199999999999999</v>
      </c>
      <c r="AG23" s="37">
        <f>3/4</f>
        <v>0.75</v>
      </c>
      <c r="AH23" s="29">
        <v>0.75</v>
      </c>
      <c r="AI23" s="30">
        <v>16</v>
      </c>
      <c r="AJ23" s="30">
        <v>0.373</v>
      </c>
      <c r="AK23" s="45">
        <v>0.35099999999999998</v>
      </c>
    </row>
    <row r="24" spans="2:37" ht="15" customHeight="1" x14ac:dyDescent="0.25">
      <c r="B24" s="1" t="s">
        <v>9</v>
      </c>
      <c r="C24" s="20" t="b">
        <v>0</v>
      </c>
      <c r="D24" s="57" t="s">
        <v>36</v>
      </c>
      <c r="E24" s="57"/>
      <c r="F24" s="57"/>
      <c r="Q24" s="44">
        <v>48</v>
      </c>
      <c r="R24" s="30">
        <v>5</v>
      </c>
      <c r="S24" s="30">
        <v>1470</v>
      </c>
      <c r="T24" s="31">
        <v>1380</v>
      </c>
      <c r="V24" s="29">
        <v>48</v>
      </c>
      <c r="W24" s="30">
        <v>2</v>
      </c>
      <c r="X24" s="30">
        <v>1670</v>
      </c>
      <c r="Y24" s="45">
        <v>1630</v>
      </c>
      <c r="AA24" s="51">
        <f>7/8</f>
        <v>0.875</v>
      </c>
      <c r="AB24" s="29">
        <v>0.875</v>
      </c>
      <c r="AC24" s="30">
        <v>9</v>
      </c>
      <c r="AD24" s="30">
        <v>0.46200000000000002</v>
      </c>
      <c r="AE24" s="31">
        <v>0.41899999999999998</v>
      </c>
      <c r="AG24" s="37">
        <f>7/8</f>
        <v>0.875</v>
      </c>
      <c r="AH24" s="29">
        <v>0.875</v>
      </c>
      <c r="AI24" s="30">
        <v>14</v>
      </c>
      <c r="AJ24" s="30">
        <v>0.50900000000000001</v>
      </c>
      <c r="AK24" s="45">
        <v>0.48</v>
      </c>
    </row>
    <row r="25" spans="2:37" ht="15" customHeight="1" x14ac:dyDescent="0.25">
      <c r="B25" s="1" t="s">
        <v>10</v>
      </c>
      <c r="C25" s="21" t="b">
        <f>NOT(C24)</f>
        <v>1</v>
      </c>
      <c r="D25" s="57"/>
      <c r="E25" s="57"/>
      <c r="F25" s="57"/>
      <c r="Q25" s="44">
        <v>56</v>
      </c>
      <c r="R25" s="30">
        <v>5.5</v>
      </c>
      <c r="S25" s="30">
        <v>2030</v>
      </c>
      <c r="T25" s="31">
        <v>1910</v>
      </c>
      <c r="V25" s="29">
        <v>56</v>
      </c>
      <c r="W25" s="30">
        <v>2</v>
      </c>
      <c r="X25" s="30">
        <v>2300</v>
      </c>
      <c r="Y25" s="45">
        <v>2250</v>
      </c>
      <c r="AA25" s="51">
        <f>1</f>
        <v>1</v>
      </c>
      <c r="AB25" s="29">
        <v>1</v>
      </c>
      <c r="AC25" s="30">
        <v>8</v>
      </c>
      <c r="AD25" s="30">
        <v>0.60599999999999998</v>
      </c>
      <c r="AE25" s="31">
        <v>0.55100000000000005</v>
      </c>
      <c r="AG25" s="37">
        <f>1</f>
        <v>1</v>
      </c>
      <c r="AH25" s="29">
        <v>1</v>
      </c>
      <c r="AI25" s="30">
        <v>12</v>
      </c>
      <c r="AJ25" s="30">
        <v>0.66300000000000003</v>
      </c>
      <c r="AK25" s="45">
        <v>0.625</v>
      </c>
    </row>
    <row r="26" spans="2:37" ht="15" customHeight="1" x14ac:dyDescent="0.25">
      <c r="Q26" s="44">
        <v>64</v>
      </c>
      <c r="R26" s="30">
        <v>6</v>
      </c>
      <c r="S26" s="30">
        <v>2680</v>
      </c>
      <c r="T26" s="31">
        <v>2520</v>
      </c>
      <c r="V26" s="29">
        <v>64</v>
      </c>
      <c r="W26" s="30">
        <v>2</v>
      </c>
      <c r="X26" s="30">
        <v>3030</v>
      </c>
      <c r="Y26" s="45">
        <v>2980</v>
      </c>
      <c r="AA26" s="51">
        <f>1.25</f>
        <v>1.25</v>
      </c>
      <c r="AB26" s="29">
        <v>1.25</v>
      </c>
      <c r="AC26" s="30">
        <v>7</v>
      </c>
      <c r="AD26" s="30">
        <v>0.96899999999999997</v>
      </c>
      <c r="AE26" s="31">
        <v>0.89</v>
      </c>
      <c r="AG26" s="37">
        <f>1.25</f>
        <v>1.25</v>
      </c>
      <c r="AH26" s="29">
        <v>1.25</v>
      </c>
      <c r="AI26" s="30">
        <v>12</v>
      </c>
      <c r="AJ26" s="30">
        <v>1.073</v>
      </c>
      <c r="AK26" s="45">
        <v>1.024</v>
      </c>
    </row>
    <row r="27" spans="2:37" ht="15" customHeight="1" thickBot="1" x14ac:dyDescent="0.3">
      <c r="B27" s="2" t="s">
        <v>39</v>
      </c>
      <c r="C27" s="24">
        <f>IF(C18=0,0,(C20*C12)/C18)</f>
        <v>5890486.225480862</v>
      </c>
      <c r="D27" s="2" t="str">
        <f>IF($D$2="English","lbf/in","mN/m")</f>
        <v>lbf/in</v>
      </c>
      <c r="Q27" s="44">
        <v>72</v>
      </c>
      <c r="R27" s="30">
        <v>6</v>
      </c>
      <c r="S27" s="30">
        <v>3460</v>
      </c>
      <c r="T27" s="31">
        <v>3280</v>
      </c>
      <c r="V27" s="29">
        <v>72</v>
      </c>
      <c r="W27" s="30">
        <v>2</v>
      </c>
      <c r="X27" s="30">
        <v>3860</v>
      </c>
      <c r="Y27" s="45">
        <v>3800</v>
      </c>
      <c r="AA27" s="52">
        <f>1.5</f>
        <v>1.5</v>
      </c>
      <c r="AB27" s="49">
        <v>1.5</v>
      </c>
      <c r="AC27" s="47">
        <v>6</v>
      </c>
      <c r="AD27" s="47">
        <v>1.405</v>
      </c>
      <c r="AE27" s="48">
        <v>1.294</v>
      </c>
      <c r="AF27" s="54"/>
      <c r="AG27" s="53">
        <f>1.5</f>
        <v>1.5</v>
      </c>
      <c r="AH27" s="49">
        <v>1.5</v>
      </c>
      <c r="AI27" s="47">
        <v>12</v>
      </c>
      <c r="AJ27" s="47">
        <v>1.581</v>
      </c>
      <c r="AK27" s="50">
        <v>1.5209999999999999</v>
      </c>
    </row>
    <row r="28" spans="2:37" ht="15" customHeight="1" x14ac:dyDescent="0.25">
      <c r="B28" s="2"/>
      <c r="C28" s="19">
        <f>IF($D$2="English",C27*10^-6,C27*10^-9)</f>
        <v>5.8904862254808616</v>
      </c>
      <c r="D28" s="2" t="str">
        <f>IF($D$2="English","Mlbf/in","MN/m")</f>
        <v>Mlbf/in</v>
      </c>
      <c r="Q28" s="44">
        <v>80</v>
      </c>
      <c r="R28" s="30">
        <v>6</v>
      </c>
      <c r="S28" s="30">
        <v>4340</v>
      </c>
      <c r="T28" s="31">
        <v>4140</v>
      </c>
      <c r="V28" s="29">
        <v>80</v>
      </c>
      <c r="W28" s="30">
        <v>1.5</v>
      </c>
      <c r="X28" s="30">
        <v>4850</v>
      </c>
      <c r="Y28" s="45">
        <v>4800</v>
      </c>
    </row>
    <row r="29" spans="2:37" ht="15" customHeight="1" x14ac:dyDescent="0.25">
      <c r="Q29" s="44">
        <v>90</v>
      </c>
      <c r="R29" s="30">
        <v>6</v>
      </c>
      <c r="S29" s="30">
        <v>5590</v>
      </c>
      <c r="T29" s="31">
        <v>5360</v>
      </c>
      <c r="V29" s="29">
        <v>90</v>
      </c>
      <c r="W29" s="30">
        <v>2</v>
      </c>
      <c r="X29" s="30">
        <v>6100</v>
      </c>
      <c r="Y29" s="45">
        <v>6020</v>
      </c>
    </row>
    <row r="30" spans="2:37" ht="15" customHeight="1" x14ac:dyDescent="0.25">
      <c r="B30" s="2" t="s">
        <v>40</v>
      </c>
      <c r="C30" s="24">
        <f>IF(C19=0,0,(C21*C12)/C19)</f>
        <v>4528723.4042553194</v>
      </c>
      <c r="D30" s="2" t="str">
        <f>IF($D$2="English","lbf/in","mN/m")</f>
        <v>lbf/in</v>
      </c>
      <c r="Q30" s="44">
        <v>100</v>
      </c>
      <c r="R30" s="30">
        <v>6</v>
      </c>
      <c r="S30" s="30">
        <v>6990</v>
      </c>
      <c r="T30" s="31">
        <v>6740</v>
      </c>
      <c r="V30" s="29">
        <v>100</v>
      </c>
      <c r="W30" s="30">
        <v>2</v>
      </c>
      <c r="X30" s="30">
        <v>7560</v>
      </c>
      <c r="Y30" s="45">
        <v>7470</v>
      </c>
    </row>
    <row r="31" spans="2:37" ht="15" customHeight="1" thickBot="1" x14ac:dyDescent="0.3">
      <c r="B31" s="2"/>
      <c r="C31" s="19">
        <f>IF($D$2="English",C30*10^-6,C30*10^-9)</f>
        <v>4.5287234042553193</v>
      </c>
      <c r="D31" s="2" t="str">
        <f>IF($D$2="English","Mlbf/in","MN/m")</f>
        <v>Mlbf/in</v>
      </c>
      <c r="Q31" s="46">
        <v>110</v>
      </c>
      <c r="R31" s="47">
        <v>6</v>
      </c>
      <c r="S31" s="47" t="e">
        <f>NA()</f>
        <v>#N/A</v>
      </c>
      <c r="T31" s="47" t="e">
        <f>NA()</f>
        <v>#N/A</v>
      </c>
      <c r="U31" s="54"/>
      <c r="V31" s="49">
        <v>110</v>
      </c>
      <c r="W31" s="47">
        <v>2</v>
      </c>
      <c r="X31" s="47">
        <v>9180</v>
      </c>
      <c r="Y31" s="50">
        <v>9080</v>
      </c>
    </row>
    <row r="33" spans="2:4" ht="15" customHeight="1" x14ac:dyDescent="0.25">
      <c r="B33" s="2" t="s">
        <v>6</v>
      </c>
      <c r="C33" s="24">
        <f>SUM(IF(C27=0,0,C27^-1),IF(C30=0,0,C30^-1))^-1</f>
        <v>2560307.7181252772</v>
      </c>
      <c r="D33" s="2" t="str">
        <f>IF($D$2="English","lbf/in","mN/m")</f>
        <v>lbf/in</v>
      </c>
    </row>
    <row r="34" spans="2:4" ht="15" customHeight="1" x14ac:dyDescent="0.25">
      <c r="B34" s="2"/>
      <c r="C34" s="19">
        <f>IF($D$2="English",C33*10^-6,C33*10^-9)</f>
        <v>2.5603077181252769</v>
      </c>
      <c r="D34" s="2" t="str">
        <f>IF($D$2="English","Mlbf/in","MN/m")</f>
        <v>Mlbf/in</v>
      </c>
    </row>
    <row r="150" spans="38:38" ht="15" customHeight="1" x14ac:dyDescent="0.25">
      <c r="AL150" s="6" t="s">
        <v>27</v>
      </c>
    </row>
  </sheetData>
  <mergeCells count="5">
    <mergeCell ref="Q4:T4"/>
    <mergeCell ref="V4:Y4"/>
    <mergeCell ref="AA4:AE4"/>
    <mergeCell ref="AG4:AK4"/>
    <mergeCell ref="D24:F25"/>
  </mergeCells>
  <conditionalFormatting sqref="C16:D16">
    <cfRule type="expression" dxfId="23" priority="6">
      <formula>$C$16&lt;&gt;$J$12</formula>
    </cfRule>
    <cfRule type="duplicateValues" dxfId="22" priority="7"/>
  </conditionalFormatting>
  <conditionalFormatting sqref="I6:N6">
    <cfRule type="expression" dxfId="21" priority="4">
      <formula>0=$J$6</formula>
    </cfRule>
  </conditionalFormatting>
  <conditionalFormatting sqref="I7:N7">
    <cfRule type="expression" dxfId="20" priority="5">
      <formula>0=$J$7</formula>
    </cfRule>
  </conditionalFormatting>
  <conditionalFormatting sqref="I8:N8">
    <cfRule type="expression" dxfId="19" priority="3">
      <formula>0=$J$8</formula>
    </cfRule>
  </conditionalFormatting>
  <conditionalFormatting sqref="I9:N9">
    <cfRule type="expression" dxfId="18" priority="2">
      <formula>0=$J$9</formula>
    </cfRule>
  </conditionalFormatting>
  <conditionalFormatting sqref="I10:N10">
    <cfRule type="expression" dxfId="17" priority="1">
      <formula>0=$J$10</formula>
    </cfRule>
  </conditionalFormatting>
  <conditionalFormatting sqref="J12:K13">
    <cfRule type="expression" dxfId="16" priority="8">
      <formula>$C$16&lt;&gt;$J$12</formula>
    </cfRule>
  </conditionalFormatting>
  <dataValidations count="2">
    <dataValidation type="list" allowBlank="1" showInputMessage="1" showErrorMessage="1" sqref="C14" xr:uid="{600ADC0C-DDCE-4B8D-AE54-D70642783A0F}">
      <formula1>"UNC, UNF"</formula1>
    </dataValidation>
    <dataValidation type="list" allowBlank="1" showInputMessage="1" showErrorMessage="1" sqref="D2" xr:uid="{45F669AC-AC31-4E84-AD1A-36BBAF9A83DC}">
      <formula1>"English, Metric"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5E07-630D-4AD0-A1D6-06D77841A1B1}">
  <sheetPr>
    <tabColor rgb="FF00B0F0"/>
  </sheetPr>
  <dimension ref="B2:AL150"/>
  <sheetViews>
    <sheetView zoomScaleNormal="100" workbookViewId="0">
      <selection activeCell="K32" sqref="K32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3" style="6" customWidth="1"/>
    <col min="4" max="4" width="10.140625" style="6" customWidth="1"/>
    <col min="5" max="5" width="17.4257812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" width="8.85546875" style="6"/>
    <col min="17" max="17" width="16.85546875" style="6" bestFit="1" customWidth="1"/>
    <col min="18" max="18" width="7.5703125" style="6" bestFit="1" customWidth="1"/>
    <col min="19" max="19" width="15.140625" style="6" customWidth="1"/>
    <col min="20" max="20" width="15.85546875" style="6" customWidth="1"/>
    <col min="21" max="21" width="8.85546875" style="6"/>
    <col min="22" max="22" width="16.85546875" style="6" bestFit="1" customWidth="1"/>
    <col min="23" max="23" width="7.5703125" style="6" bestFit="1" customWidth="1"/>
    <col min="24" max="24" width="15.140625" style="6" customWidth="1"/>
    <col min="25" max="25" width="15.85546875" style="6" customWidth="1"/>
    <col min="26" max="26" width="8.85546875" style="6"/>
    <col min="27" max="28" width="16.85546875" style="6" bestFit="1" customWidth="1"/>
    <col min="29" max="29" width="12" style="6" bestFit="1" customWidth="1"/>
    <col min="30" max="30" width="15.140625" style="6" customWidth="1"/>
    <col min="31" max="31" width="15.85546875" style="6" customWidth="1"/>
    <col min="32" max="32" width="8.85546875" style="6"/>
    <col min="33" max="34" width="16.85546875" style="6" bestFit="1" customWidth="1"/>
    <col min="35" max="35" width="12" style="6" bestFit="1" customWidth="1"/>
    <col min="36" max="36" width="15.140625" style="6" customWidth="1"/>
    <col min="37" max="37" width="15.85546875" style="6" customWidth="1"/>
    <col min="38" max="16384" width="8.85546875" style="6"/>
  </cols>
  <sheetData>
    <row r="2" spans="2:37" ht="15" customHeight="1" thickBot="1" x14ac:dyDescent="0.3">
      <c r="B2" s="3" t="s">
        <v>0</v>
      </c>
      <c r="C2" s="4" t="s">
        <v>18</v>
      </c>
      <c r="D2" s="5" t="s">
        <v>2</v>
      </c>
      <c r="I2" s="7" t="s">
        <v>1</v>
      </c>
      <c r="J2" s="2"/>
      <c r="K2" s="2"/>
      <c r="L2" s="2"/>
      <c r="M2" s="2"/>
      <c r="N2" s="2"/>
      <c r="Q2" s="6" t="s">
        <v>55</v>
      </c>
      <c r="AA2" s="6" t="s">
        <v>56</v>
      </c>
    </row>
    <row r="3" spans="2:37" ht="15" customHeight="1" x14ac:dyDescent="0.25">
      <c r="Q3" s="38"/>
      <c r="R3" s="39"/>
      <c r="S3" s="39"/>
      <c r="T3" s="39"/>
      <c r="U3" s="40" t="s">
        <v>37</v>
      </c>
      <c r="V3" s="39"/>
      <c r="W3" s="39"/>
      <c r="X3" s="39"/>
      <c r="Y3" s="41"/>
      <c r="AA3" s="38"/>
      <c r="AB3" s="39"/>
      <c r="AC3" s="39"/>
      <c r="AD3" s="39"/>
      <c r="AE3" s="39"/>
      <c r="AF3" s="40" t="s">
        <v>2</v>
      </c>
      <c r="AG3" s="39"/>
      <c r="AH3" s="39"/>
      <c r="AI3" s="39"/>
      <c r="AJ3" s="39"/>
      <c r="AK3" s="41"/>
    </row>
    <row r="4" spans="2:37" ht="15" customHeight="1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  <c r="Q4" s="58" t="s">
        <v>46</v>
      </c>
      <c r="R4" s="59"/>
      <c r="S4" s="59"/>
      <c r="T4" s="59"/>
      <c r="V4" s="59" t="s">
        <v>47</v>
      </c>
      <c r="W4" s="59"/>
      <c r="X4" s="59"/>
      <c r="Y4" s="60"/>
      <c r="AA4" s="58" t="s">
        <v>46</v>
      </c>
      <c r="AB4" s="59"/>
      <c r="AC4" s="59"/>
      <c r="AD4" s="59"/>
      <c r="AE4" s="59"/>
      <c r="AG4" s="59" t="s">
        <v>47</v>
      </c>
      <c r="AH4" s="59"/>
      <c r="AI4" s="59"/>
      <c r="AJ4" s="59"/>
      <c r="AK4" s="60"/>
    </row>
    <row r="5" spans="2:37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[in]</v>
      </c>
      <c r="K5" s="15" t="str">
        <f>_xlfn.CONCAT("D ", "[",D13,"]")</f>
        <v>D [in]</v>
      </c>
      <c r="L5" s="15" t="str">
        <f>_xlfn.CONCAT("E ", "[",G6,"]")</f>
        <v>E [psi]</v>
      </c>
      <c r="M5" s="15" t="str">
        <f>_xlfn.CONCAT("k ", "[",D33,"]")</f>
        <v>k [lbf/in]</v>
      </c>
      <c r="N5" s="15" t="s">
        <v>21</v>
      </c>
      <c r="Q5" s="42" t="s">
        <v>44</v>
      </c>
      <c r="R5" s="33" t="s">
        <v>43</v>
      </c>
      <c r="S5" s="33" t="s">
        <v>42</v>
      </c>
      <c r="T5" s="34" t="s">
        <v>45</v>
      </c>
      <c r="V5" s="32" t="s">
        <v>44</v>
      </c>
      <c r="W5" s="33" t="s">
        <v>43</v>
      </c>
      <c r="X5" s="33" t="s">
        <v>42</v>
      </c>
      <c r="Y5" s="43" t="s">
        <v>45</v>
      </c>
      <c r="AA5" s="42" t="s">
        <v>48</v>
      </c>
      <c r="AB5" s="32" t="s">
        <v>49</v>
      </c>
      <c r="AC5" s="33" t="s">
        <v>50</v>
      </c>
      <c r="AD5" s="33" t="s">
        <v>51</v>
      </c>
      <c r="AE5" s="34" t="s">
        <v>52</v>
      </c>
      <c r="AG5" s="32" t="s">
        <v>48</v>
      </c>
      <c r="AH5" s="32" t="s">
        <v>49</v>
      </c>
      <c r="AI5" s="33" t="s">
        <v>50</v>
      </c>
      <c r="AJ5" s="33" t="s">
        <v>51</v>
      </c>
      <c r="AK5" s="43" t="s">
        <v>52</v>
      </c>
    </row>
    <row r="6" spans="2:37" ht="15" customHeight="1" x14ac:dyDescent="0.25">
      <c r="B6" s="1" t="s">
        <v>29</v>
      </c>
      <c r="C6" s="1">
        <v>6.5000000000000002E-2</v>
      </c>
      <c r="D6" s="1" t="str">
        <f>IF($D$2="English","in", "mm")</f>
        <v>in</v>
      </c>
      <c r="E6" s="13" t="s">
        <v>12</v>
      </c>
      <c r="F6" s="22">
        <f>30*10^6</f>
        <v>30000000</v>
      </c>
      <c r="G6" s="1" t="str">
        <f t="shared" ref="G6:G9" si="0">IF($D$2="English","psi","Pa")</f>
        <v>psi</v>
      </c>
      <c r="I6" s="16">
        <v>1</v>
      </c>
      <c r="J6" s="2">
        <f>C6</f>
        <v>6.5000000000000002E-2</v>
      </c>
      <c r="K6" s="2">
        <f>1.5*C13</f>
        <v>0.375</v>
      </c>
      <c r="L6" s="23">
        <f>F6</f>
        <v>30000000</v>
      </c>
      <c r="M6" s="23">
        <f>IF(J6=0,0,(PI()*L6*$C$13*TAN(RADIANS($C$5)))/LN(((2*J6*TAN(RADIANS($C$5))+K6-$C$13)*(K6+$C$13))/((2*J6*TAN(RADIANS($C$5))+K6+$C$13)*(K6-$C$13))))</f>
        <v>38118562.585803673</v>
      </c>
      <c r="N6" s="23">
        <f>IF(M6=0,0,M6^-1)</f>
        <v>2.6233937802587171E-8</v>
      </c>
      <c r="Q6" s="44">
        <v>1.6</v>
      </c>
      <c r="R6" s="30">
        <v>0.35</v>
      </c>
      <c r="S6" s="30">
        <v>1.27</v>
      </c>
      <c r="T6" s="31">
        <v>1.07</v>
      </c>
      <c r="V6" s="29">
        <v>1.6</v>
      </c>
      <c r="W6" s="30" t="e">
        <f>NA()</f>
        <v>#N/A</v>
      </c>
      <c r="X6" s="30" t="e">
        <f>NA()</f>
        <v>#N/A</v>
      </c>
      <c r="Y6" s="30" t="e">
        <f>NA()</f>
        <v>#N/A</v>
      </c>
      <c r="AA6" s="51">
        <f>0</f>
        <v>0</v>
      </c>
      <c r="AB6" s="29">
        <v>0.06</v>
      </c>
      <c r="AC6" s="30" t="e">
        <f>NA()</f>
        <v>#N/A</v>
      </c>
      <c r="AD6" s="30" t="e">
        <f>NA()</f>
        <v>#N/A</v>
      </c>
      <c r="AE6" s="31" t="e">
        <f>NA()</f>
        <v>#N/A</v>
      </c>
      <c r="AG6" s="37">
        <f>0</f>
        <v>0</v>
      </c>
      <c r="AH6" s="29">
        <v>0.06</v>
      </c>
      <c r="AI6" s="30">
        <v>80</v>
      </c>
      <c r="AJ6" s="30">
        <v>1.8E-3</v>
      </c>
      <c r="AK6" s="45">
        <v>1.5100000000000001E-3</v>
      </c>
    </row>
    <row r="7" spans="2:37" ht="15" customHeight="1" x14ac:dyDescent="0.25">
      <c r="B7" s="1" t="s">
        <v>30</v>
      </c>
      <c r="C7" s="1">
        <v>0.25</v>
      </c>
      <c r="D7" s="1" t="str">
        <f t="shared" ref="D7:D9" si="1">IF($D$2="English","in", "mm")</f>
        <v>in</v>
      </c>
      <c r="E7" s="13" t="s">
        <v>13</v>
      </c>
      <c r="F7" s="22">
        <f>30*10^6</f>
        <v>30000000</v>
      </c>
      <c r="G7" s="1" t="str">
        <f t="shared" si="0"/>
        <v>psi</v>
      </c>
      <c r="I7" s="16">
        <v>2</v>
      </c>
      <c r="J7" s="2">
        <f>IF(C6+C7&lt;J14,C7,J14-C6)</f>
        <v>0.25</v>
      </c>
      <c r="K7" s="18">
        <f>K6+2*J6*TAN(RADIANS($C$5))</f>
        <v>0.45005553499465134</v>
      </c>
      <c r="L7" s="23">
        <f>F7</f>
        <v>30000000</v>
      </c>
      <c r="M7" s="23">
        <f>IF(J7=0,0,(PI()*L7*$C$13*TAN(RADIANS($C$5)))/LN(((2*J7*TAN(RADIANS($C$5))+K7-$C$13)*(K7+$C$13))/((2*J7*TAN(RADIANS($C$5))+K7+$C$13)*(K7-$C$13))))</f>
        <v>24825968.747313645</v>
      </c>
      <c r="N7" s="23">
        <f t="shared" ref="N7:N10" si="2">IF(M7=0,0,M7^-1)</f>
        <v>4.0280401952419582E-8</v>
      </c>
      <c r="Q7" s="44">
        <v>2</v>
      </c>
      <c r="R7" s="30">
        <v>0.4</v>
      </c>
      <c r="S7" s="30">
        <v>2.0699999999999998</v>
      </c>
      <c r="T7" s="31">
        <v>1.79</v>
      </c>
      <c r="V7" s="29">
        <v>2</v>
      </c>
      <c r="W7" s="30" t="e">
        <f>NA()</f>
        <v>#N/A</v>
      </c>
      <c r="X7" s="30" t="e">
        <f>NA()</f>
        <v>#N/A</v>
      </c>
      <c r="Y7" s="30" t="e">
        <f>NA()</f>
        <v>#N/A</v>
      </c>
      <c r="AA7" s="51">
        <f>1</f>
        <v>1</v>
      </c>
      <c r="AB7" s="29">
        <v>7.2999999999999995E-2</v>
      </c>
      <c r="AC7" s="30">
        <v>64</v>
      </c>
      <c r="AD7" s="30">
        <v>2.63E-3</v>
      </c>
      <c r="AE7" s="31">
        <v>2.1800000000000001E-3</v>
      </c>
      <c r="AG7" s="37">
        <f>1</f>
        <v>1</v>
      </c>
      <c r="AH7" s="29">
        <v>7.2999999999999995E-2</v>
      </c>
      <c r="AI7" s="30">
        <v>72</v>
      </c>
      <c r="AJ7" s="30">
        <v>2.7799999999999999E-3</v>
      </c>
      <c r="AK7" s="45">
        <v>2.3700000000000001E-3</v>
      </c>
    </row>
    <row r="8" spans="2:37" ht="15" customHeight="1" x14ac:dyDescent="0.25">
      <c r="B8" s="1" t="s">
        <v>31</v>
      </c>
      <c r="C8" s="1">
        <v>0.75</v>
      </c>
      <c r="D8" s="1" t="str">
        <f t="shared" si="1"/>
        <v>in</v>
      </c>
      <c r="E8" s="13" t="s">
        <v>15</v>
      </c>
      <c r="F8" s="22">
        <f>10.4*10^6</f>
        <v>10400000</v>
      </c>
      <c r="G8" s="1" t="str">
        <f t="shared" si="0"/>
        <v>psi</v>
      </c>
      <c r="I8" s="16">
        <v>3</v>
      </c>
      <c r="J8" s="2">
        <f>IF(C6+C7&lt;J14,J14-C7-C6,C6+C7-J14)</f>
        <v>0.24999999999999994</v>
      </c>
      <c r="K8" s="18">
        <f>IF(J6+J7&lt;J14,K7+2*J7*TAN(RADIANS($C$5)),K7+2*J7*TAN(RADIANS($C$5))-2*J8*TAN(RADIANS($C$5)))</f>
        <v>0.73873066958946421</v>
      </c>
      <c r="L8" s="23">
        <f>IF(J6+J7&lt;J14,F8,F7)</f>
        <v>10400000</v>
      </c>
      <c r="M8" s="23">
        <f>IF(J8=0,0,(PI()*L8*$C$13*TAN(RADIANS($C$5)))/LN(((2*J8*TAN(RADIANS($C$5))+K8-$C$13)*(K8+$C$13))/((2*J8*TAN(RADIANS($C$5))+K8+$C$13)*(K8-$C$13))))</f>
        <v>22673984.567186534</v>
      </c>
      <c r="N8" s="23">
        <f t="shared" si="2"/>
        <v>4.410340833728826E-8</v>
      </c>
      <c r="Q8" s="44">
        <v>2.5</v>
      </c>
      <c r="R8" s="30">
        <v>0.45</v>
      </c>
      <c r="S8" s="30">
        <v>3.39</v>
      </c>
      <c r="T8" s="31">
        <v>2.98</v>
      </c>
      <c r="V8" s="29">
        <v>2.5</v>
      </c>
      <c r="W8" s="30" t="e">
        <f>NA()</f>
        <v>#N/A</v>
      </c>
      <c r="X8" s="30" t="e">
        <f>NA()</f>
        <v>#N/A</v>
      </c>
      <c r="Y8" s="30" t="e">
        <f>NA()</f>
        <v>#N/A</v>
      </c>
      <c r="AA8" s="51">
        <f>2</f>
        <v>2</v>
      </c>
      <c r="AB8" s="29">
        <v>8.5999999999999993E-2</v>
      </c>
      <c r="AC8" s="30">
        <v>56</v>
      </c>
      <c r="AD8" s="30">
        <v>3.7000000000000002E-3</v>
      </c>
      <c r="AE8" s="31">
        <v>3.0999999999999999E-3</v>
      </c>
      <c r="AG8" s="37">
        <f>2</f>
        <v>2</v>
      </c>
      <c r="AH8" s="29">
        <v>8.5999999999999993E-2</v>
      </c>
      <c r="AI8" s="30">
        <v>64</v>
      </c>
      <c r="AJ8" s="30">
        <v>3.9399999999999999E-3</v>
      </c>
      <c r="AK8" s="45">
        <v>3.3899999999999998E-3</v>
      </c>
    </row>
    <row r="9" spans="2:37" ht="15" customHeight="1" x14ac:dyDescent="0.25">
      <c r="B9" s="1" t="s">
        <v>28</v>
      </c>
      <c r="C9" s="1">
        <v>6.5000000000000002E-2</v>
      </c>
      <c r="D9" s="1" t="str">
        <f t="shared" si="1"/>
        <v>in</v>
      </c>
      <c r="E9" s="13" t="s">
        <v>14</v>
      </c>
      <c r="F9" s="22">
        <f>30*10^6</f>
        <v>30000000</v>
      </c>
      <c r="G9" s="1" t="str">
        <f t="shared" si="0"/>
        <v>psi</v>
      </c>
      <c r="I9" s="16">
        <v>4</v>
      </c>
      <c r="J9" s="2">
        <f>C16-SUM(J6:J8)-J10</f>
        <v>0.49999999999999994</v>
      </c>
      <c r="K9" s="18">
        <f>K10+2*J10*TAN(RADIANS($C$5))</f>
        <v>0.45005553499465134</v>
      </c>
      <c r="L9" s="23">
        <f>F8</f>
        <v>10400000</v>
      </c>
      <c r="M9" s="23">
        <f>IF(J9=0,0,(PI()*L9*$C$13*TAN(RADIANS($C$5)))/LN(((2*J9*TAN(RADIANS($C$5))+K9-$C$13)*(K9+$C$13))/((2*J9*TAN(RADIANS($C$5))+K9+$C$13)*(K9-$C$13))))</f>
        <v>6238424.7779787909</v>
      </c>
      <c r="N9" s="23">
        <f t="shared" si="2"/>
        <v>1.602968755077293E-7</v>
      </c>
      <c r="Q9" s="44">
        <v>3</v>
      </c>
      <c r="R9" s="30">
        <v>0.5</v>
      </c>
      <c r="S9" s="30">
        <v>5.03</v>
      </c>
      <c r="T9" s="31">
        <v>4.47</v>
      </c>
      <c r="V9" s="29">
        <v>3</v>
      </c>
      <c r="W9" s="30" t="e">
        <f>NA()</f>
        <v>#N/A</v>
      </c>
      <c r="X9" s="30" t="e">
        <f>NA()</f>
        <v>#N/A</v>
      </c>
      <c r="Y9" s="30" t="e">
        <f>NA()</f>
        <v>#N/A</v>
      </c>
      <c r="AA9" s="51">
        <f>3</f>
        <v>3</v>
      </c>
      <c r="AB9" s="29">
        <v>9.9000000000000005E-2</v>
      </c>
      <c r="AC9" s="30">
        <v>48</v>
      </c>
      <c r="AD9" s="30">
        <v>4.8700000000000002E-3</v>
      </c>
      <c r="AE9" s="31">
        <v>4.0600000000000002E-3</v>
      </c>
      <c r="AG9" s="37">
        <f>3</f>
        <v>3</v>
      </c>
      <c r="AH9" s="29">
        <v>9.9000000000000005E-2</v>
      </c>
      <c r="AI9" s="30">
        <v>56</v>
      </c>
      <c r="AJ9" s="30">
        <v>5.2300000000000003E-3</v>
      </c>
      <c r="AK9" s="45">
        <v>4.5100000000000001E-3</v>
      </c>
    </row>
    <row r="10" spans="2:37" ht="15" customHeight="1" x14ac:dyDescent="0.25">
      <c r="I10" s="16">
        <v>5</v>
      </c>
      <c r="J10" s="2">
        <f>C9</f>
        <v>6.5000000000000002E-2</v>
      </c>
      <c r="K10" s="2">
        <f>1.5*C13</f>
        <v>0.375</v>
      </c>
      <c r="L10" s="23">
        <f>F9</f>
        <v>30000000</v>
      </c>
      <c r="M10" s="23">
        <f>IF(J10=0,0,(PI()*L10*$C$13*TAN(RADIANS($C$5)))/LN(((2*J10*TAN(RADIANS($C$5))+K10-$C$13)*(K10+$C$13))/((2*J10*TAN(RADIANS($C$5))+K10+$C$13)*(K10-$C$13))))</f>
        <v>38118562.585803673</v>
      </c>
      <c r="N10" s="23">
        <f t="shared" si="2"/>
        <v>2.6233937802587171E-8</v>
      </c>
      <c r="Q10" s="44">
        <v>3.5</v>
      </c>
      <c r="R10" s="30">
        <v>0.6</v>
      </c>
      <c r="S10" s="30">
        <v>6.78</v>
      </c>
      <c r="T10" s="31">
        <v>6</v>
      </c>
      <c r="V10" s="29">
        <v>3.5</v>
      </c>
      <c r="W10" s="30" t="e">
        <f>NA()</f>
        <v>#N/A</v>
      </c>
      <c r="X10" s="30" t="e">
        <f>NA()</f>
        <v>#N/A</v>
      </c>
      <c r="Y10" s="30" t="e">
        <f>NA()</f>
        <v>#N/A</v>
      </c>
      <c r="AA10" s="51">
        <f>4</f>
        <v>4</v>
      </c>
      <c r="AB10" s="29">
        <v>0.112</v>
      </c>
      <c r="AC10" s="30">
        <v>40</v>
      </c>
      <c r="AD10" s="30">
        <v>6.0400000000000002E-3</v>
      </c>
      <c r="AE10" s="31">
        <v>4.96E-3</v>
      </c>
      <c r="AG10" s="37">
        <f>4</f>
        <v>4</v>
      </c>
      <c r="AH10" s="29">
        <v>0.112</v>
      </c>
      <c r="AI10" s="30">
        <v>48</v>
      </c>
      <c r="AJ10" s="30">
        <v>6.6100000000000004E-3</v>
      </c>
      <c r="AK10" s="45">
        <v>5.6600000000000001E-3</v>
      </c>
    </row>
    <row r="11" spans="2:37" ht="15" customHeight="1" x14ac:dyDescent="0.25">
      <c r="B11" s="8" t="s">
        <v>16</v>
      </c>
      <c r="C11" s="36" t="str">
        <f>IF($D$2="English",_xlfn.CONCAT(TEXT(C13, "# ?/?"),"""-",C22,"-", C15, " ",C14),_xlfn.CONCAT("M",C13,"-", C22,"-", C15," ",C14))</f>
        <v xml:space="preserve"> 1/4"-20-1.5 UNC</v>
      </c>
      <c r="D11" s="8"/>
      <c r="Q11" s="44">
        <v>4</v>
      </c>
      <c r="R11" s="30">
        <v>0.7</v>
      </c>
      <c r="S11" s="30">
        <v>8.7799999999999994</v>
      </c>
      <c r="T11" s="31">
        <v>7.75</v>
      </c>
      <c r="V11" s="29">
        <v>4</v>
      </c>
      <c r="W11" s="30" t="e">
        <f>NA()</f>
        <v>#N/A</v>
      </c>
      <c r="X11" s="30" t="e">
        <f>NA()</f>
        <v>#N/A</v>
      </c>
      <c r="Y11" s="30" t="e">
        <f>NA()</f>
        <v>#N/A</v>
      </c>
      <c r="AA11" s="51">
        <f>5</f>
        <v>5</v>
      </c>
      <c r="AB11" s="29">
        <v>0.125</v>
      </c>
      <c r="AC11" s="30">
        <v>40</v>
      </c>
      <c r="AD11" s="30">
        <v>7.9600000000000001E-3</v>
      </c>
      <c r="AE11" s="31">
        <v>6.7200000000000003E-3</v>
      </c>
      <c r="AG11" s="37">
        <f>5</f>
        <v>5</v>
      </c>
      <c r="AH11" s="29">
        <v>0.125</v>
      </c>
      <c r="AI11" s="30">
        <v>44</v>
      </c>
      <c r="AJ11" s="30">
        <v>8.8000000000000005E-3</v>
      </c>
      <c r="AK11" s="45">
        <v>7.1599999999999997E-3</v>
      </c>
    </row>
    <row r="12" spans="2:37" ht="15" customHeight="1" x14ac:dyDescent="0.25">
      <c r="B12" s="1" t="s">
        <v>53</v>
      </c>
      <c r="C12" s="22">
        <f>30*10^6</f>
        <v>30000000</v>
      </c>
      <c r="D12" s="1" t="str">
        <f>IF($D$2="English","psi","Pa")</f>
        <v>psi</v>
      </c>
      <c r="I12" s="25" t="s">
        <v>34</v>
      </c>
      <c r="J12" s="25">
        <f>SUM(J6:J10)</f>
        <v>1.1299999999999999</v>
      </c>
      <c r="K12" s="25" t="str">
        <f>IF($D$2="English","in", "mm")</f>
        <v>in</v>
      </c>
      <c r="Q12" s="44">
        <v>5</v>
      </c>
      <c r="R12" s="30">
        <v>0.8</v>
      </c>
      <c r="S12" s="30">
        <v>14.2</v>
      </c>
      <c r="T12" s="31">
        <v>12.7</v>
      </c>
      <c r="V12" s="29">
        <v>5</v>
      </c>
      <c r="W12" s="30" t="e">
        <f>NA()</f>
        <v>#N/A</v>
      </c>
      <c r="X12" s="30" t="e">
        <f>NA()</f>
        <v>#N/A</v>
      </c>
      <c r="Y12" s="30" t="e">
        <f>NA()</f>
        <v>#N/A</v>
      </c>
      <c r="AA12" s="51">
        <f>6</f>
        <v>6</v>
      </c>
      <c r="AB12" s="29">
        <v>0.13800000000000001</v>
      </c>
      <c r="AC12" s="30">
        <v>32</v>
      </c>
      <c r="AD12" s="30">
        <v>9.0900000000000009E-3</v>
      </c>
      <c r="AE12" s="31">
        <v>7.45E-3</v>
      </c>
      <c r="AG12" s="37">
        <f>6</f>
        <v>6</v>
      </c>
      <c r="AH12" s="29">
        <v>0.13800000000000001</v>
      </c>
      <c r="AI12" s="30">
        <v>40</v>
      </c>
      <c r="AJ12" s="30">
        <v>1.0149999999999999E-2</v>
      </c>
      <c r="AK12" s="45">
        <v>8.7399999999999995E-3</v>
      </c>
    </row>
    <row r="13" spans="2:37" ht="15" customHeight="1" x14ac:dyDescent="0.25">
      <c r="B13" s="1" t="s">
        <v>4</v>
      </c>
      <c r="C13" s="17">
        <v>0.25</v>
      </c>
      <c r="D13" s="1" t="str">
        <f t="shared" ref="D13" si="3">IF($D$2="English","in", "mm")</f>
        <v>in</v>
      </c>
      <c r="I13" s="25" t="s">
        <v>23</v>
      </c>
      <c r="J13" s="25">
        <f>C16</f>
        <v>1.1299999999999999</v>
      </c>
      <c r="K13" s="25" t="str">
        <f>IF($D$2="English","in", "mm")</f>
        <v>in</v>
      </c>
      <c r="Q13" s="44">
        <v>6</v>
      </c>
      <c r="R13" s="30">
        <v>1</v>
      </c>
      <c r="S13" s="30">
        <v>20.100000000000001</v>
      </c>
      <c r="T13" s="31">
        <v>17.899999999999999</v>
      </c>
      <c r="V13" s="29">
        <v>6</v>
      </c>
      <c r="W13" s="30" t="e">
        <f>NA()</f>
        <v>#N/A</v>
      </c>
      <c r="X13" s="30" t="e">
        <f>NA()</f>
        <v>#N/A</v>
      </c>
      <c r="Y13" s="30" t="e">
        <f>NA()</f>
        <v>#N/A</v>
      </c>
      <c r="AA13" s="51">
        <f>8</f>
        <v>8</v>
      </c>
      <c r="AB13" s="29">
        <v>0.16400000000000001</v>
      </c>
      <c r="AC13" s="30">
        <v>32</v>
      </c>
      <c r="AD13" s="30">
        <v>1.4E-2</v>
      </c>
      <c r="AE13" s="31">
        <v>1.196E-2</v>
      </c>
      <c r="AG13" s="37">
        <f>8</f>
        <v>8</v>
      </c>
      <c r="AH13" s="29">
        <v>0.16400000000000001</v>
      </c>
      <c r="AI13" s="30">
        <v>36</v>
      </c>
      <c r="AJ13" s="30">
        <v>1.474E-2</v>
      </c>
      <c r="AK13" s="45">
        <v>1.285E-2</v>
      </c>
    </row>
    <row r="14" spans="2:37" ht="15" customHeight="1" x14ac:dyDescent="0.25">
      <c r="B14" s="1" t="s">
        <v>54</v>
      </c>
      <c r="C14" s="35" t="s">
        <v>46</v>
      </c>
      <c r="D14" s="1"/>
      <c r="I14" s="25" t="s">
        <v>24</v>
      </c>
      <c r="J14" s="25">
        <f>C16/2</f>
        <v>0.56499999999999995</v>
      </c>
      <c r="K14" s="25" t="str">
        <f t="shared" ref="K14" si="4">IF($D$2="English","in", "mm")</f>
        <v>in</v>
      </c>
      <c r="Q14" s="44">
        <v>8</v>
      </c>
      <c r="R14" s="30">
        <v>1.25</v>
      </c>
      <c r="S14" s="30">
        <v>36.6</v>
      </c>
      <c r="T14" s="31">
        <v>32.799999999999997</v>
      </c>
      <c r="V14" s="29">
        <v>8</v>
      </c>
      <c r="W14" s="30">
        <v>1</v>
      </c>
      <c r="X14" s="30">
        <v>39.200000000000003</v>
      </c>
      <c r="Y14" s="45">
        <v>36</v>
      </c>
      <c r="AA14" s="51">
        <f>10</f>
        <v>10</v>
      </c>
      <c r="AB14" s="29">
        <v>0.19</v>
      </c>
      <c r="AC14" s="30">
        <v>24</v>
      </c>
      <c r="AD14" s="30">
        <v>1.7500000000000002E-2</v>
      </c>
      <c r="AE14" s="31">
        <v>1.4500000000000001E-2</v>
      </c>
      <c r="AG14" s="37">
        <f>10</f>
        <v>10</v>
      </c>
      <c r="AH14" s="29">
        <v>0.19</v>
      </c>
      <c r="AI14" s="30">
        <v>32</v>
      </c>
      <c r="AJ14" s="30">
        <v>0.02</v>
      </c>
      <c r="AK14" s="45">
        <v>1.7500000000000002E-2</v>
      </c>
    </row>
    <row r="15" spans="2:37" ht="15" customHeight="1" x14ac:dyDescent="0.25">
      <c r="B15" s="1" t="s">
        <v>5</v>
      </c>
      <c r="C15" s="1">
        <v>1.5</v>
      </c>
      <c r="D15" s="1" t="str">
        <f t="shared" ref="D15" si="5">IF($D$2="English","in", "mm")</f>
        <v>in</v>
      </c>
      <c r="Q15" s="44">
        <v>10</v>
      </c>
      <c r="R15" s="30">
        <v>1.5</v>
      </c>
      <c r="S15" s="30">
        <v>58</v>
      </c>
      <c r="T15" s="31">
        <v>52.3</v>
      </c>
      <c r="V15" s="29">
        <v>10</v>
      </c>
      <c r="W15" s="30">
        <v>1.25</v>
      </c>
      <c r="X15" s="30">
        <v>61.2</v>
      </c>
      <c r="Y15" s="45">
        <v>56.3</v>
      </c>
      <c r="AA15" s="51">
        <f>12</f>
        <v>12</v>
      </c>
      <c r="AB15" s="29">
        <v>0.216</v>
      </c>
      <c r="AC15" s="30">
        <v>24</v>
      </c>
      <c r="AD15" s="30">
        <v>2.4199999999999999E-2</v>
      </c>
      <c r="AE15" s="31">
        <v>2.06E-2</v>
      </c>
      <c r="AG15" s="37">
        <f>12</f>
        <v>12</v>
      </c>
      <c r="AH15" s="29">
        <v>0.216</v>
      </c>
      <c r="AI15" s="30">
        <v>28</v>
      </c>
      <c r="AJ15" s="30">
        <v>2.58E-2</v>
      </c>
      <c r="AK15" s="45">
        <v>2.2599999999999999E-2</v>
      </c>
    </row>
    <row r="16" spans="2:37" ht="15" customHeight="1" x14ac:dyDescent="0.25">
      <c r="B16" s="2" t="s">
        <v>23</v>
      </c>
      <c r="C16" s="2">
        <f>IF(C25,SUM(C6:C8)+C9,IF(C13&lt;=C8, C6+C7+(C13/2), C6+C7+(C8/2)))</f>
        <v>1.1299999999999999</v>
      </c>
      <c r="D16" s="2" t="str">
        <f>IF($D$2="English","in", "mm")</f>
        <v>in</v>
      </c>
      <c r="I16" s="2" t="s">
        <v>35</v>
      </c>
      <c r="J16" s="24">
        <f>SUM(N6:N10)^-1</f>
        <v>3365320.0112420656</v>
      </c>
      <c r="K16" s="2" t="str">
        <f>IF($D$2="English","lbf/in","mN/m")</f>
        <v>lbf/in</v>
      </c>
      <c r="Q16" s="44">
        <v>12</v>
      </c>
      <c r="R16" s="30">
        <v>1.75</v>
      </c>
      <c r="S16" s="30">
        <v>84.3</v>
      </c>
      <c r="T16" s="31">
        <v>76.3</v>
      </c>
      <c r="V16" s="29">
        <v>12</v>
      </c>
      <c r="W16" s="30">
        <v>1.25</v>
      </c>
      <c r="X16" s="30">
        <v>92.1</v>
      </c>
      <c r="Y16" s="45">
        <v>86</v>
      </c>
      <c r="AA16" s="51">
        <f>1/4</f>
        <v>0.25</v>
      </c>
      <c r="AB16" s="29">
        <v>0.25</v>
      </c>
      <c r="AC16" s="30">
        <v>20</v>
      </c>
      <c r="AD16" s="30">
        <v>3.1800000000000002E-2</v>
      </c>
      <c r="AE16" s="31">
        <v>2.69E-2</v>
      </c>
      <c r="AG16" s="37">
        <f>1/4</f>
        <v>0.25</v>
      </c>
      <c r="AH16" s="29">
        <v>0.25</v>
      </c>
      <c r="AI16" s="30">
        <v>28</v>
      </c>
      <c r="AJ16" s="30">
        <v>3.6400000000000002E-2</v>
      </c>
      <c r="AK16" s="45">
        <v>3.2599999999999997E-2</v>
      </c>
    </row>
    <row r="17" spans="2:37" ht="15" customHeight="1" x14ac:dyDescent="0.25">
      <c r="B17" s="2" t="s">
        <v>22</v>
      </c>
      <c r="C17" s="2">
        <f>IF(F17,C15,IF($D$2="English",IF(C15&lt;=6, 2*C13+0.25, 2*C13+0.5),IF(AND(C15&lt;=125,C13&lt;=48),2*C13+6,IF(C15&lt;=200,2*C13+12,2*C13+25))))</f>
        <v>0.75</v>
      </c>
      <c r="D17" s="2" t="str">
        <f t="shared" ref="D17" si="6">IF($D$2="English","in", "mm")</f>
        <v>in</v>
      </c>
      <c r="E17" s="1" t="s">
        <v>38</v>
      </c>
      <c r="F17" s="20" t="b">
        <v>0</v>
      </c>
      <c r="I17" s="2"/>
      <c r="J17" s="19">
        <f>IF($D$2="English",J16*10^-6,J16*10^-9)</f>
        <v>3.3653200112420656</v>
      </c>
      <c r="K17" s="2" t="str">
        <f>IF($D$2="English","Mlbf/in","MN/m")</f>
        <v>Mlbf/in</v>
      </c>
      <c r="Q17" s="44">
        <v>14</v>
      </c>
      <c r="R17" s="30">
        <v>2</v>
      </c>
      <c r="S17" s="30">
        <v>115</v>
      </c>
      <c r="T17" s="31">
        <v>104</v>
      </c>
      <c r="V17" s="29">
        <v>14</v>
      </c>
      <c r="W17" s="30">
        <v>1.5</v>
      </c>
      <c r="X17" s="30">
        <v>125</v>
      </c>
      <c r="Y17" s="45">
        <v>116</v>
      </c>
      <c r="AA17" s="51">
        <f>5/16</f>
        <v>0.3125</v>
      </c>
      <c r="AB17" s="29">
        <v>0.3125</v>
      </c>
      <c r="AC17" s="30">
        <v>18</v>
      </c>
      <c r="AD17" s="30">
        <v>5.2400000000000002E-2</v>
      </c>
      <c r="AE17" s="31">
        <v>4.5400000000000003E-2</v>
      </c>
      <c r="AG17" s="37">
        <f>5/16</f>
        <v>0.3125</v>
      </c>
      <c r="AH17" s="29">
        <v>0.3125</v>
      </c>
      <c r="AI17" s="30">
        <v>24</v>
      </c>
      <c r="AJ17" s="30">
        <v>5.8000000000000003E-2</v>
      </c>
      <c r="AK17" s="45">
        <v>5.2400000000000002E-2</v>
      </c>
    </row>
    <row r="18" spans="2:37" ht="15" customHeight="1" x14ac:dyDescent="0.25">
      <c r="B18" s="2" t="s">
        <v>25</v>
      </c>
      <c r="C18" s="2">
        <f>C15-C17</f>
        <v>0.75</v>
      </c>
      <c r="D18" s="2" t="str">
        <f>IF($D$2="English","in", "mm")</f>
        <v>in</v>
      </c>
      <c r="Q18" s="44">
        <v>16</v>
      </c>
      <c r="R18" s="30">
        <v>2</v>
      </c>
      <c r="S18" s="30">
        <v>157</v>
      </c>
      <c r="T18" s="31">
        <v>144</v>
      </c>
      <c r="V18" s="29">
        <v>16</v>
      </c>
      <c r="W18" s="30">
        <v>1.5</v>
      </c>
      <c r="X18" s="30">
        <v>167</v>
      </c>
      <c r="Y18" s="45">
        <v>157</v>
      </c>
      <c r="AA18" s="51">
        <f>3/8</f>
        <v>0.375</v>
      </c>
      <c r="AB18" s="29">
        <v>0.375</v>
      </c>
      <c r="AC18" s="30">
        <v>16</v>
      </c>
      <c r="AD18" s="30">
        <v>7.7499999999999999E-2</v>
      </c>
      <c r="AE18" s="31">
        <v>6.7799999999999999E-2</v>
      </c>
      <c r="AG18" s="37">
        <f>3/8</f>
        <v>0.375</v>
      </c>
      <c r="AH18" s="29">
        <v>0.375</v>
      </c>
      <c r="AI18" s="30">
        <v>24</v>
      </c>
      <c r="AJ18" s="30">
        <v>8.7800000000000003E-2</v>
      </c>
      <c r="AK18" s="45">
        <v>8.09E-2</v>
      </c>
    </row>
    <row r="19" spans="2:37" ht="15" customHeight="1" x14ac:dyDescent="0.25">
      <c r="B19" s="2" t="s">
        <v>26</v>
      </c>
      <c r="C19" s="2">
        <f>C16-C18</f>
        <v>0.37999999999999989</v>
      </c>
      <c r="D19" s="2" t="str">
        <f>IF($D$2="English","in", "mm")</f>
        <v>in</v>
      </c>
      <c r="I19" s="2" t="s">
        <v>57</v>
      </c>
      <c r="J19" s="28">
        <f>C33/(C33+J16)</f>
        <v>0.24664396066922542</v>
      </c>
      <c r="Q19" s="44">
        <v>20</v>
      </c>
      <c r="R19" s="30">
        <v>2.5</v>
      </c>
      <c r="S19" s="30">
        <v>245</v>
      </c>
      <c r="T19" s="31">
        <v>225</v>
      </c>
      <c r="V19" s="29">
        <v>20</v>
      </c>
      <c r="W19" s="30">
        <v>1.5</v>
      </c>
      <c r="X19" s="30">
        <v>272</v>
      </c>
      <c r="Y19" s="45">
        <v>259</v>
      </c>
      <c r="AA19" s="51">
        <f>7/16</f>
        <v>0.4375</v>
      </c>
      <c r="AB19" s="29">
        <v>0.4375</v>
      </c>
      <c r="AC19" s="30">
        <v>14</v>
      </c>
      <c r="AD19" s="30">
        <v>0.10630000000000001</v>
      </c>
      <c r="AE19" s="31">
        <v>9.3299999999999994E-2</v>
      </c>
      <c r="AG19" s="37">
        <f>7/16</f>
        <v>0.4375</v>
      </c>
      <c r="AH19" s="29">
        <v>0.4375</v>
      </c>
      <c r="AI19" s="30">
        <v>20</v>
      </c>
      <c r="AJ19" s="30">
        <v>0.1187</v>
      </c>
      <c r="AK19" s="45">
        <v>0.109</v>
      </c>
    </row>
    <row r="20" spans="2:37" ht="15" customHeight="1" x14ac:dyDescent="0.25">
      <c r="B20" s="2" t="s">
        <v>7</v>
      </c>
      <c r="C20" s="18">
        <f>(PI()*(C13^2))/4</f>
        <v>4.9087385212340517E-2</v>
      </c>
      <c r="D20" s="2" t="str">
        <f>IF($D$2="English","in^2","mm^2")</f>
        <v>in^2</v>
      </c>
      <c r="Q20" s="44">
        <v>24</v>
      </c>
      <c r="R20" s="30">
        <v>3</v>
      </c>
      <c r="S20" s="30">
        <v>353</v>
      </c>
      <c r="T20" s="31">
        <v>324</v>
      </c>
      <c r="V20" s="29">
        <v>24</v>
      </c>
      <c r="W20" s="30">
        <v>2</v>
      </c>
      <c r="X20" s="30">
        <v>384</v>
      </c>
      <c r="Y20" s="45">
        <v>365</v>
      </c>
      <c r="AA20" s="51">
        <f>1/2</f>
        <v>0.5</v>
      </c>
      <c r="AB20" s="29">
        <v>0.5</v>
      </c>
      <c r="AC20" s="30">
        <v>13</v>
      </c>
      <c r="AD20" s="30">
        <v>0.1419</v>
      </c>
      <c r="AE20" s="31">
        <v>0.12570000000000001</v>
      </c>
      <c r="AG20" s="37">
        <f>1/2</f>
        <v>0.5</v>
      </c>
      <c r="AH20" s="29">
        <v>0.5</v>
      </c>
      <c r="AI20" s="30">
        <v>20</v>
      </c>
      <c r="AJ20" s="30">
        <v>0.15989999999999999</v>
      </c>
      <c r="AK20" s="45">
        <v>0.14860000000000001</v>
      </c>
    </row>
    <row r="21" spans="2:37" ht="15" customHeight="1" x14ac:dyDescent="0.25">
      <c r="B21" s="2" t="s">
        <v>8</v>
      </c>
      <c r="C21" s="2">
        <f>IF($D$2="English",IF($C$14="UNC",VLOOKUP($C$13,$AB$6:$AE$27,3,FALSE),VLOOKUP($C$13,$AH$6:$AK$27,3,FALSE)), IF($C$14="UNC",VLOOKUP($C$13,$Q$6:$T$31,3,FALSE),VLOOKUP($C$13,$V$6:$Y$31,3,FALSE)))</f>
        <v>3.1800000000000002E-2</v>
      </c>
      <c r="D21" s="2" t="str">
        <f>IF($D$2="English","in^2","mm^2")</f>
        <v>in^2</v>
      </c>
      <c r="Q21" s="44">
        <v>30</v>
      </c>
      <c r="R21" s="30">
        <v>3.5</v>
      </c>
      <c r="S21" s="30">
        <v>561</v>
      </c>
      <c r="T21" s="31">
        <v>519</v>
      </c>
      <c r="V21" s="29">
        <v>30</v>
      </c>
      <c r="W21" s="30">
        <v>2</v>
      </c>
      <c r="X21" s="30">
        <v>621</v>
      </c>
      <c r="Y21" s="45">
        <v>596</v>
      </c>
      <c r="AA21" s="51">
        <f>9/16</f>
        <v>0.5625</v>
      </c>
      <c r="AB21" s="29">
        <v>0.5625</v>
      </c>
      <c r="AC21" s="30">
        <v>12</v>
      </c>
      <c r="AD21" s="30">
        <v>0.182</v>
      </c>
      <c r="AE21" s="31">
        <v>0.16200000000000001</v>
      </c>
      <c r="AG21" s="37">
        <f>9/16</f>
        <v>0.5625</v>
      </c>
      <c r="AH21" s="29">
        <v>0.5625</v>
      </c>
      <c r="AI21" s="30">
        <v>18</v>
      </c>
      <c r="AJ21" s="30">
        <v>0.20300000000000001</v>
      </c>
      <c r="AK21" s="45">
        <v>0.189</v>
      </c>
    </row>
    <row r="22" spans="2:37" ht="15" customHeight="1" x14ac:dyDescent="0.25">
      <c r="B22" s="2" t="str">
        <f>IF($D$2="English","Bolt threads per inch, p","Bolt pitch, p")</f>
        <v>Bolt threads per inch, p</v>
      </c>
      <c r="C22" s="2">
        <f>IF($D$2="English",IF($C$14="UNC",VLOOKUP($C$13,$AB$6:$AE$27,2,FALSE),VLOOKUP($C$13,$AH$6:$AK$27,2,FALSE)), IF($C$14="UNC",VLOOKUP($C$13,$Q$6:$T$31,2,FALSE),VLOOKUP($C$13,$V$6:$Y$31,2,FALSE)))</f>
        <v>20</v>
      </c>
      <c r="D22" s="2" t="str">
        <f>IF($D$2="English","threads/in","mm")</f>
        <v>threads/in</v>
      </c>
      <c r="Q22" s="44">
        <v>36</v>
      </c>
      <c r="R22" s="30">
        <v>4</v>
      </c>
      <c r="S22" s="30">
        <v>817</v>
      </c>
      <c r="T22" s="31">
        <v>759</v>
      </c>
      <c r="V22" s="29">
        <v>36</v>
      </c>
      <c r="W22" s="30">
        <v>2</v>
      </c>
      <c r="X22" s="30">
        <v>915</v>
      </c>
      <c r="Y22" s="45">
        <v>884</v>
      </c>
      <c r="AA22" s="51">
        <f>5/8</f>
        <v>0.625</v>
      </c>
      <c r="AB22" s="29">
        <v>0.625</v>
      </c>
      <c r="AC22" s="30">
        <v>11</v>
      </c>
      <c r="AD22" s="30">
        <v>0.22600000000000001</v>
      </c>
      <c r="AE22" s="31">
        <v>0.20200000000000001</v>
      </c>
      <c r="AG22" s="37">
        <f>5/8</f>
        <v>0.625</v>
      </c>
      <c r="AH22" s="29">
        <v>0.625</v>
      </c>
      <c r="AI22" s="30">
        <v>18</v>
      </c>
      <c r="AJ22" s="30">
        <v>0.25600000000000001</v>
      </c>
      <c r="AK22" s="45">
        <v>0.24</v>
      </c>
    </row>
    <row r="23" spans="2:37" ht="15" customHeight="1" x14ac:dyDescent="0.25">
      <c r="Q23" s="44">
        <v>42</v>
      </c>
      <c r="R23" s="30">
        <v>4.5</v>
      </c>
      <c r="S23" s="30">
        <v>1120</v>
      </c>
      <c r="T23" s="31">
        <v>1050</v>
      </c>
      <c r="V23" s="29">
        <v>42</v>
      </c>
      <c r="W23" s="30">
        <v>2</v>
      </c>
      <c r="X23" s="30">
        <v>1260</v>
      </c>
      <c r="Y23" s="45">
        <v>1230</v>
      </c>
      <c r="AA23" s="51">
        <f>3/4</f>
        <v>0.75</v>
      </c>
      <c r="AB23" s="29">
        <v>0.75</v>
      </c>
      <c r="AC23" s="30">
        <v>10</v>
      </c>
      <c r="AD23" s="30">
        <v>0.33400000000000002</v>
      </c>
      <c r="AE23" s="31">
        <v>0.30199999999999999</v>
      </c>
      <c r="AG23" s="37">
        <f>3/4</f>
        <v>0.75</v>
      </c>
      <c r="AH23" s="29">
        <v>0.75</v>
      </c>
      <c r="AI23" s="30">
        <v>16</v>
      </c>
      <c r="AJ23" s="30">
        <v>0.373</v>
      </c>
      <c r="AK23" s="45">
        <v>0.35099999999999998</v>
      </c>
    </row>
    <row r="24" spans="2:37" ht="15" customHeight="1" x14ac:dyDescent="0.25">
      <c r="B24" s="1" t="s">
        <v>9</v>
      </c>
      <c r="C24" s="20" t="b">
        <v>0</v>
      </c>
      <c r="D24" s="57" t="s">
        <v>36</v>
      </c>
      <c r="E24" s="57"/>
      <c r="F24" s="57"/>
      <c r="Q24" s="44">
        <v>48</v>
      </c>
      <c r="R24" s="30">
        <v>5</v>
      </c>
      <c r="S24" s="30">
        <v>1470</v>
      </c>
      <c r="T24" s="31">
        <v>1380</v>
      </c>
      <c r="V24" s="29">
        <v>48</v>
      </c>
      <c r="W24" s="30">
        <v>2</v>
      </c>
      <c r="X24" s="30">
        <v>1670</v>
      </c>
      <c r="Y24" s="45">
        <v>1630</v>
      </c>
      <c r="AA24" s="51">
        <f>7/8</f>
        <v>0.875</v>
      </c>
      <c r="AB24" s="29">
        <v>0.875</v>
      </c>
      <c r="AC24" s="30">
        <v>9</v>
      </c>
      <c r="AD24" s="30">
        <v>0.46200000000000002</v>
      </c>
      <c r="AE24" s="31">
        <v>0.41899999999999998</v>
      </c>
      <c r="AG24" s="37">
        <f>7/8</f>
        <v>0.875</v>
      </c>
      <c r="AH24" s="29">
        <v>0.875</v>
      </c>
      <c r="AI24" s="30">
        <v>14</v>
      </c>
      <c r="AJ24" s="30">
        <v>0.50900000000000001</v>
      </c>
      <c r="AK24" s="45">
        <v>0.48</v>
      </c>
    </row>
    <row r="25" spans="2:37" ht="15" customHeight="1" x14ac:dyDescent="0.25">
      <c r="B25" s="1" t="s">
        <v>10</v>
      </c>
      <c r="C25" s="21" t="b">
        <f>NOT(C24)</f>
        <v>1</v>
      </c>
      <c r="D25" s="57"/>
      <c r="E25" s="57"/>
      <c r="F25" s="57"/>
      <c r="Q25" s="44">
        <v>56</v>
      </c>
      <c r="R25" s="30">
        <v>5.5</v>
      </c>
      <c r="S25" s="30">
        <v>2030</v>
      </c>
      <c r="T25" s="31">
        <v>1910</v>
      </c>
      <c r="V25" s="29">
        <v>56</v>
      </c>
      <c r="W25" s="30">
        <v>2</v>
      </c>
      <c r="X25" s="30">
        <v>2300</v>
      </c>
      <c r="Y25" s="45">
        <v>2250</v>
      </c>
      <c r="AA25" s="51">
        <f>1</f>
        <v>1</v>
      </c>
      <c r="AB25" s="29">
        <v>1</v>
      </c>
      <c r="AC25" s="30">
        <v>8</v>
      </c>
      <c r="AD25" s="30">
        <v>0.60599999999999998</v>
      </c>
      <c r="AE25" s="31">
        <v>0.55100000000000005</v>
      </c>
      <c r="AG25" s="37">
        <f>1</f>
        <v>1</v>
      </c>
      <c r="AH25" s="29">
        <v>1</v>
      </c>
      <c r="AI25" s="30">
        <v>12</v>
      </c>
      <c r="AJ25" s="30">
        <v>0.66300000000000003</v>
      </c>
      <c r="AK25" s="45">
        <v>0.625</v>
      </c>
    </row>
    <row r="26" spans="2:37" ht="15" customHeight="1" x14ac:dyDescent="0.25">
      <c r="Q26" s="44">
        <v>64</v>
      </c>
      <c r="R26" s="30">
        <v>6</v>
      </c>
      <c r="S26" s="30">
        <v>2680</v>
      </c>
      <c r="T26" s="31">
        <v>2520</v>
      </c>
      <c r="V26" s="29">
        <v>64</v>
      </c>
      <c r="W26" s="30">
        <v>2</v>
      </c>
      <c r="X26" s="30">
        <v>3030</v>
      </c>
      <c r="Y26" s="45">
        <v>2980</v>
      </c>
      <c r="AA26" s="51">
        <f>1.25</f>
        <v>1.25</v>
      </c>
      <c r="AB26" s="29">
        <v>1.25</v>
      </c>
      <c r="AC26" s="30">
        <v>7</v>
      </c>
      <c r="AD26" s="30">
        <v>0.96899999999999997</v>
      </c>
      <c r="AE26" s="31">
        <v>0.89</v>
      </c>
      <c r="AG26" s="37">
        <f>1.25</f>
        <v>1.25</v>
      </c>
      <c r="AH26" s="29">
        <v>1.25</v>
      </c>
      <c r="AI26" s="30">
        <v>12</v>
      </c>
      <c r="AJ26" s="30">
        <v>1.073</v>
      </c>
      <c r="AK26" s="45">
        <v>1.024</v>
      </c>
    </row>
    <row r="27" spans="2:37" ht="15" customHeight="1" thickBot="1" x14ac:dyDescent="0.3">
      <c r="B27" s="2" t="s">
        <v>39</v>
      </c>
      <c r="C27" s="24">
        <f>IF(C18=0,0,(C20*C12)/C18)</f>
        <v>1963495.4084936206</v>
      </c>
      <c r="D27" s="2" t="str">
        <f>IF($D$2="English","lbf/in","mN/m")</f>
        <v>lbf/in</v>
      </c>
      <c r="Q27" s="44">
        <v>72</v>
      </c>
      <c r="R27" s="30">
        <v>6</v>
      </c>
      <c r="S27" s="30">
        <v>3460</v>
      </c>
      <c r="T27" s="31">
        <v>3280</v>
      </c>
      <c r="V27" s="29">
        <v>72</v>
      </c>
      <c r="W27" s="30">
        <v>2</v>
      </c>
      <c r="X27" s="30">
        <v>3860</v>
      </c>
      <c r="Y27" s="45">
        <v>3800</v>
      </c>
      <c r="AA27" s="52">
        <f>1.5</f>
        <v>1.5</v>
      </c>
      <c r="AB27" s="49">
        <v>1.5</v>
      </c>
      <c r="AC27" s="47">
        <v>6</v>
      </c>
      <c r="AD27" s="47">
        <v>1.405</v>
      </c>
      <c r="AE27" s="48">
        <v>1.294</v>
      </c>
      <c r="AF27" s="54"/>
      <c r="AG27" s="53">
        <f>1.5</f>
        <v>1.5</v>
      </c>
      <c r="AH27" s="49">
        <v>1.5</v>
      </c>
      <c r="AI27" s="47">
        <v>12</v>
      </c>
      <c r="AJ27" s="47">
        <v>1.581</v>
      </c>
      <c r="AK27" s="50">
        <v>1.5209999999999999</v>
      </c>
    </row>
    <row r="28" spans="2:37" ht="15" customHeight="1" x14ac:dyDescent="0.25">
      <c r="B28" s="2"/>
      <c r="C28" s="19">
        <f>IF($D$2="English",C27*10^-6,C27*10^-9)</f>
        <v>1.9634954084936205</v>
      </c>
      <c r="D28" s="2" t="str">
        <f>IF($D$2="English","Mlbf/in","MN/m")</f>
        <v>Mlbf/in</v>
      </c>
      <c r="Q28" s="44">
        <v>80</v>
      </c>
      <c r="R28" s="30">
        <v>6</v>
      </c>
      <c r="S28" s="30">
        <v>4340</v>
      </c>
      <c r="T28" s="31">
        <v>4140</v>
      </c>
      <c r="V28" s="29">
        <v>80</v>
      </c>
      <c r="W28" s="30">
        <v>1.5</v>
      </c>
      <c r="X28" s="30">
        <v>4850</v>
      </c>
      <c r="Y28" s="45">
        <v>4800</v>
      </c>
    </row>
    <row r="29" spans="2:37" ht="15" customHeight="1" x14ac:dyDescent="0.25">
      <c r="Q29" s="44">
        <v>90</v>
      </c>
      <c r="R29" s="30">
        <v>6</v>
      </c>
      <c r="S29" s="30">
        <v>5590</v>
      </c>
      <c r="T29" s="31">
        <v>5360</v>
      </c>
      <c r="V29" s="29">
        <v>90</v>
      </c>
      <c r="W29" s="30">
        <v>2</v>
      </c>
      <c r="X29" s="30">
        <v>6100</v>
      </c>
      <c r="Y29" s="45">
        <v>6020</v>
      </c>
    </row>
    <row r="30" spans="2:37" ht="15" customHeight="1" x14ac:dyDescent="0.25">
      <c r="B30" s="2" t="s">
        <v>40</v>
      </c>
      <c r="C30" s="24">
        <f>IF(C19=0,0,(C21*C12)/C19)</f>
        <v>2510526.3157894742</v>
      </c>
      <c r="D30" s="2" t="str">
        <f>IF($D$2="English","lbf/in","mN/m")</f>
        <v>lbf/in</v>
      </c>
      <c r="Q30" s="44">
        <v>100</v>
      </c>
      <c r="R30" s="30">
        <v>6</v>
      </c>
      <c r="S30" s="30">
        <v>6990</v>
      </c>
      <c r="T30" s="31">
        <v>6740</v>
      </c>
      <c r="V30" s="29">
        <v>100</v>
      </c>
      <c r="W30" s="30">
        <v>2</v>
      </c>
      <c r="X30" s="30">
        <v>7560</v>
      </c>
      <c r="Y30" s="45">
        <v>7470</v>
      </c>
    </row>
    <row r="31" spans="2:37" ht="15" customHeight="1" thickBot="1" x14ac:dyDescent="0.3">
      <c r="B31" s="2"/>
      <c r="C31" s="19">
        <f>IF($D$2="English",C30*10^-6,C30*10^-9)</f>
        <v>2.5105263157894742</v>
      </c>
      <c r="D31" s="2" t="str">
        <f>IF($D$2="English","Mlbf/in","MN/m")</f>
        <v>Mlbf/in</v>
      </c>
      <c r="Q31" s="46">
        <v>110</v>
      </c>
      <c r="R31" s="47">
        <v>6</v>
      </c>
      <c r="S31" s="47" t="e">
        <f>NA()</f>
        <v>#N/A</v>
      </c>
      <c r="T31" s="47" t="e">
        <f>NA()</f>
        <v>#N/A</v>
      </c>
      <c r="U31" s="54"/>
      <c r="V31" s="49">
        <v>110</v>
      </c>
      <c r="W31" s="47">
        <v>2</v>
      </c>
      <c r="X31" s="47">
        <v>9180</v>
      </c>
      <c r="Y31" s="50">
        <v>9080</v>
      </c>
    </row>
    <row r="33" spans="2:4" ht="15" customHeight="1" x14ac:dyDescent="0.25">
      <c r="B33" s="2" t="s">
        <v>6</v>
      </c>
      <c r="C33" s="24">
        <f>SUM(IF(C27=0,0,C27^-1),IF(C30=0,0,C30^-1))^-1</f>
        <v>1101784.3000628061</v>
      </c>
      <c r="D33" s="2" t="str">
        <f>IF($D$2="English","lbf/in","mN/m")</f>
        <v>lbf/in</v>
      </c>
    </row>
    <row r="34" spans="2:4" ht="15" customHeight="1" x14ac:dyDescent="0.25">
      <c r="B34" s="2"/>
      <c r="C34" s="19">
        <f>IF($D$2="English",C33*10^-6,C33*10^-9)</f>
        <v>1.101784300062806</v>
      </c>
      <c r="D34" s="2" t="str">
        <f>IF($D$2="English","Mlbf/in","MN/m")</f>
        <v>Mlbf/in</v>
      </c>
    </row>
    <row r="150" spans="38:38" ht="15" customHeight="1" x14ac:dyDescent="0.25">
      <c r="AL150" s="6" t="s">
        <v>27</v>
      </c>
    </row>
  </sheetData>
  <mergeCells count="5">
    <mergeCell ref="Q4:T4"/>
    <mergeCell ref="V4:Y4"/>
    <mergeCell ref="AA4:AE4"/>
    <mergeCell ref="AG4:AK4"/>
    <mergeCell ref="D24:F25"/>
  </mergeCells>
  <conditionalFormatting sqref="C16:D16">
    <cfRule type="expression" dxfId="15" priority="6">
      <formula>$C$16&lt;&gt;$J$12</formula>
    </cfRule>
    <cfRule type="duplicateValues" dxfId="14" priority="7"/>
  </conditionalFormatting>
  <conditionalFormatting sqref="I6:N6">
    <cfRule type="expression" dxfId="13" priority="4">
      <formula>0=$J$6</formula>
    </cfRule>
  </conditionalFormatting>
  <conditionalFormatting sqref="I7:N7">
    <cfRule type="expression" dxfId="12" priority="5">
      <formula>0=$J$7</formula>
    </cfRule>
  </conditionalFormatting>
  <conditionalFormatting sqref="I8:N8">
    <cfRule type="expression" dxfId="11" priority="3">
      <formula>0=$J$8</formula>
    </cfRule>
  </conditionalFormatting>
  <conditionalFormatting sqref="I9:N9">
    <cfRule type="expression" dxfId="10" priority="2">
      <formula>0=$J$9</formula>
    </cfRule>
  </conditionalFormatting>
  <conditionalFormatting sqref="I10:N10">
    <cfRule type="expression" dxfId="9" priority="1">
      <formula>0=$J$10</formula>
    </cfRule>
  </conditionalFormatting>
  <conditionalFormatting sqref="J12:K13">
    <cfRule type="expression" dxfId="8" priority="8">
      <formula>$C$16&lt;&gt;$J$12</formula>
    </cfRule>
  </conditionalFormatting>
  <dataValidations count="2">
    <dataValidation type="list" allowBlank="1" showInputMessage="1" showErrorMessage="1" sqref="D2" xr:uid="{EBF5FDE0-9C14-416F-A70A-48A385E12009}">
      <formula1>"English, Metric"</formula1>
    </dataValidation>
    <dataValidation type="list" allowBlank="1" showInputMessage="1" showErrorMessage="1" sqref="C14" xr:uid="{8B439AC1-CDF1-4C47-A632-E8D652562796}">
      <formula1>"UNC, UNF"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7292-B44E-40DB-BD88-382C6D83EB8D}">
  <sheetPr>
    <tabColor rgb="FF00B0F0"/>
  </sheetPr>
  <dimension ref="B2:AL150"/>
  <sheetViews>
    <sheetView zoomScaleNormal="100" workbookViewId="0">
      <selection activeCell="K32" sqref="K32"/>
    </sheetView>
  </sheetViews>
  <sheetFormatPr defaultColWidth="8.85546875" defaultRowHeight="15" customHeight="1" x14ac:dyDescent="0.25"/>
  <cols>
    <col min="1" max="1" width="8.85546875" style="6"/>
    <col min="2" max="2" width="30.5703125" style="6" bestFit="1" customWidth="1"/>
    <col min="3" max="3" width="13" style="6" customWidth="1"/>
    <col min="4" max="4" width="10.140625" style="6" customWidth="1"/>
    <col min="5" max="5" width="17.42578125" style="6" bestFit="1" customWidth="1"/>
    <col min="6" max="6" width="10.5703125" style="6" customWidth="1"/>
    <col min="7" max="8" width="9.140625" style="6" customWidth="1"/>
    <col min="9" max="9" width="19.42578125" style="6" bestFit="1" customWidth="1"/>
    <col min="10" max="10" width="15" style="6" bestFit="1" customWidth="1"/>
    <col min="11" max="11" width="10.140625" style="6" bestFit="1" customWidth="1"/>
    <col min="12" max="12" width="9.5703125" style="6" bestFit="1" customWidth="1"/>
    <col min="13" max="13" width="11" style="6" bestFit="1" customWidth="1"/>
    <col min="14" max="14" width="12" style="6" bestFit="1" customWidth="1"/>
    <col min="15" max="16" width="8.85546875" style="6"/>
    <col min="17" max="17" width="16.85546875" style="6" bestFit="1" customWidth="1"/>
    <col min="18" max="18" width="7.5703125" style="6" bestFit="1" customWidth="1"/>
    <col min="19" max="19" width="15.140625" style="6" customWidth="1"/>
    <col min="20" max="20" width="15.85546875" style="6" customWidth="1"/>
    <col min="21" max="21" width="8.85546875" style="6"/>
    <col min="22" max="22" width="16.85546875" style="6" bestFit="1" customWidth="1"/>
    <col min="23" max="23" width="7.5703125" style="6" bestFit="1" customWidth="1"/>
    <col min="24" max="24" width="15.140625" style="6" customWidth="1"/>
    <col min="25" max="25" width="15.85546875" style="6" customWidth="1"/>
    <col min="26" max="26" width="8.85546875" style="6"/>
    <col min="27" max="28" width="16.85546875" style="6" bestFit="1" customWidth="1"/>
    <col min="29" max="29" width="12" style="6" bestFit="1" customWidth="1"/>
    <col min="30" max="30" width="15.140625" style="6" customWidth="1"/>
    <col min="31" max="31" width="15.85546875" style="6" customWidth="1"/>
    <col min="32" max="32" width="8.85546875" style="6"/>
    <col min="33" max="34" width="16.85546875" style="6" bestFit="1" customWidth="1"/>
    <col min="35" max="35" width="12" style="6" bestFit="1" customWidth="1"/>
    <col min="36" max="36" width="15.140625" style="6" customWidth="1"/>
    <col min="37" max="37" width="15.85546875" style="6" customWidth="1"/>
    <col min="38" max="16384" width="8.85546875" style="6"/>
  </cols>
  <sheetData>
    <row r="2" spans="2:37" ht="15" customHeight="1" thickBot="1" x14ac:dyDescent="0.3">
      <c r="B2" s="3" t="s">
        <v>0</v>
      </c>
      <c r="C2" s="4" t="s">
        <v>18</v>
      </c>
      <c r="D2" s="5" t="s">
        <v>37</v>
      </c>
      <c r="I2" s="7" t="s">
        <v>1</v>
      </c>
      <c r="J2" s="2"/>
      <c r="K2" s="2"/>
      <c r="L2" s="2"/>
      <c r="M2" s="2"/>
      <c r="N2" s="2"/>
      <c r="Q2" s="6" t="s">
        <v>55</v>
      </c>
      <c r="AA2" s="6" t="s">
        <v>56</v>
      </c>
    </row>
    <row r="3" spans="2:37" ht="15" customHeight="1" x14ac:dyDescent="0.25">
      <c r="Q3" s="38"/>
      <c r="R3" s="39"/>
      <c r="S3" s="39"/>
      <c r="T3" s="39"/>
      <c r="U3" s="40" t="s">
        <v>37</v>
      </c>
      <c r="V3" s="39"/>
      <c r="W3" s="39"/>
      <c r="X3" s="39"/>
      <c r="Y3" s="41"/>
      <c r="AA3" s="38"/>
      <c r="AB3" s="39"/>
      <c r="AC3" s="39"/>
      <c r="AD3" s="39"/>
      <c r="AE3" s="39"/>
      <c r="AF3" s="40" t="s">
        <v>2</v>
      </c>
      <c r="AG3" s="39"/>
      <c r="AH3" s="39"/>
      <c r="AI3" s="39"/>
      <c r="AJ3" s="39"/>
      <c r="AK3" s="41"/>
    </row>
    <row r="4" spans="2:37" ht="15" customHeight="1" x14ac:dyDescent="0.25">
      <c r="B4" s="8" t="s">
        <v>17</v>
      </c>
      <c r="C4" s="9"/>
      <c r="D4" s="9"/>
      <c r="I4" s="11" t="s">
        <v>19</v>
      </c>
      <c r="J4" s="11"/>
      <c r="K4" s="12"/>
      <c r="L4" s="12"/>
      <c r="M4" s="12"/>
      <c r="N4" s="12"/>
      <c r="Q4" s="58" t="s">
        <v>46</v>
      </c>
      <c r="R4" s="59"/>
      <c r="S4" s="59"/>
      <c r="T4" s="59"/>
      <c r="V4" s="59" t="s">
        <v>47</v>
      </c>
      <c r="W4" s="59"/>
      <c r="X4" s="59"/>
      <c r="Y4" s="60"/>
      <c r="AA4" s="58" t="s">
        <v>46</v>
      </c>
      <c r="AB4" s="59"/>
      <c r="AC4" s="59"/>
      <c r="AD4" s="59"/>
      <c r="AE4" s="59"/>
      <c r="AG4" s="59" t="s">
        <v>47</v>
      </c>
      <c r="AH4" s="59"/>
      <c r="AI4" s="59"/>
      <c r="AJ4" s="59"/>
      <c r="AK4" s="60"/>
    </row>
    <row r="5" spans="2:37" ht="15" customHeight="1" x14ac:dyDescent="0.25">
      <c r="B5" s="1" t="s">
        <v>32</v>
      </c>
      <c r="C5" s="1">
        <v>30</v>
      </c>
      <c r="D5" s="1" t="s">
        <v>33</v>
      </c>
      <c r="E5" s="10" t="s">
        <v>11</v>
      </c>
      <c r="F5" s="9"/>
      <c r="G5" s="9"/>
      <c r="I5" s="14" t="s">
        <v>20</v>
      </c>
      <c r="J5" s="15" t="str">
        <f>_xlfn.CONCAT("Thickness ", "[",D6,"]")</f>
        <v>Thickness [mm]</v>
      </c>
      <c r="K5" s="15" t="str">
        <f>_xlfn.CONCAT("D ", "[",D13,"]")</f>
        <v>D [mm]</v>
      </c>
      <c r="L5" s="15" t="str">
        <f>_xlfn.CONCAT("E ", "[",G6,"]")</f>
        <v>E [Pa]</v>
      </c>
      <c r="M5" s="15" t="str">
        <f>_xlfn.CONCAT("k ", "[",D33,"]")</f>
        <v>k [mN/m]</v>
      </c>
      <c r="N5" s="15" t="s">
        <v>21</v>
      </c>
      <c r="Q5" s="42" t="s">
        <v>44</v>
      </c>
      <c r="R5" s="33" t="s">
        <v>43</v>
      </c>
      <c r="S5" s="33" t="s">
        <v>42</v>
      </c>
      <c r="T5" s="34" t="s">
        <v>45</v>
      </c>
      <c r="V5" s="32" t="s">
        <v>44</v>
      </c>
      <c r="W5" s="33" t="s">
        <v>43</v>
      </c>
      <c r="X5" s="33" t="s">
        <v>42</v>
      </c>
      <c r="Y5" s="43" t="s">
        <v>45</v>
      </c>
      <c r="AA5" s="42" t="s">
        <v>48</v>
      </c>
      <c r="AB5" s="32" t="s">
        <v>49</v>
      </c>
      <c r="AC5" s="33" t="s">
        <v>50</v>
      </c>
      <c r="AD5" s="33" t="s">
        <v>51</v>
      </c>
      <c r="AE5" s="34" t="s">
        <v>52</v>
      </c>
      <c r="AG5" s="32" t="s">
        <v>48</v>
      </c>
      <c r="AH5" s="32" t="s">
        <v>49</v>
      </c>
      <c r="AI5" s="33" t="s">
        <v>50</v>
      </c>
      <c r="AJ5" s="33" t="s">
        <v>51</v>
      </c>
      <c r="AK5" s="43" t="s">
        <v>52</v>
      </c>
    </row>
    <row r="6" spans="2:37" ht="15" customHeight="1" x14ac:dyDescent="0.25">
      <c r="B6" s="1" t="s">
        <v>29</v>
      </c>
      <c r="C6" s="1">
        <v>1.75</v>
      </c>
      <c r="D6" s="1" t="str">
        <f>IF($D$2="English","in", "mm")</f>
        <v>mm</v>
      </c>
      <c r="E6" s="13" t="s">
        <v>12</v>
      </c>
      <c r="F6" s="22">
        <f t="shared" ref="F6" si="0">207*10^9</f>
        <v>207000000000</v>
      </c>
      <c r="G6" s="1" t="str">
        <f t="shared" ref="G6:G9" si="1">IF($D$2="English","psi","Pa")</f>
        <v>Pa</v>
      </c>
      <c r="I6" s="16">
        <v>1</v>
      </c>
      <c r="J6" s="2">
        <f>C6</f>
        <v>1.75</v>
      </c>
      <c r="K6" s="2">
        <f>1.5*C13</f>
        <v>9</v>
      </c>
      <c r="L6" s="23">
        <f>F6</f>
        <v>207000000000</v>
      </c>
      <c r="M6" s="23">
        <f>IF(J6=0,0,(PI()*L6*$C$13*TAN(RADIANS($C$5)))/LN(((2*J6*TAN(RADIANS($C$5))+K6-$C$13)*(K6+$C$13))/((2*J6*TAN(RADIANS($C$5))+K6+$C$13)*(K6-$C$13))))</f>
        <v>5797351689616.5986</v>
      </c>
      <c r="N6" s="23">
        <f>IF(M6=0,0,M6^-1)</f>
        <v>1.7249255410725892E-13</v>
      </c>
      <c r="Q6" s="44">
        <v>1.6</v>
      </c>
      <c r="R6" s="30">
        <v>0.35</v>
      </c>
      <c r="S6" s="30">
        <v>1.27</v>
      </c>
      <c r="T6" s="31">
        <v>1.07</v>
      </c>
      <c r="V6" s="29">
        <v>1.6</v>
      </c>
      <c r="W6" s="30" t="e">
        <f>NA()</f>
        <v>#N/A</v>
      </c>
      <c r="X6" s="30" t="e">
        <f>NA()</f>
        <v>#N/A</v>
      </c>
      <c r="Y6" s="30" t="e">
        <f>NA()</f>
        <v>#N/A</v>
      </c>
      <c r="AA6" s="51">
        <f>0</f>
        <v>0</v>
      </c>
      <c r="AB6" s="29">
        <v>0.06</v>
      </c>
      <c r="AC6" s="30" t="e">
        <f>NA()</f>
        <v>#N/A</v>
      </c>
      <c r="AD6" s="30" t="e">
        <f>NA()</f>
        <v>#N/A</v>
      </c>
      <c r="AE6" s="31" t="e">
        <f>NA()</f>
        <v>#N/A</v>
      </c>
      <c r="AG6" s="37">
        <f>0</f>
        <v>0</v>
      </c>
      <c r="AH6" s="29">
        <v>0.06</v>
      </c>
      <c r="AI6" s="30">
        <v>80</v>
      </c>
      <c r="AJ6" s="30">
        <v>1.8E-3</v>
      </c>
      <c r="AK6" s="45">
        <v>1.5100000000000001E-3</v>
      </c>
    </row>
    <row r="7" spans="2:37" ht="15" customHeight="1" x14ac:dyDescent="0.25">
      <c r="B7" s="1" t="s">
        <v>30</v>
      </c>
      <c r="C7" s="1">
        <v>6.35</v>
      </c>
      <c r="D7" s="1" t="str">
        <f t="shared" ref="D7:D9" si="2">IF($D$2="English","in", "mm")</f>
        <v>mm</v>
      </c>
      <c r="E7" s="13" t="s">
        <v>13</v>
      </c>
      <c r="F7" s="22">
        <f>72*10^9</f>
        <v>72000000000</v>
      </c>
      <c r="G7" s="1" t="str">
        <f t="shared" si="1"/>
        <v>Pa</v>
      </c>
      <c r="I7" s="16">
        <v>2</v>
      </c>
      <c r="J7" s="2">
        <f>IF(C6+C7&lt;J14,C7,J14-C6)</f>
        <v>6.35</v>
      </c>
      <c r="K7" s="18">
        <f>K6+2*J6*TAN(RADIANS($C$5))</f>
        <v>11.02072594216369</v>
      </c>
      <c r="L7" s="23">
        <f>F7</f>
        <v>72000000000</v>
      </c>
      <c r="M7" s="23">
        <f>IF(J7=0,0,(PI()*L7*$C$13*TAN(RADIANS($C$5)))/LN(((2*J7*TAN(RADIANS($C$5))+K7-$C$13)*(K7+$C$13))/((2*J7*TAN(RADIANS($C$5))+K7+$C$13)*(K7-$C$13))))</f>
        <v>1445407459044.4277</v>
      </c>
      <c r="N7" s="23">
        <f t="shared" ref="N7:N10" si="3">IF(M7=0,0,M7^-1)</f>
        <v>6.9184643661733234E-13</v>
      </c>
      <c r="Q7" s="44">
        <v>2</v>
      </c>
      <c r="R7" s="30">
        <v>0.4</v>
      </c>
      <c r="S7" s="30">
        <v>2.0699999999999998</v>
      </c>
      <c r="T7" s="31">
        <v>1.79</v>
      </c>
      <c r="V7" s="29">
        <v>2</v>
      </c>
      <c r="W7" s="30" t="e">
        <f>NA()</f>
        <v>#N/A</v>
      </c>
      <c r="X7" s="30" t="e">
        <f>NA()</f>
        <v>#N/A</v>
      </c>
      <c r="Y7" s="30" t="e">
        <f>NA()</f>
        <v>#N/A</v>
      </c>
      <c r="AA7" s="51">
        <f>1</f>
        <v>1</v>
      </c>
      <c r="AB7" s="29">
        <v>7.2999999999999995E-2</v>
      </c>
      <c r="AC7" s="30">
        <v>64</v>
      </c>
      <c r="AD7" s="30">
        <v>2.63E-3</v>
      </c>
      <c r="AE7" s="31">
        <v>2.1800000000000001E-3</v>
      </c>
      <c r="AG7" s="37">
        <f>1</f>
        <v>1</v>
      </c>
      <c r="AH7" s="29">
        <v>7.2999999999999995E-2</v>
      </c>
      <c r="AI7" s="30">
        <v>72</v>
      </c>
      <c r="AJ7" s="30">
        <v>2.7799999999999999E-3</v>
      </c>
      <c r="AK7" s="45">
        <v>2.3700000000000001E-3</v>
      </c>
    </row>
    <row r="8" spans="2:37" ht="15" customHeight="1" x14ac:dyDescent="0.25">
      <c r="B8" s="1" t="s">
        <v>31</v>
      </c>
      <c r="C8" s="1">
        <v>25.4</v>
      </c>
      <c r="D8" s="1" t="str">
        <f t="shared" si="2"/>
        <v>mm</v>
      </c>
      <c r="E8" s="13" t="s">
        <v>15</v>
      </c>
      <c r="F8" s="22">
        <f>100*10^9</f>
        <v>100000000000</v>
      </c>
      <c r="G8" s="1" t="str">
        <f t="shared" si="1"/>
        <v>Pa</v>
      </c>
      <c r="I8" s="16">
        <v>3</v>
      </c>
      <c r="J8" s="2">
        <f>IF(C6+C7&lt;J14,J14-C7-C6,C6+C7-J14)</f>
        <v>9.5250000000000004</v>
      </c>
      <c r="K8" s="18">
        <f>IF(J6+J7&lt;J14,K7+2*J7*TAN(RADIANS($C$5)),K7+2*J7*TAN(RADIANS($C$5))-2*J8*TAN(RADIANS($C$5)))</f>
        <v>18.353074360871936</v>
      </c>
      <c r="L8" s="23">
        <f>IF(J6+J7&lt;J14,F8,F7)</f>
        <v>100000000000</v>
      </c>
      <c r="M8" s="23">
        <f>IF(J8=0,0,(PI()*L8*$C$13*TAN(RADIANS($C$5)))/LN(((2*J8*TAN(RADIANS($C$5))+K8-$C$13)*(K8+$C$13))/((2*J8*TAN(RADIANS($C$5))+K8+$C$13)*(K8-$C$13))))</f>
        <v>4121101483102.9976</v>
      </c>
      <c r="N8" s="23">
        <f t="shared" si="3"/>
        <v>2.4265357310420965E-13</v>
      </c>
      <c r="Q8" s="44">
        <v>2.5</v>
      </c>
      <c r="R8" s="30">
        <v>0.45</v>
      </c>
      <c r="S8" s="30">
        <v>3.39</v>
      </c>
      <c r="T8" s="31">
        <v>2.98</v>
      </c>
      <c r="V8" s="29">
        <v>2.5</v>
      </c>
      <c r="W8" s="30" t="e">
        <f>NA()</f>
        <v>#N/A</v>
      </c>
      <c r="X8" s="30" t="e">
        <f>NA()</f>
        <v>#N/A</v>
      </c>
      <c r="Y8" s="30" t="e">
        <f>NA()</f>
        <v>#N/A</v>
      </c>
      <c r="AA8" s="51">
        <f>2</f>
        <v>2</v>
      </c>
      <c r="AB8" s="29">
        <v>8.5999999999999993E-2</v>
      </c>
      <c r="AC8" s="30">
        <v>56</v>
      </c>
      <c r="AD8" s="30">
        <v>3.7000000000000002E-3</v>
      </c>
      <c r="AE8" s="31">
        <v>3.0999999999999999E-3</v>
      </c>
      <c r="AG8" s="37">
        <f>2</f>
        <v>2</v>
      </c>
      <c r="AH8" s="29">
        <v>8.5999999999999993E-2</v>
      </c>
      <c r="AI8" s="30">
        <v>64</v>
      </c>
      <c r="AJ8" s="30">
        <v>3.9399999999999999E-3</v>
      </c>
      <c r="AK8" s="45">
        <v>3.3899999999999998E-3</v>
      </c>
    </row>
    <row r="9" spans="2:37" ht="15" customHeight="1" x14ac:dyDescent="0.25">
      <c r="B9" s="1" t="s">
        <v>28</v>
      </c>
      <c r="C9" s="1">
        <v>1.75</v>
      </c>
      <c r="D9" s="1" t="str">
        <f t="shared" si="2"/>
        <v>mm</v>
      </c>
      <c r="E9" s="13" t="s">
        <v>14</v>
      </c>
      <c r="F9" s="22">
        <f>207*10^9</f>
        <v>207000000000</v>
      </c>
      <c r="G9" s="1" t="str">
        <f t="shared" si="1"/>
        <v>Pa</v>
      </c>
      <c r="I9" s="16">
        <v>4</v>
      </c>
      <c r="J9" s="2">
        <f>C16-SUM(J6:J8)-J10</f>
        <v>15.875</v>
      </c>
      <c r="K9" s="18">
        <f>K10+2*J10*TAN(RADIANS($C$5))</f>
        <v>11.02072594216369</v>
      </c>
      <c r="L9" s="23">
        <f>F8</f>
        <v>100000000000</v>
      </c>
      <c r="M9" s="23">
        <f>IF(J9=0,0,(PI()*L9*$C$13*TAN(RADIANS($C$5)))/LN(((2*J9*TAN(RADIANS($C$5))+K9-$C$13)*(K9+$C$13))/((2*J9*TAN(RADIANS($C$5))+K9+$C$13)*(K9-$C$13))))</f>
        <v>1349922973283.4653</v>
      </c>
      <c r="N9" s="23">
        <f t="shared" si="3"/>
        <v>7.4078300746868889E-13</v>
      </c>
      <c r="Q9" s="44">
        <v>3</v>
      </c>
      <c r="R9" s="30">
        <v>0.5</v>
      </c>
      <c r="S9" s="30">
        <v>5.03</v>
      </c>
      <c r="T9" s="31">
        <v>4.47</v>
      </c>
      <c r="V9" s="29">
        <v>3</v>
      </c>
      <c r="W9" s="30" t="e">
        <f>NA()</f>
        <v>#N/A</v>
      </c>
      <c r="X9" s="30" t="e">
        <f>NA()</f>
        <v>#N/A</v>
      </c>
      <c r="Y9" s="30" t="e">
        <f>NA()</f>
        <v>#N/A</v>
      </c>
      <c r="AA9" s="51">
        <f>3</f>
        <v>3</v>
      </c>
      <c r="AB9" s="29">
        <v>9.9000000000000005E-2</v>
      </c>
      <c r="AC9" s="30">
        <v>48</v>
      </c>
      <c r="AD9" s="30">
        <v>4.8700000000000002E-3</v>
      </c>
      <c r="AE9" s="31">
        <v>4.0600000000000002E-3</v>
      </c>
      <c r="AG9" s="37">
        <f>3</f>
        <v>3</v>
      </c>
      <c r="AH9" s="29">
        <v>9.9000000000000005E-2</v>
      </c>
      <c r="AI9" s="30">
        <v>56</v>
      </c>
      <c r="AJ9" s="30">
        <v>5.2300000000000003E-3</v>
      </c>
      <c r="AK9" s="45">
        <v>4.5100000000000001E-3</v>
      </c>
    </row>
    <row r="10" spans="2:37" ht="15" customHeight="1" x14ac:dyDescent="0.25">
      <c r="I10" s="16">
        <v>5</v>
      </c>
      <c r="J10" s="2">
        <f>C9</f>
        <v>1.75</v>
      </c>
      <c r="K10" s="2">
        <f>1.5*C13</f>
        <v>9</v>
      </c>
      <c r="L10" s="23">
        <f>F9</f>
        <v>207000000000</v>
      </c>
      <c r="M10" s="23">
        <f>IF(J10=0,0,(PI()*L10*$C$13*TAN(RADIANS($C$5)))/LN(((2*J10*TAN(RADIANS($C$5))+K10-$C$13)*(K10+$C$13))/((2*J10*TAN(RADIANS($C$5))+K10+$C$13)*(K10-$C$13))))</f>
        <v>5797351689616.5986</v>
      </c>
      <c r="N10" s="23">
        <f t="shared" si="3"/>
        <v>1.7249255410725892E-13</v>
      </c>
      <c r="Q10" s="44">
        <v>3.5</v>
      </c>
      <c r="R10" s="30">
        <v>0.6</v>
      </c>
      <c r="S10" s="30">
        <v>6.78</v>
      </c>
      <c r="T10" s="31">
        <v>6</v>
      </c>
      <c r="V10" s="29">
        <v>3.5</v>
      </c>
      <c r="W10" s="30" t="e">
        <f>NA()</f>
        <v>#N/A</v>
      </c>
      <c r="X10" s="30" t="e">
        <f>NA()</f>
        <v>#N/A</v>
      </c>
      <c r="Y10" s="30" t="e">
        <f>NA()</f>
        <v>#N/A</v>
      </c>
      <c r="AA10" s="51">
        <f>4</f>
        <v>4</v>
      </c>
      <c r="AB10" s="29">
        <v>0.112</v>
      </c>
      <c r="AC10" s="30">
        <v>40</v>
      </c>
      <c r="AD10" s="30">
        <v>6.0400000000000002E-3</v>
      </c>
      <c r="AE10" s="31">
        <v>4.96E-3</v>
      </c>
      <c r="AG10" s="37">
        <f>4</f>
        <v>4</v>
      </c>
      <c r="AH10" s="29">
        <v>0.112</v>
      </c>
      <c r="AI10" s="30">
        <v>48</v>
      </c>
      <c r="AJ10" s="30">
        <v>6.6100000000000004E-3</v>
      </c>
      <c r="AK10" s="45">
        <v>5.6600000000000001E-3</v>
      </c>
    </row>
    <row r="11" spans="2:37" ht="15" customHeight="1" x14ac:dyDescent="0.25">
      <c r="B11" s="8" t="s">
        <v>16</v>
      </c>
      <c r="C11" s="36" t="str">
        <f>IF($D$2="English",_xlfn.CONCAT(TEXT(C13, "# ?/?"),"""-",C22,"-", C15, " ",C14),_xlfn.CONCAT("M",C13,"-", C22,"-", C15," ",C14))</f>
        <v>M6-1-40.5 UNC</v>
      </c>
      <c r="D11" s="8"/>
      <c r="Q11" s="44">
        <v>4</v>
      </c>
      <c r="R11" s="30">
        <v>0.7</v>
      </c>
      <c r="S11" s="30">
        <v>8.7799999999999994</v>
      </c>
      <c r="T11" s="31">
        <v>7.75</v>
      </c>
      <c r="V11" s="29">
        <v>4</v>
      </c>
      <c r="W11" s="30" t="e">
        <f>NA()</f>
        <v>#N/A</v>
      </c>
      <c r="X11" s="30" t="e">
        <f>NA()</f>
        <v>#N/A</v>
      </c>
      <c r="Y11" s="30" t="e">
        <f>NA()</f>
        <v>#N/A</v>
      </c>
      <c r="AA11" s="51">
        <f>5</f>
        <v>5</v>
      </c>
      <c r="AB11" s="29">
        <v>0.125</v>
      </c>
      <c r="AC11" s="30">
        <v>40</v>
      </c>
      <c r="AD11" s="30">
        <v>7.9600000000000001E-3</v>
      </c>
      <c r="AE11" s="31">
        <v>6.7200000000000003E-3</v>
      </c>
      <c r="AG11" s="37">
        <f>5</f>
        <v>5</v>
      </c>
      <c r="AH11" s="29">
        <v>0.125</v>
      </c>
      <c r="AI11" s="30">
        <v>44</v>
      </c>
      <c r="AJ11" s="30">
        <v>8.8000000000000005E-3</v>
      </c>
      <c r="AK11" s="45">
        <v>7.1599999999999997E-3</v>
      </c>
    </row>
    <row r="12" spans="2:37" ht="15" customHeight="1" x14ac:dyDescent="0.25">
      <c r="B12" s="1" t="s">
        <v>53</v>
      </c>
      <c r="C12" s="22">
        <f>207*10^9</f>
        <v>207000000000</v>
      </c>
      <c r="D12" s="1" t="str">
        <f>IF($D$2="English","psi","Pa")</f>
        <v>Pa</v>
      </c>
      <c r="I12" s="25" t="s">
        <v>34</v>
      </c>
      <c r="J12" s="25">
        <f>SUM(J6:J10)</f>
        <v>35.25</v>
      </c>
      <c r="K12" s="25" t="str">
        <f>IF($D$2="English","in", "mm")</f>
        <v>mm</v>
      </c>
      <c r="Q12" s="44">
        <v>5</v>
      </c>
      <c r="R12" s="30">
        <v>0.8</v>
      </c>
      <c r="S12" s="30">
        <v>14.2</v>
      </c>
      <c r="T12" s="31">
        <v>12.7</v>
      </c>
      <c r="V12" s="29">
        <v>5</v>
      </c>
      <c r="W12" s="30" t="e">
        <f>NA()</f>
        <v>#N/A</v>
      </c>
      <c r="X12" s="30" t="e">
        <f>NA()</f>
        <v>#N/A</v>
      </c>
      <c r="Y12" s="30" t="e">
        <f>NA()</f>
        <v>#N/A</v>
      </c>
      <c r="AA12" s="51">
        <f>6</f>
        <v>6</v>
      </c>
      <c r="AB12" s="29">
        <v>0.13800000000000001</v>
      </c>
      <c r="AC12" s="30">
        <v>32</v>
      </c>
      <c r="AD12" s="30">
        <v>9.0900000000000009E-3</v>
      </c>
      <c r="AE12" s="31">
        <v>7.45E-3</v>
      </c>
      <c r="AG12" s="37">
        <f>6</f>
        <v>6</v>
      </c>
      <c r="AH12" s="29">
        <v>0.13800000000000001</v>
      </c>
      <c r="AI12" s="30">
        <v>40</v>
      </c>
      <c r="AJ12" s="30">
        <v>1.0149999999999999E-2</v>
      </c>
      <c r="AK12" s="45">
        <v>8.7399999999999995E-3</v>
      </c>
    </row>
    <row r="13" spans="2:37" ht="15" customHeight="1" x14ac:dyDescent="0.25">
      <c r="B13" s="1" t="s">
        <v>4</v>
      </c>
      <c r="C13" s="17">
        <v>6</v>
      </c>
      <c r="D13" s="1" t="str">
        <f t="shared" ref="D13" si="4">IF($D$2="English","in", "mm")</f>
        <v>mm</v>
      </c>
      <c r="I13" s="25" t="s">
        <v>23</v>
      </c>
      <c r="J13" s="25">
        <f>C16</f>
        <v>35.25</v>
      </c>
      <c r="K13" s="25" t="str">
        <f>IF($D$2="English","in", "mm")</f>
        <v>mm</v>
      </c>
      <c r="Q13" s="44">
        <v>6</v>
      </c>
      <c r="R13" s="30">
        <v>1</v>
      </c>
      <c r="S13" s="30">
        <v>20.100000000000001</v>
      </c>
      <c r="T13" s="31">
        <v>17.899999999999999</v>
      </c>
      <c r="V13" s="29">
        <v>6</v>
      </c>
      <c r="W13" s="30" t="e">
        <f>NA()</f>
        <v>#N/A</v>
      </c>
      <c r="X13" s="30" t="e">
        <f>NA()</f>
        <v>#N/A</v>
      </c>
      <c r="Y13" s="30" t="e">
        <f>NA()</f>
        <v>#N/A</v>
      </c>
      <c r="AA13" s="51">
        <f>8</f>
        <v>8</v>
      </c>
      <c r="AB13" s="29">
        <v>0.16400000000000001</v>
      </c>
      <c r="AC13" s="30">
        <v>32</v>
      </c>
      <c r="AD13" s="30">
        <v>1.4E-2</v>
      </c>
      <c r="AE13" s="31">
        <v>1.196E-2</v>
      </c>
      <c r="AG13" s="37">
        <f>8</f>
        <v>8</v>
      </c>
      <c r="AH13" s="29">
        <v>0.16400000000000001</v>
      </c>
      <c r="AI13" s="30">
        <v>36</v>
      </c>
      <c r="AJ13" s="30">
        <v>1.474E-2</v>
      </c>
      <c r="AK13" s="45">
        <v>1.285E-2</v>
      </c>
    </row>
    <row r="14" spans="2:37" ht="15" customHeight="1" x14ac:dyDescent="0.25">
      <c r="B14" s="1" t="s">
        <v>54</v>
      </c>
      <c r="C14" s="35" t="s">
        <v>46</v>
      </c>
      <c r="D14" s="1"/>
      <c r="I14" s="25" t="s">
        <v>24</v>
      </c>
      <c r="J14" s="25">
        <f>C16/2</f>
        <v>17.625</v>
      </c>
      <c r="K14" s="25" t="str">
        <f t="shared" ref="K14" si="5">IF($D$2="English","in", "mm")</f>
        <v>mm</v>
      </c>
      <c r="Q14" s="44">
        <v>8</v>
      </c>
      <c r="R14" s="30">
        <v>1.25</v>
      </c>
      <c r="S14" s="30">
        <v>36.6</v>
      </c>
      <c r="T14" s="31">
        <v>32.799999999999997</v>
      </c>
      <c r="V14" s="29">
        <v>8</v>
      </c>
      <c r="W14" s="30">
        <v>1</v>
      </c>
      <c r="X14" s="30">
        <v>39.200000000000003</v>
      </c>
      <c r="Y14" s="45">
        <v>36</v>
      </c>
      <c r="AA14" s="51">
        <f>10</f>
        <v>10</v>
      </c>
      <c r="AB14" s="29">
        <v>0.19</v>
      </c>
      <c r="AC14" s="30">
        <v>24</v>
      </c>
      <c r="AD14" s="30">
        <v>1.7500000000000002E-2</v>
      </c>
      <c r="AE14" s="31">
        <v>1.4500000000000001E-2</v>
      </c>
      <c r="AG14" s="37">
        <f>10</f>
        <v>10</v>
      </c>
      <c r="AH14" s="29">
        <v>0.19</v>
      </c>
      <c r="AI14" s="30">
        <v>32</v>
      </c>
      <c r="AJ14" s="30">
        <v>0.02</v>
      </c>
      <c r="AK14" s="45">
        <v>1.7500000000000002E-2</v>
      </c>
    </row>
    <row r="15" spans="2:37" ht="15" customHeight="1" x14ac:dyDescent="0.25">
      <c r="B15" s="1" t="s">
        <v>5</v>
      </c>
      <c r="C15" s="1">
        <v>40.5</v>
      </c>
      <c r="D15" s="1" t="str">
        <f t="shared" ref="D15" si="6">IF($D$2="English","in", "mm")</f>
        <v>mm</v>
      </c>
      <c r="Q15" s="44">
        <v>10</v>
      </c>
      <c r="R15" s="30">
        <v>1.5</v>
      </c>
      <c r="S15" s="30">
        <v>58</v>
      </c>
      <c r="T15" s="31">
        <v>52.3</v>
      </c>
      <c r="V15" s="29">
        <v>10</v>
      </c>
      <c r="W15" s="30">
        <v>1.25</v>
      </c>
      <c r="X15" s="30">
        <v>61.2</v>
      </c>
      <c r="Y15" s="45">
        <v>56.3</v>
      </c>
      <c r="AA15" s="51">
        <f>12</f>
        <v>12</v>
      </c>
      <c r="AB15" s="29">
        <v>0.216</v>
      </c>
      <c r="AC15" s="30">
        <v>24</v>
      </c>
      <c r="AD15" s="30">
        <v>2.4199999999999999E-2</v>
      </c>
      <c r="AE15" s="31">
        <v>2.06E-2</v>
      </c>
      <c r="AG15" s="37">
        <f>12</f>
        <v>12</v>
      </c>
      <c r="AH15" s="29">
        <v>0.216</v>
      </c>
      <c r="AI15" s="30">
        <v>28</v>
      </c>
      <c r="AJ15" s="30">
        <v>2.58E-2</v>
      </c>
      <c r="AK15" s="45">
        <v>2.2599999999999999E-2</v>
      </c>
    </row>
    <row r="16" spans="2:37" ht="15" customHeight="1" x14ac:dyDescent="0.25">
      <c r="B16" s="2" t="s">
        <v>23</v>
      </c>
      <c r="C16" s="2">
        <f>IF(C25,SUM(C6:C8)+C9,IF(C13&lt;=C8, C6+C7+(C13/2), C6+C7+(C8/2)))</f>
        <v>35.25</v>
      </c>
      <c r="D16" s="2" t="str">
        <f>IF($D$2="English","in", "mm")</f>
        <v>mm</v>
      </c>
      <c r="I16" s="2" t="s">
        <v>35</v>
      </c>
      <c r="J16" s="24">
        <f>SUM(N6:N10)^-1</f>
        <v>494983803102.69757</v>
      </c>
      <c r="K16" s="2" t="str">
        <f>IF($D$2="English","lbf/in","mN/m")</f>
        <v>mN/m</v>
      </c>
      <c r="Q16" s="44">
        <v>12</v>
      </c>
      <c r="R16" s="30">
        <v>1.75</v>
      </c>
      <c r="S16" s="30">
        <v>84.3</v>
      </c>
      <c r="T16" s="31">
        <v>76.3</v>
      </c>
      <c r="V16" s="29">
        <v>12</v>
      </c>
      <c r="W16" s="30">
        <v>1.25</v>
      </c>
      <c r="X16" s="30">
        <v>92.1</v>
      </c>
      <c r="Y16" s="45">
        <v>86</v>
      </c>
      <c r="AA16" s="51">
        <f>1/4</f>
        <v>0.25</v>
      </c>
      <c r="AB16" s="29">
        <v>0.25</v>
      </c>
      <c r="AC16" s="30">
        <v>20</v>
      </c>
      <c r="AD16" s="30">
        <v>3.1800000000000002E-2</v>
      </c>
      <c r="AE16" s="31">
        <v>2.69E-2</v>
      </c>
      <c r="AG16" s="37">
        <f>1/4</f>
        <v>0.25</v>
      </c>
      <c r="AH16" s="29">
        <v>0.25</v>
      </c>
      <c r="AI16" s="30">
        <v>28</v>
      </c>
      <c r="AJ16" s="30">
        <v>3.6400000000000002E-2</v>
      </c>
      <c r="AK16" s="45">
        <v>3.2599999999999997E-2</v>
      </c>
    </row>
    <row r="17" spans="2:37" ht="15" customHeight="1" x14ac:dyDescent="0.25">
      <c r="B17" s="2" t="s">
        <v>22</v>
      </c>
      <c r="C17" s="2">
        <f>IF(F17,C15,IF($D$2="English",IF(C15&lt;=6, 2*C13+0.25, 2*C13+0.5),IF(AND(C15&lt;=125,C13&lt;=48),2*C13+6,IF(C15&lt;=200,2*C13+12,2*C13+25))))</f>
        <v>18</v>
      </c>
      <c r="D17" s="2" t="str">
        <f t="shared" ref="D17" si="7">IF($D$2="English","in", "mm")</f>
        <v>mm</v>
      </c>
      <c r="E17" s="1" t="s">
        <v>38</v>
      </c>
      <c r="F17" s="20" t="b">
        <v>0</v>
      </c>
      <c r="I17" s="2"/>
      <c r="J17" s="19">
        <f>IF($D$2="English",J16*10^-6,J16*10^-9)</f>
        <v>494.98380310269761</v>
      </c>
      <c r="K17" s="2" t="str">
        <f>IF($D$2="English","Mlbf/in","MN/m")</f>
        <v>MN/m</v>
      </c>
      <c r="Q17" s="44">
        <v>14</v>
      </c>
      <c r="R17" s="30">
        <v>2</v>
      </c>
      <c r="S17" s="30">
        <v>115</v>
      </c>
      <c r="T17" s="31">
        <v>104</v>
      </c>
      <c r="V17" s="29">
        <v>14</v>
      </c>
      <c r="W17" s="30">
        <v>1.5</v>
      </c>
      <c r="X17" s="30">
        <v>125</v>
      </c>
      <c r="Y17" s="45">
        <v>116</v>
      </c>
      <c r="AA17" s="51">
        <f>5/16</f>
        <v>0.3125</v>
      </c>
      <c r="AB17" s="29">
        <v>0.3125</v>
      </c>
      <c r="AC17" s="30">
        <v>18</v>
      </c>
      <c r="AD17" s="30">
        <v>5.2400000000000002E-2</v>
      </c>
      <c r="AE17" s="31">
        <v>4.5400000000000003E-2</v>
      </c>
      <c r="AG17" s="37">
        <f>5/16</f>
        <v>0.3125</v>
      </c>
      <c r="AH17" s="29">
        <v>0.3125</v>
      </c>
      <c r="AI17" s="30">
        <v>24</v>
      </c>
      <c r="AJ17" s="30">
        <v>5.8000000000000003E-2</v>
      </c>
      <c r="AK17" s="45">
        <v>5.2400000000000002E-2</v>
      </c>
    </row>
    <row r="18" spans="2:37" ht="15" customHeight="1" x14ac:dyDescent="0.25">
      <c r="B18" s="2" t="s">
        <v>25</v>
      </c>
      <c r="C18" s="2">
        <f>C15-C17</f>
        <v>22.5</v>
      </c>
      <c r="D18" s="2" t="str">
        <f>IF($D$2="English","in", "mm")</f>
        <v>mm</v>
      </c>
      <c r="Q18" s="44">
        <v>16</v>
      </c>
      <c r="R18" s="30">
        <v>2</v>
      </c>
      <c r="S18" s="30">
        <v>157</v>
      </c>
      <c r="T18" s="31">
        <v>144</v>
      </c>
      <c r="V18" s="29">
        <v>16</v>
      </c>
      <c r="W18" s="30">
        <v>1.5</v>
      </c>
      <c r="X18" s="30">
        <v>167</v>
      </c>
      <c r="Y18" s="45">
        <v>157</v>
      </c>
      <c r="AA18" s="51">
        <f>3/8</f>
        <v>0.375</v>
      </c>
      <c r="AB18" s="29">
        <v>0.375</v>
      </c>
      <c r="AC18" s="30">
        <v>16</v>
      </c>
      <c r="AD18" s="30">
        <v>7.7499999999999999E-2</v>
      </c>
      <c r="AE18" s="31">
        <v>6.7799999999999999E-2</v>
      </c>
      <c r="AG18" s="37">
        <f>3/8</f>
        <v>0.375</v>
      </c>
      <c r="AH18" s="29">
        <v>0.375</v>
      </c>
      <c r="AI18" s="30">
        <v>24</v>
      </c>
      <c r="AJ18" s="30">
        <v>8.7800000000000003E-2</v>
      </c>
      <c r="AK18" s="45">
        <v>8.09E-2</v>
      </c>
    </row>
    <row r="19" spans="2:37" ht="15" customHeight="1" x14ac:dyDescent="0.25">
      <c r="B19" s="2" t="s">
        <v>26</v>
      </c>
      <c r="C19" s="2">
        <f>C16-C18</f>
        <v>12.75</v>
      </c>
      <c r="D19" s="2" t="str">
        <f>IF($D$2="English","in", "mm")</f>
        <v>mm</v>
      </c>
      <c r="I19" s="2" t="s">
        <v>57</v>
      </c>
      <c r="J19" s="28">
        <f>C33/(C33+J16)</f>
        <v>0.22625971121406588</v>
      </c>
      <c r="Q19" s="44">
        <v>20</v>
      </c>
      <c r="R19" s="30">
        <v>2.5</v>
      </c>
      <c r="S19" s="30">
        <v>245</v>
      </c>
      <c r="T19" s="31">
        <v>225</v>
      </c>
      <c r="V19" s="29">
        <v>20</v>
      </c>
      <c r="W19" s="30">
        <v>1.5</v>
      </c>
      <c r="X19" s="30">
        <v>272</v>
      </c>
      <c r="Y19" s="45">
        <v>259</v>
      </c>
      <c r="AA19" s="51">
        <f>7/16</f>
        <v>0.4375</v>
      </c>
      <c r="AB19" s="29">
        <v>0.4375</v>
      </c>
      <c r="AC19" s="30">
        <v>14</v>
      </c>
      <c r="AD19" s="30">
        <v>0.10630000000000001</v>
      </c>
      <c r="AE19" s="31">
        <v>9.3299999999999994E-2</v>
      </c>
      <c r="AG19" s="37">
        <f>7/16</f>
        <v>0.4375</v>
      </c>
      <c r="AH19" s="29">
        <v>0.4375</v>
      </c>
      <c r="AI19" s="30">
        <v>20</v>
      </c>
      <c r="AJ19" s="30">
        <v>0.1187</v>
      </c>
      <c r="AK19" s="45">
        <v>0.109</v>
      </c>
    </row>
    <row r="20" spans="2:37" ht="15" customHeight="1" x14ac:dyDescent="0.25">
      <c r="B20" s="2" t="s">
        <v>7</v>
      </c>
      <c r="C20" s="18">
        <f>(PI()*(C13^2))/4</f>
        <v>28.274333882308138</v>
      </c>
      <c r="D20" s="2" t="str">
        <f>IF($D$2="English","in^2","mm^2")</f>
        <v>mm^2</v>
      </c>
      <c r="Q20" s="44">
        <v>24</v>
      </c>
      <c r="R20" s="30">
        <v>3</v>
      </c>
      <c r="S20" s="30">
        <v>353</v>
      </c>
      <c r="T20" s="31">
        <v>324</v>
      </c>
      <c r="V20" s="29">
        <v>24</v>
      </c>
      <c r="W20" s="30">
        <v>2</v>
      </c>
      <c r="X20" s="30">
        <v>384</v>
      </c>
      <c r="Y20" s="45">
        <v>365</v>
      </c>
      <c r="AA20" s="51">
        <f>1/2</f>
        <v>0.5</v>
      </c>
      <c r="AB20" s="29">
        <v>0.5</v>
      </c>
      <c r="AC20" s="30">
        <v>13</v>
      </c>
      <c r="AD20" s="30">
        <v>0.1419</v>
      </c>
      <c r="AE20" s="31">
        <v>0.12570000000000001</v>
      </c>
      <c r="AG20" s="37">
        <f>1/2</f>
        <v>0.5</v>
      </c>
      <c r="AH20" s="29">
        <v>0.5</v>
      </c>
      <c r="AI20" s="30">
        <v>20</v>
      </c>
      <c r="AJ20" s="30">
        <v>0.15989999999999999</v>
      </c>
      <c r="AK20" s="45">
        <v>0.14860000000000001</v>
      </c>
    </row>
    <row r="21" spans="2:37" ht="15" customHeight="1" x14ac:dyDescent="0.25">
      <c r="B21" s="2" t="s">
        <v>8</v>
      </c>
      <c r="C21" s="2">
        <f>IF($D$2="English",IF($C$14="UNC",VLOOKUP($C$13,$AB$6:$AE$27,3,FALSE),VLOOKUP($C$13,$AH$6:$AK$27,3,FALSE)), IF($C$14="UNC",VLOOKUP($C$13,$Q$6:$T$31,3,FALSE),VLOOKUP($C$13,$V$6:$Y$31,3,FALSE)))</f>
        <v>20.100000000000001</v>
      </c>
      <c r="D21" s="2" t="str">
        <f>IF($D$2="English","in^2","mm^2")</f>
        <v>mm^2</v>
      </c>
      <c r="Q21" s="44">
        <v>30</v>
      </c>
      <c r="R21" s="30">
        <v>3.5</v>
      </c>
      <c r="S21" s="30">
        <v>561</v>
      </c>
      <c r="T21" s="31">
        <v>519</v>
      </c>
      <c r="V21" s="29">
        <v>30</v>
      </c>
      <c r="W21" s="30">
        <v>2</v>
      </c>
      <c r="X21" s="30">
        <v>621</v>
      </c>
      <c r="Y21" s="45">
        <v>596</v>
      </c>
      <c r="AA21" s="51">
        <f>9/16</f>
        <v>0.5625</v>
      </c>
      <c r="AB21" s="29">
        <v>0.5625</v>
      </c>
      <c r="AC21" s="30">
        <v>12</v>
      </c>
      <c r="AD21" s="30">
        <v>0.182</v>
      </c>
      <c r="AE21" s="31">
        <v>0.16200000000000001</v>
      </c>
      <c r="AG21" s="37">
        <f>9/16</f>
        <v>0.5625</v>
      </c>
      <c r="AH21" s="29">
        <v>0.5625</v>
      </c>
      <c r="AI21" s="30">
        <v>18</v>
      </c>
      <c r="AJ21" s="30">
        <v>0.20300000000000001</v>
      </c>
      <c r="AK21" s="45">
        <v>0.189</v>
      </c>
    </row>
    <row r="22" spans="2:37" ht="15" customHeight="1" x14ac:dyDescent="0.25">
      <c r="B22" s="2" t="str">
        <f>IF($D$2="English","Bolt threads per inch, p","Bolt pitch, p")</f>
        <v>Bolt pitch, p</v>
      </c>
      <c r="C22" s="2">
        <f>IF($D$2="English",IF($C$14="UNC",VLOOKUP($C$13,$AB$6:$AE$27,2,FALSE),VLOOKUP($C$13,$AH$6:$AK$27,2,FALSE)), IF($C$14="UNC",VLOOKUP($C$13,$Q$6:$T$31,2,FALSE),VLOOKUP($C$13,$V$6:$Y$31,2,FALSE)))</f>
        <v>1</v>
      </c>
      <c r="D22" s="2" t="str">
        <f>IF($D$2="English","threads/in","mm")</f>
        <v>mm</v>
      </c>
      <c r="Q22" s="44">
        <v>36</v>
      </c>
      <c r="R22" s="30">
        <v>4</v>
      </c>
      <c r="S22" s="30">
        <v>817</v>
      </c>
      <c r="T22" s="31">
        <v>759</v>
      </c>
      <c r="V22" s="29">
        <v>36</v>
      </c>
      <c r="W22" s="30">
        <v>2</v>
      </c>
      <c r="X22" s="30">
        <v>915</v>
      </c>
      <c r="Y22" s="45">
        <v>884</v>
      </c>
      <c r="AA22" s="51">
        <f>5/8</f>
        <v>0.625</v>
      </c>
      <c r="AB22" s="29">
        <v>0.625</v>
      </c>
      <c r="AC22" s="30">
        <v>11</v>
      </c>
      <c r="AD22" s="30">
        <v>0.22600000000000001</v>
      </c>
      <c r="AE22" s="31">
        <v>0.20200000000000001</v>
      </c>
      <c r="AG22" s="37">
        <f>5/8</f>
        <v>0.625</v>
      </c>
      <c r="AH22" s="29">
        <v>0.625</v>
      </c>
      <c r="AI22" s="30">
        <v>18</v>
      </c>
      <c r="AJ22" s="30">
        <v>0.25600000000000001</v>
      </c>
      <c r="AK22" s="45">
        <v>0.24</v>
      </c>
    </row>
    <row r="23" spans="2:37" ht="15" customHeight="1" x14ac:dyDescent="0.25">
      <c r="Q23" s="44">
        <v>42</v>
      </c>
      <c r="R23" s="30">
        <v>4.5</v>
      </c>
      <c r="S23" s="30">
        <v>1120</v>
      </c>
      <c r="T23" s="31">
        <v>1050</v>
      </c>
      <c r="V23" s="29">
        <v>42</v>
      </c>
      <c r="W23" s="30">
        <v>2</v>
      </c>
      <c r="X23" s="30">
        <v>1260</v>
      </c>
      <c r="Y23" s="45">
        <v>1230</v>
      </c>
      <c r="AA23" s="51">
        <f>3/4</f>
        <v>0.75</v>
      </c>
      <c r="AB23" s="29">
        <v>0.75</v>
      </c>
      <c r="AC23" s="30">
        <v>10</v>
      </c>
      <c r="AD23" s="30">
        <v>0.33400000000000002</v>
      </c>
      <c r="AE23" s="31">
        <v>0.30199999999999999</v>
      </c>
      <c r="AG23" s="37">
        <f>3/4</f>
        <v>0.75</v>
      </c>
      <c r="AH23" s="29">
        <v>0.75</v>
      </c>
      <c r="AI23" s="30">
        <v>16</v>
      </c>
      <c r="AJ23" s="30">
        <v>0.373</v>
      </c>
      <c r="AK23" s="45">
        <v>0.35099999999999998</v>
      </c>
    </row>
    <row r="24" spans="2:37" ht="15" customHeight="1" x14ac:dyDescent="0.25">
      <c r="B24" s="1" t="s">
        <v>9</v>
      </c>
      <c r="C24" s="20" t="b">
        <v>0</v>
      </c>
      <c r="D24" s="57" t="s">
        <v>36</v>
      </c>
      <c r="E24" s="57"/>
      <c r="F24" s="57"/>
      <c r="Q24" s="44">
        <v>48</v>
      </c>
      <c r="R24" s="30">
        <v>5</v>
      </c>
      <c r="S24" s="30">
        <v>1470</v>
      </c>
      <c r="T24" s="31">
        <v>1380</v>
      </c>
      <c r="V24" s="29">
        <v>48</v>
      </c>
      <c r="W24" s="30">
        <v>2</v>
      </c>
      <c r="X24" s="30">
        <v>1670</v>
      </c>
      <c r="Y24" s="45">
        <v>1630</v>
      </c>
      <c r="AA24" s="51">
        <f>7/8</f>
        <v>0.875</v>
      </c>
      <c r="AB24" s="29">
        <v>0.875</v>
      </c>
      <c r="AC24" s="30">
        <v>9</v>
      </c>
      <c r="AD24" s="30">
        <v>0.46200000000000002</v>
      </c>
      <c r="AE24" s="31">
        <v>0.41899999999999998</v>
      </c>
      <c r="AG24" s="37">
        <f>7/8</f>
        <v>0.875</v>
      </c>
      <c r="AH24" s="29">
        <v>0.875</v>
      </c>
      <c r="AI24" s="30">
        <v>14</v>
      </c>
      <c r="AJ24" s="30">
        <v>0.50900000000000001</v>
      </c>
      <c r="AK24" s="45">
        <v>0.48</v>
      </c>
    </row>
    <row r="25" spans="2:37" ht="15" customHeight="1" x14ac:dyDescent="0.25">
      <c r="B25" s="1" t="s">
        <v>10</v>
      </c>
      <c r="C25" s="21" t="b">
        <f>NOT(C24)</f>
        <v>1</v>
      </c>
      <c r="D25" s="57"/>
      <c r="E25" s="57"/>
      <c r="F25" s="57"/>
      <c r="Q25" s="44">
        <v>56</v>
      </c>
      <c r="R25" s="30">
        <v>5.5</v>
      </c>
      <c r="S25" s="30">
        <v>2030</v>
      </c>
      <c r="T25" s="31">
        <v>1910</v>
      </c>
      <c r="V25" s="29">
        <v>56</v>
      </c>
      <c r="W25" s="30">
        <v>2</v>
      </c>
      <c r="X25" s="30">
        <v>2300</v>
      </c>
      <c r="Y25" s="45">
        <v>2250</v>
      </c>
      <c r="AA25" s="51">
        <f>1</f>
        <v>1</v>
      </c>
      <c r="AB25" s="29">
        <v>1</v>
      </c>
      <c r="AC25" s="30">
        <v>8</v>
      </c>
      <c r="AD25" s="30">
        <v>0.60599999999999998</v>
      </c>
      <c r="AE25" s="31">
        <v>0.55100000000000005</v>
      </c>
      <c r="AG25" s="37">
        <f>1</f>
        <v>1</v>
      </c>
      <c r="AH25" s="29">
        <v>1</v>
      </c>
      <c r="AI25" s="30">
        <v>12</v>
      </c>
      <c r="AJ25" s="30">
        <v>0.66300000000000003</v>
      </c>
      <c r="AK25" s="45">
        <v>0.625</v>
      </c>
    </row>
    <row r="26" spans="2:37" ht="15" customHeight="1" x14ac:dyDescent="0.25">
      <c r="Q26" s="44">
        <v>64</v>
      </c>
      <c r="R26" s="30">
        <v>6</v>
      </c>
      <c r="S26" s="30">
        <v>2680</v>
      </c>
      <c r="T26" s="31">
        <v>2520</v>
      </c>
      <c r="V26" s="29">
        <v>64</v>
      </c>
      <c r="W26" s="30">
        <v>2</v>
      </c>
      <c r="X26" s="30">
        <v>3030</v>
      </c>
      <c r="Y26" s="45">
        <v>2980</v>
      </c>
      <c r="AA26" s="51">
        <f>1.25</f>
        <v>1.25</v>
      </c>
      <c r="AB26" s="29">
        <v>1.25</v>
      </c>
      <c r="AC26" s="30">
        <v>7</v>
      </c>
      <c r="AD26" s="30">
        <v>0.96899999999999997</v>
      </c>
      <c r="AE26" s="31">
        <v>0.89</v>
      </c>
      <c r="AG26" s="37">
        <f>1.25</f>
        <v>1.25</v>
      </c>
      <c r="AH26" s="29">
        <v>1.25</v>
      </c>
      <c r="AI26" s="30">
        <v>12</v>
      </c>
      <c r="AJ26" s="30">
        <v>1.073</v>
      </c>
      <c r="AK26" s="45">
        <v>1.024</v>
      </c>
    </row>
    <row r="27" spans="2:37" ht="15" customHeight="1" thickBot="1" x14ac:dyDescent="0.3">
      <c r="B27" s="2" t="s">
        <v>39</v>
      </c>
      <c r="C27" s="24">
        <f>IF(C18=0,0,(C20*C12)/C18)</f>
        <v>260123871717.23486</v>
      </c>
      <c r="D27" s="2" t="str">
        <f>IF($D$2="English","lbf/in","mN/m")</f>
        <v>mN/m</v>
      </c>
      <c r="Q27" s="44">
        <v>72</v>
      </c>
      <c r="R27" s="30">
        <v>6</v>
      </c>
      <c r="S27" s="30">
        <v>3460</v>
      </c>
      <c r="T27" s="31">
        <v>3280</v>
      </c>
      <c r="V27" s="29">
        <v>72</v>
      </c>
      <c r="W27" s="30">
        <v>2</v>
      </c>
      <c r="X27" s="30">
        <v>3860</v>
      </c>
      <c r="Y27" s="45">
        <v>3800</v>
      </c>
      <c r="AA27" s="52">
        <f>1.5</f>
        <v>1.5</v>
      </c>
      <c r="AB27" s="49">
        <v>1.5</v>
      </c>
      <c r="AC27" s="47">
        <v>6</v>
      </c>
      <c r="AD27" s="47">
        <v>1.405</v>
      </c>
      <c r="AE27" s="48">
        <v>1.294</v>
      </c>
      <c r="AF27" s="54"/>
      <c r="AG27" s="53">
        <f>1.5</f>
        <v>1.5</v>
      </c>
      <c r="AH27" s="49">
        <v>1.5</v>
      </c>
      <c r="AI27" s="47">
        <v>12</v>
      </c>
      <c r="AJ27" s="47">
        <v>1.581</v>
      </c>
      <c r="AK27" s="50">
        <v>1.5209999999999999</v>
      </c>
    </row>
    <row r="28" spans="2:37" ht="15" customHeight="1" x14ac:dyDescent="0.25">
      <c r="B28" s="2"/>
      <c r="C28" s="19">
        <f>IF($D$2="English",C27*10^-6,C27*10^-9)</f>
        <v>260.12387171723486</v>
      </c>
      <c r="D28" s="2" t="str">
        <f>IF($D$2="English","Mlbf/in","MN/m")</f>
        <v>MN/m</v>
      </c>
      <c r="Q28" s="44">
        <v>80</v>
      </c>
      <c r="R28" s="30">
        <v>6</v>
      </c>
      <c r="S28" s="30">
        <v>4340</v>
      </c>
      <c r="T28" s="31">
        <v>4140</v>
      </c>
      <c r="V28" s="29">
        <v>80</v>
      </c>
      <c r="W28" s="30">
        <v>1.5</v>
      </c>
      <c r="X28" s="30">
        <v>4850</v>
      </c>
      <c r="Y28" s="45">
        <v>4800</v>
      </c>
    </row>
    <row r="29" spans="2:37" ht="15" customHeight="1" x14ac:dyDescent="0.25">
      <c r="Q29" s="44">
        <v>90</v>
      </c>
      <c r="R29" s="30">
        <v>6</v>
      </c>
      <c r="S29" s="30">
        <v>5590</v>
      </c>
      <c r="T29" s="31">
        <v>5360</v>
      </c>
      <c r="V29" s="29">
        <v>90</v>
      </c>
      <c r="W29" s="30">
        <v>2</v>
      </c>
      <c r="X29" s="30">
        <v>6100</v>
      </c>
      <c r="Y29" s="45">
        <v>6020</v>
      </c>
    </row>
    <row r="30" spans="2:37" ht="15" customHeight="1" x14ac:dyDescent="0.25">
      <c r="B30" s="2" t="s">
        <v>40</v>
      </c>
      <c r="C30" s="24">
        <f>IF(C19=0,0,(C21*C12)/C19)</f>
        <v>326329411764.70593</v>
      </c>
      <c r="D30" s="2" t="str">
        <f>IF($D$2="English","lbf/in","mN/m")</f>
        <v>mN/m</v>
      </c>
      <c r="Q30" s="44">
        <v>100</v>
      </c>
      <c r="R30" s="30">
        <v>6</v>
      </c>
      <c r="S30" s="30">
        <v>6990</v>
      </c>
      <c r="T30" s="31">
        <v>6740</v>
      </c>
      <c r="V30" s="29">
        <v>100</v>
      </c>
      <c r="W30" s="30">
        <v>2</v>
      </c>
      <c r="X30" s="30">
        <v>7560</v>
      </c>
      <c r="Y30" s="45">
        <v>7470</v>
      </c>
    </row>
    <row r="31" spans="2:37" ht="15" customHeight="1" thickBot="1" x14ac:dyDescent="0.3">
      <c r="B31" s="2"/>
      <c r="C31" s="19">
        <f>IF($D$2="English",C30*10^-6,C30*10^-9)</f>
        <v>326.32941176470598</v>
      </c>
      <c r="D31" s="2" t="str">
        <f>IF($D$2="English","Mlbf/in","MN/m")</f>
        <v>MN/m</v>
      </c>
      <c r="Q31" s="46">
        <v>110</v>
      </c>
      <c r="R31" s="47">
        <v>6</v>
      </c>
      <c r="S31" s="47" t="e">
        <f>NA()</f>
        <v>#N/A</v>
      </c>
      <c r="T31" s="47" t="e">
        <f>NA()</f>
        <v>#N/A</v>
      </c>
      <c r="U31" s="54"/>
      <c r="V31" s="49">
        <v>110</v>
      </c>
      <c r="W31" s="47">
        <v>2</v>
      </c>
      <c r="X31" s="47">
        <v>9180</v>
      </c>
      <c r="Y31" s="50">
        <v>9080</v>
      </c>
    </row>
    <row r="33" spans="2:4" ht="15" customHeight="1" x14ac:dyDescent="0.25">
      <c r="B33" s="2" t="s">
        <v>6</v>
      </c>
      <c r="C33" s="24">
        <f>SUM(IF(C27=0,0,C27^-1),IF(C30=0,0,C30^-1))^-1</f>
        <v>144744811623.27237</v>
      </c>
      <c r="D33" s="2" t="str">
        <f>IF($D$2="English","lbf/in","mN/m")</f>
        <v>mN/m</v>
      </c>
    </row>
    <row r="34" spans="2:4" ht="15" customHeight="1" x14ac:dyDescent="0.25">
      <c r="B34" s="2"/>
      <c r="C34" s="19">
        <f>IF($D$2="English",C33*10^-6,C33*10^-9)</f>
        <v>144.74481162327237</v>
      </c>
      <c r="D34" s="2" t="str">
        <f>IF($D$2="English","Mlbf/in","MN/m")</f>
        <v>MN/m</v>
      </c>
    </row>
    <row r="150" spans="38:38" ht="15" customHeight="1" x14ac:dyDescent="0.25">
      <c r="AL150" s="6" t="s">
        <v>27</v>
      </c>
    </row>
  </sheetData>
  <mergeCells count="5">
    <mergeCell ref="Q4:T4"/>
    <mergeCell ref="V4:Y4"/>
    <mergeCell ref="AA4:AE4"/>
    <mergeCell ref="AG4:AK4"/>
    <mergeCell ref="D24:F25"/>
  </mergeCells>
  <conditionalFormatting sqref="C16:D16">
    <cfRule type="expression" dxfId="7" priority="6">
      <formula>$C$16&lt;&gt;$J$12</formula>
    </cfRule>
    <cfRule type="duplicateValues" dxfId="6" priority="7"/>
  </conditionalFormatting>
  <conditionalFormatting sqref="I6:N6">
    <cfRule type="expression" dxfId="5" priority="4">
      <formula>0=$J$6</formula>
    </cfRule>
  </conditionalFormatting>
  <conditionalFormatting sqref="I7:N7">
    <cfRule type="expression" dxfId="4" priority="5">
      <formula>0=$J$7</formula>
    </cfRule>
  </conditionalFormatting>
  <conditionalFormatting sqref="I8:N8">
    <cfRule type="expression" dxfId="3" priority="3">
      <formula>0=$J$8</formula>
    </cfRule>
  </conditionalFormatting>
  <conditionalFormatting sqref="I9:N9">
    <cfRule type="expression" dxfId="2" priority="2">
      <formula>0=$J$9</formula>
    </cfRule>
  </conditionalFormatting>
  <conditionalFormatting sqref="I10:N10">
    <cfRule type="expression" dxfId="1" priority="1">
      <formula>0=$J$10</formula>
    </cfRule>
  </conditionalFormatting>
  <conditionalFormatting sqref="J12:K13">
    <cfRule type="expression" dxfId="0" priority="8">
      <formula>$C$16&lt;&gt;$J$12</formula>
    </cfRule>
  </conditionalFormatting>
  <dataValidations disablePrompts="1" count="2">
    <dataValidation type="list" allowBlank="1" showInputMessage="1" showErrorMessage="1" sqref="C14" xr:uid="{B6080A9B-3D04-4DAD-93C7-95B426997971}">
      <formula1>"UNC, UNF"</formula1>
    </dataValidation>
    <dataValidation type="list" allowBlank="1" showInputMessage="1" showErrorMessage="1" sqref="D2" xr:uid="{B6BEDBF0-E58A-49D4-9C91-ECF9E9F1289C}">
      <formula1>"English, Metric"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Calculating Stiffness</vt:lpstr>
      <vt:lpstr>Quiz on Spreadsheet 3 Q1</vt:lpstr>
      <vt:lpstr>Quiz on Spreadsheet 3 Q2</vt:lpstr>
      <vt:lpstr>Quiz on Spreadsheet 3 Q3</vt:lpstr>
      <vt:lpstr>Sample Quiz Q1</vt:lpstr>
      <vt:lpstr>Sample Quiz Q2</vt:lpstr>
      <vt:lpstr>Another Sample Quiz Q1</vt:lpstr>
      <vt:lpstr>Another Sample Quiz Q2</vt:lpstr>
      <vt:lpstr>Another Sample Quiz Q3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2025-01-13T08:32:02Z</dcterms:created>
  <dcterms:modified xsi:type="dcterms:W3CDTF">2025-01-30T10:45:01Z</dcterms:modified>
  <cp:category/>
  <cp:contentStatus/>
</cp:coreProperties>
</file>