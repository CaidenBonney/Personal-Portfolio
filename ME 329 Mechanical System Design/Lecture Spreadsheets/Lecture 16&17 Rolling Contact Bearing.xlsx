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Past Classes/ME 329 Mechanical Systems Design/"/>
    </mc:Choice>
  </mc:AlternateContent>
  <xr:revisionPtr revIDLastSave="1932" documentId="11_0B1D56BE9CDCCE836B02CE7A5FB0D4A9BBFD1C62" xr6:coauthVersionLast="47" xr6:coauthVersionMax="47" xr10:uidLastSave="{35CE8F26-9E21-4D5B-8841-434EC44F8F33}"/>
  <bookViews>
    <workbookView xWindow="-120" yWindow="-120" windowWidth="38640" windowHeight="21120" tabRatio="803" xr2:uid="{00000000-000D-0000-FFFF-FFFF00000000}"/>
  </bookViews>
  <sheets>
    <sheet name="L16-17 Bearings with Weibull" sheetId="15" r:id="rId1"/>
    <sheet name="L17 Quiz" sheetId="17" r:id="rId2"/>
    <sheet name="L1 Shaft Design-Moments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5" l="1"/>
  <c r="J16" i="15"/>
  <c r="I15" i="15"/>
  <c r="I16" i="15" s="1"/>
  <c r="J14" i="15"/>
  <c r="I9" i="15"/>
  <c r="I10" i="15" s="1"/>
  <c r="I7" i="15"/>
  <c r="I8" i="15" s="1"/>
  <c r="I9" i="17"/>
  <c r="I10" i="17" s="1"/>
  <c r="I7" i="17"/>
  <c r="I8" i="17" s="1"/>
  <c r="C5" i="17"/>
  <c r="C18" i="17"/>
  <c r="I15" i="17" s="1"/>
  <c r="J16" i="17"/>
  <c r="J14" i="17"/>
  <c r="C12" i="17"/>
  <c r="C11" i="17"/>
  <c r="C9" i="17"/>
  <c r="C21" i="17" s="1"/>
  <c r="J6" i="17"/>
  <c r="J5" i="17"/>
  <c r="I5" i="17"/>
  <c r="D5" i="17"/>
  <c r="I5" i="15"/>
  <c r="J5" i="15"/>
  <c r="C12" i="15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E40" i="16"/>
  <c r="I39" i="16"/>
  <c r="E39" i="16"/>
  <c r="I38" i="16"/>
  <c r="I37" i="16"/>
  <c r="E37" i="16"/>
  <c r="I36" i="16"/>
  <c r="E36" i="16"/>
  <c r="I35" i="16"/>
  <c r="I34" i="16"/>
  <c r="E34" i="16"/>
  <c r="I33" i="16"/>
  <c r="E33" i="16"/>
  <c r="I32" i="16"/>
  <c r="I31" i="16"/>
  <c r="I30" i="16"/>
  <c r="H30" i="16"/>
  <c r="F30" i="16"/>
  <c r="I29" i="16"/>
  <c r="H29" i="16"/>
  <c r="F29" i="16"/>
  <c r="I28" i="16"/>
  <c r="I27" i="16"/>
  <c r="I26" i="16"/>
  <c r="E26" i="16"/>
  <c r="D26" i="16"/>
  <c r="I25" i="16"/>
  <c r="E25" i="16"/>
  <c r="D25" i="16"/>
  <c r="I24" i="16"/>
  <c r="I23" i="16"/>
  <c r="I22" i="16"/>
  <c r="I21" i="16"/>
  <c r="G21" i="16"/>
  <c r="I20" i="16"/>
  <c r="G20" i="16"/>
  <c r="I19" i="16"/>
  <c r="G19" i="16"/>
  <c r="F19" i="16"/>
  <c r="E19" i="16" s="1"/>
  <c r="I18" i="16"/>
  <c r="G18" i="16"/>
  <c r="E18" i="16"/>
  <c r="D18" i="16"/>
  <c r="I17" i="16"/>
  <c r="I16" i="16"/>
  <c r="I15" i="16"/>
  <c r="E15" i="16"/>
  <c r="I14" i="16"/>
  <c r="E14" i="16"/>
  <c r="I13" i="16"/>
  <c r="I12" i="16"/>
  <c r="I11" i="16"/>
  <c r="E11" i="16"/>
  <c r="I10" i="16"/>
  <c r="E10" i="16"/>
  <c r="I9" i="16"/>
  <c r="E9" i="16"/>
  <c r="I8" i="16"/>
  <c r="E8" i="16"/>
  <c r="I7" i="16"/>
  <c r="I6" i="16"/>
  <c r="I5" i="16"/>
  <c r="E5" i="16"/>
  <c r="I4" i="16"/>
  <c r="I3" i="16"/>
  <c r="G2" i="16"/>
  <c r="L1" i="16"/>
  <c r="K1" i="16"/>
  <c r="J1" i="16"/>
  <c r="I1" i="16"/>
  <c r="I20" i="15" l="1"/>
  <c r="I17" i="15"/>
  <c r="I18" i="15" s="1"/>
  <c r="I16" i="17"/>
  <c r="I6" i="17"/>
  <c r="E30" i="16"/>
  <c r="E29" i="16" s="1"/>
  <c r="D19" i="16"/>
  <c r="I17" i="17" l="1"/>
  <c r="I18" i="17" s="1"/>
  <c r="I19" i="17"/>
  <c r="I20" i="17" s="1"/>
  <c r="K1000" i="16"/>
  <c r="K992" i="16"/>
  <c r="K984" i="16"/>
  <c r="K976" i="16"/>
  <c r="K968" i="16"/>
  <c r="K960" i="16"/>
  <c r="K952" i="16"/>
  <c r="K944" i="16"/>
  <c r="K936" i="16"/>
  <c r="K928" i="16"/>
  <c r="K920" i="16"/>
  <c r="K912" i="16"/>
  <c r="K904" i="16"/>
  <c r="K896" i="16"/>
  <c r="K888" i="16"/>
  <c r="K880" i="16"/>
  <c r="K872" i="16"/>
  <c r="K864" i="16"/>
  <c r="K856" i="16"/>
  <c r="K848" i="16"/>
  <c r="K840" i="16"/>
  <c r="K832" i="16"/>
  <c r="K824" i="16"/>
  <c r="K816" i="16"/>
  <c r="K808" i="16"/>
  <c r="K800" i="16"/>
  <c r="K792" i="16"/>
  <c r="K784" i="16"/>
  <c r="K776" i="16"/>
  <c r="K768" i="16"/>
  <c r="K760" i="16"/>
  <c r="K752" i="16"/>
  <c r="K744" i="16"/>
  <c r="K736" i="16"/>
  <c r="K728" i="16"/>
  <c r="K720" i="16"/>
  <c r="K712" i="16"/>
  <c r="K704" i="16"/>
  <c r="K696" i="16"/>
  <c r="K688" i="16"/>
  <c r="K680" i="16"/>
  <c r="K672" i="16"/>
  <c r="K664" i="16"/>
  <c r="K656" i="16"/>
  <c r="K648" i="16"/>
  <c r="K640" i="16"/>
  <c r="K632" i="16"/>
  <c r="K624" i="16"/>
  <c r="K616" i="16"/>
  <c r="K608" i="16"/>
  <c r="K600" i="16"/>
  <c r="K592" i="16"/>
  <c r="K584" i="16"/>
  <c r="K576" i="16"/>
  <c r="K568" i="16"/>
  <c r="K560" i="16"/>
  <c r="K552" i="16"/>
  <c r="K994" i="16"/>
  <c r="K963" i="16"/>
  <c r="K901" i="16"/>
  <c r="K866" i="16"/>
  <c r="K839" i="16"/>
  <c r="K804" i="16"/>
  <c r="K769" i="16"/>
  <c r="K742" i="16"/>
  <c r="K707" i="16"/>
  <c r="K645" i="16"/>
  <c r="K610" i="16"/>
  <c r="K583" i="16"/>
  <c r="K548" i="16"/>
  <c r="K531" i="16"/>
  <c r="K514" i="16"/>
  <c r="K497" i="16"/>
  <c r="K471" i="16"/>
  <c r="K454" i="16"/>
  <c r="K437" i="16"/>
  <c r="K420" i="16"/>
  <c r="K403" i="16"/>
  <c r="K386" i="16"/>
  <c r="K369" i="16"/>
  <c r="K343" i="16"/>
  <c r="K326" i="16"/>
  <c r="K318" i="16"/>
  <c r="K310" i="16"/>
  <c r="K302" i="16"/>
  <c r="K294" i="16"/>
  <c r="K286" i="16"/>
  <c r="K278" i="16"/>
  <c r="K270" i="16"/>
  <c r="K262" i="16"/>
  <c r="K254" i="16"/>
  <c r="K246" i="16"/>
  <c r="K238" i="16"/>
  <c r="K230" i="16"/>
  <c r="K222" i="16"/>
  <c r="K214" i="16"/>
  <c r="K206" i="16"/>
  <c r="K198" i="16"/>
  <c r="K190" i="16"/>
  <c r="K182" i="16"/>
  <c r="K174" i="16"/>
  <c r="K166" i="16"/>
  <c r="K158" i="16"/>
  <c r="K150" i="16"/>
  <c r="K142" i="16"/>
  <c r="K134" i="16"/>
  <c r="K126" i="16"/>
  <c r="K118" i="16"/>
  <c r="K110" i="16"/>
  <c r="K102" i="16"/>
  <c r="K94" i="16"/>
  <c r="K999" i="16"/>
  <c r="K989" i="16"/>
  <c r="K954" i="16"/>
  <c r="K927" i="16"/>
  <c r="K892" i="16"/>
  <c r="K857" i="16"/>
  <c r="K830" i="16"/>
  <c r="K795" i="16"/>
  <c r="K733" i="16"/>
  <c r="K698" i="16"/>
  <c r="K671" i="16"/>
  <c r="K636" i="16"/>
  <c r="K601" i="16"/>
  <c r="K574" i="16"/>
  <c r="K488" i="16"/>
  <c r="K360" i="16"/>
  <c r="K980" i="16"/>
  <c r="K945" i="16"/>
  <c r="K918" i="16"/>
  <c r="K883" i="16"/>
  <c r="K821" i="16"/>
  <c r="K786" i="16"/>
  <c r="K759" i="16"/>
  <c r="K724" i="16"/>
  <c r="K689" i="16"/>
  <c r="K662" i="16"/>
  <c r="K627" i="16"/>
  <c r="K565" i="16"/>
  <c r="K539" i="16"/>
  <c r="K522" i="16"/>
  <c r="K505" i="16"/>
  <c r="K479" i="16"/>
  <c r="K462" i="16"/>
  <c r="K445" i="16"/>
  <c r="K428" i="16"/>
  <c r="K411" i="16"/>
  <c r="K394" i="16"/>
  <c r="K377" i="16"/>
  <c r="K962" i="16"/>
  <c r="K935" i="16"/>
  <c r="K998" i="16"/>
  <c r="K988" i="16"/>
  <c r="K997" i="16"/>
  <c r="K996" i="16"/>
  <c r="K933" i="16"/>
  <c r="K995" i="16"/>
  <c r="K974" i="16"/>
  <c r="K934" i="16"/>
  <c r="K915" i="16"/>
  <c r="K877" i="16"/>
  <c r="K849" i="16"/>
  <c r="K820" i="16"/>
  <c r="K782" i="16"/>
  <c r="K745" i="16"/>
  <c r="K735" i="16"/>
  <c r="K697" i="16"/>
  <c r="K687" i="16"/>
  <c r="K650" i="16"/>
  <c r="K612" i="16"/>
  <c r="K555" i="16"/>
  <c r="K464" i="16"/>
  <c r="K400" i="16"/>
  <c r="K355" i="16"/>
  <c r="K311" i="16"/>
  <c r="K285" i="16"/>
  <c r="K268" i="16"/>
  <c r="K251" i="16"/>
  <c r="K234" i="16"/>
  <c r="K217" i="16"/>
  <c r="K200" i="16"/>
  <c r="K183" i="16"/>
  <c r="K157" i="16"/>
  <c r="K132" i="16"/>
  <c r="K99" i="16"/>
  <c r="K36" i="16"/>
  <c r="K25" i="16"/>
  <c r="K964" i="16"/>
  <c r="K924" i="16"/>
  <c r="K886" i="16"/>
  <c r="K829" i="16"/>
  <c r="K791" i="16"/>
  <c r="K754" i="16"/>
  <c r="K716" i="16"/>
  <c r="K659" i="16"/>
  <c r="K621" i="16"/>
  <c r="K593" i="16"/>
  <c r="K564" i="16"/>
  <c r="K527" i="16"/>
  <c r="K518" i="16"/>
  <c r="K509" i="16"/>
  <c r="K500" i="16"/>
  <c r="K491" i="16"/>
  <c r="K482" i="16"/>
  <c r="K473" i="16"/>
  <c r="K436" i="16"/>
  <c r="K427" i="16"/>
  <c r="K418" i="16"/>
  <c r="K409" i="16"/>
  <c r="K346" i="16"/>
  <c r="K337" i="16"/>
  <c r="K328" i="16"/>
  <c r="K140" i="16"/>
  <c r="K107" i="16"/>
  <c r="K12" i="16"/>
  <c r="K5" i="16"/>
  <c r="K90" i="16"/>
  <c r="K66" i="16"/>
  <c r="K50" i="16"/>
  <c r="K106" i="16"/>
  <c r="K4" i="16"/>
  <c r="K89" i="16"/>
  <c r="K858" i="16"/>
  <c r="K801" i="16"/>
  <c r="K763" i="16"/>
  <c r="K725" i="16"/>
  <c r="K706" i="16"/>
  <c r="K668" i="16"/>
  <c r="K630" i="16"/>
  <c r="K573" i="16"/>
  <c r="K536" i="16"/>
  <c r="K319" i="16"/>
  <c r="K293" i="16"/>
  <c r="K276" i="16"/>
  <c r="K259" i="16"/>
  <c r="K242" i="16"/>
  <c r="K225" i="16"/>
  <c r="K208" i="16"/>
  <c r="K191" i="16"/>
  <c r="K165" i="16"/>
  <c r="K148" i="16"/>
  <c r="K115" i="16"/>
  <c r="K74" i="16"/>
  <c r="K58" i="16"/>
  <c r="K42" i="16"/>
  <c r="K983" i="16"/>
  <c r="K953" i="16"/>
  <c r="K943" i="16"/>
  <c r="K905" i="16"/>
  <c r="K895" i="16"/>
  <c r="K867" i="16"/>
  <c r="K838" i="16"/>
  <c r="K810" i="16"/>
  <c r="K772" i="16"/>
  <c r="K715" i="16"/>
  <c r="K677" i="16"/>
  <c r="K602" i="16"/>
  <c r="K545" i="16"/>
  <c r="K463" i="16"/>
  <c r="K399" i="16"/>
  <c r="K390" i="16"/>
  <c r="K381" i="16"/>
  <c r="K372" i="16"/>
  <c r="K363" i="16"/>
  <c r="K123" i="16"/>
  <c r="K82" i="16"/>
  <c r="K35" i="16"/>
  <c r="K11" i="16"/>
  <c r="K973" i="16"/>
  <c r="K914" i="16"/>
  <c r="K876" i="16"/>
  <c r="K847" i="16"/>
  <c r="K819" i="16"/>
  <c r="K781" i="16"/>
  <c r="K734" i="16"/>
  <c r="K686" i="16"/>
  <c r="K649" i="16"/>
  <c r="K639" i="16"/>
  <c r="K611" i="16"/>
  <c r="K582" i="16"/>
  <c r="K554" i="16"/>
  <c r="K472" i="16"/>
  <c r="K408" i="16"/>
  <c r="K354" i="16"/>
  <c r="K336" i="16"/>
  <c r="K327" i="16"/>
  <c r="K301" i="16"/>
  <c r="K284" i="16"/>
  <c r="K267" i="16"/>
  <c r="K250" i="16"/>
  <c r="K233" i="16"/>
  <c r="K216" i="16"/>
  <c r="K199" i="16"/>
  <c r="K173" i="16"/>
  <c r="K156" i="16"/>
  <c r="K131" i="16"/>
  <c r="K98" i="16"/>
  <c r="K18" i="16"/>
  <c r="K923" i="16"/>
  <c r="K885" i="16"/>
  <c r="K828" i="16"/>
  <c r="K790" i="16"/>
  <c r="K753" i="16"/>
  <c r="K743" i="16"/>
  <c r="K695" i="16"/>
  <c r="K658" i="16"/>
  <c r="K620" i="16"/>
  <c r="K591" i="16"/>
  <c r="K563" i="16"/>
  <c r="K535" i="16"/>
  <c r="K526" i="16"/>
  <c r="K517" i="16"/>
  <c r="K508" i="16"/>
  <c r="K499" i="16"/>
  <c r="K490" i="16"/>
  <c r="K481" i="16"/>
  <c r="K453" i="16"/>
  <c r="K444" i="16"/>
  <c r="K435" i="16"/>
  <c r="K426" i="16"/>
  <c r="K417" i="16"/>
  <c r="K345" i="16"/>
  <c r="K139" i="16"/>
  <c r="K122" i="16"/>
  <c r="K81" i="16"/>
  <c r="K57" i="16"/>
  <c r="K762" i="16"/>
  <c r="K705" i="16"/>
  <c r="K667" i="16"/>
  <c r="K629" i="16"/>
  <c r="K572" i="16"/>
  <c r="K544" i="16"/>
  <c r="K309" i="16"/>
  <c r="K292" i="16"/>
  <c r="K275" i="16"/>
  <c r="K258" i="16"/>
  <c r="K241" i="16"/>
  <c r="K224" i="16"/>
  <c r="K207" i="16"/>
  <c r="K181" i="16"/>
  <c r="K164" i="16"/>
  <c r="K147" i="16"/>
  <c r="K114" i="16"/>
  <c r="K24" i="16"/>
  <c r="K982" i="16"/>
  <c r="K942" i="16"/>
  <c r="K932" i="16"/>
  <c r="K894" i="16"/>
  <c r="K837" i="16"/>
  <c r="K809" i="16"/>
  <c r="K799" i="16"/>
  <c r="K771" i="16"/>
  <c r="K714" i="16"/>
  <c r="K676" i="16"/>
  <c r="K407" i="16"/>
  <c r="K398" i="16"/>
  <c r="K389" i="16"/>
  <c r="K380" i="16"/>
  <c r="K371" i="16"/>
  <c r="K362" i="16"/>
  <c r="K335" i="16"/>
  <c r="K65" i="16"/>
  <c r="K993" i="16"/>
  <c r="K972" i="16"/>
  <c r="K951" i="16"/>
  <c r="K913" i="16"/>
  <c r="K903" i="16"/>
  <c r="K875" i="16"/>
  <c r="K855" i="16"/>
  <c r="K846" i="16"/>
  <c r="K818" i="16"/>
  <c r="K780" i="16"/>
  <c r="K723" i="16"/>
  <c r="K685" i="16"/>
  <c r="K638" i="16"/>
  <c r="K581" i="16"/>
  <c r="K553" i="16"/>
  <c r="K480" i="16"/>
  <c r="K416" i="16"/>
  <c r="K922" i="16"/>
  <c r="K884" i="16"/>
  <c r="K865" i="16"/>
  <c r="K827" i="16"/>
  <c r="K789" i="16"/>
  <c r="K732" i="16"/>
  <c r="K694" i="16"/>
  <c r="K657" i="16"/>
  <c r="K647" i="16"/>
  <c r="K619" i="16"/>
  <c r="K599" i="16"/>
  <c r="K590" i="16"/>
  <c r="K562" i="16"/>
  <c r="K543" i="16"/>
  <c r="K534" i="16"/>
  <c r="K525" i="16"/>
  <c r="K516" i="16"/>
  <c r="K507" i="16"/>
  <c r="K498" i="16"/>
  <c r="K489" i="16"/>
  <c r="K470" i="16"/>
  <c r="K461" i="16"/>
  <c r="K452" i="16"/>
  <c r="K443" i="16"/>
  <c r="K434" i="16"/>
  <c r="K425" i="16"/>
  <c r="K138" i="16"/>
  <c r="K105" i="16"/>
  <c r="K971" i="16"/>
  <c r="K961" i="16"/>
  <c r="K941" i="16"/>
  <c r="K874" i="16"/>
  <c r="K761" i="16"/>
  <c r="K751" i="16"/>
  <c r="K666" i="16"/>
  <c r="K628" i="16"/>
  <c r="K609" i="16"/>
  <c r="K571" i="16"/>
  <c r="K334" i="16"/>
  <c r="K325" i="16"/>
  <c r="K308" i="16"/>
  <c r="K291" i="16"/>
  <c r="K274" i="16"/>
  <c r="K257" i="16"/>
  <c r="K240" i="16"/>
  <c r="K981" i="16"/>
  <c r="K931" i="16"/>
  <c r="K893" i="16"/>
  <c r="K836" i="16"/>
  <c r="K798" i="16"/>
  <c r="K770" i="16"/>
  <c r="K741" i="16"/>
  <c r="K713" i="16"/>
  <c r="K703" i="16"/>
  <c r="K675" i="16"/>
  <c r="K618" i="16"/>
  <c r="K415" i="16"/>
  <c r="K406" i="16"/>
  <c r="K397" i="16"/>
  <c r="K388" i="16"/>
  <c r="K379" i="16"/>
  <c r="K370" i="16"/>
  <c r="K361" i="16"/>
  <c r="K352" i="16"/>
  <c r="K950" i="16"/>
  <c r="K902" i="16"/>
  <c r="K854" i="16"/>
  <c r="K845" i="16"/>
  <c r="K817" i="16"/>
  <c r="K807" i="16"/>
  <c r="K779" i="16"/>
  <c r="K750" i="16"/>
  <c r="K722" i="16"/>
  <c r="K684" i="16"/>
  <c r="K637" i="16"/>
  <c r="K580" i="16"/>
  <c r="K424" i="16"/>
  <c r="K316" i="16"/>
  <c r="K299" i="16"/>
  <c r="K282" i="16"/>
  <c r="K265" i="16"/>
  <c r="K248" i="16"/>
  <c r="K231" i="16"/>
  <c r="K205" i="16"/>
  <c r="K188" i="16"/>
  <c r="K171" i="16"/>
  <c r="K154" i="16"/>
  <c r="K129" i="16"/>
  <c r="K991" i="16"/>
  <c r="K970" i="16"/>
  <c r="K921" i="16"/>
  <c r="K911" i="16"/>
  <c r="K826" i="16"/>
  <c r="K788" i="16"/>
  <c r="K731" i="16"/>
  <c r="K693" i="16"/>
  <c r="K646" i="16"/>
  <c r="K598" i="16"/>
  <c r="K589" i="16"/>
  <c r="K561" i="16"/>
  <c r="K551" i="16"/>
  <c r="K542" i="16"/>
  <c r="K533" i="16"/>
  <c r="K524" i="16"/>
  <c r="K515" i="16"/>
  <c r="K506" i="16"/>
  <c r="K487" i="16"/>
  <c r="K478" i="16"/>
  <c r="K469" i="16"/>
  <c r="K460" i="16"/>
  <c r="K451" i="16"/>
  <c r="K442" i="16"/>
  <c r="K433" i="16"/>
  <c r="K351" i="16"/>
  <c r="K342" i="16"/>
  <c r="K940" i="16"/>
  <c r="K873" i="16"/>
  <c r="K863" i="16"/>
  <c r="K665" i="16"/>
  <c r="K655" i="16"/>
  <c r="K570" i="16"/>
  <c r="K496" i="16"/>
  <c r="K333" i="16"/>
  <c r="K324" i="16"/>
  <c r="K307" i="16"/>
  <c r="K290" i="16"/>
  <c r="K273" i="16"/>
  <c r="K256" i="16"/>
  <c r="K979" i="16"/>
  <c r="K959" i="16"/>
  <c r="K930" i="16"/>
  <c r="K882" i="16"/>
  <c r="K835" i="16"/>
  <c r="K797" i="16"/>
  <c r="K740" i="16"/>
  <c r="K702" i="16"/>
  <c r="K674" i="16"/>
  <c r="K617" i="16"/>
  <c r="K607" i="16"/>
  <c r="K423" i="16"/>
  <c r="K414" i="16"/>
  <c r="K405" i="16"/>
  <c r="K396" i="16"/>
  <c r="K387" i="16"/>
  <c r="K378" i="16"/>
  <c r="K949" i="16"/>
  <c r="K891" i="16"/>
  <c r="K853" i="16"/>
  <c r="K844" i="16"/>
  <c r="K806" i="16"/>
  <c r="K778" i="16"/>
  <c r="K749" i="16"/>
  <c r="K721" i="16"/>
  <c r="K711" i="16"/>
  <c r="K683" i="16"/>
  <c r="K626" i="16"/>
  <c r="K579" i="16"/>
  <c r="K432" i="16"/>
  <c r="K368" i="16"/>
  <c r="K359" i="16"/>
  <c r="K315" i="16"/>
  <c r="K990" i="16"/>
  <c r="K969" i="16"/>
  <c r="K910" i="16"/>
  <c r="K825" i="16"/>
  <c r="K815" i="16"/>
  <c r="K787" i="16"/>
  <c r="K758" i="16"/>
  <c r="K730" i="16"/>
  <c r="K692" i="16"/>
  <c r="K635" i="16"/>
  <c r="K597" i="16"/>
  <c r="K588" i="16"/>
  <c r="K550" i="16"/>
  <c r="K541" i="16"/>
  <c r="K532" i="16"/>
  <c r="K523" i="16"/>
  <c r="K495" i="16"/>
  <c r="K486" i="16"/>
  <c r="K477" i="16"/>
  <c r="K468" i="16"/>
  <c r="K459" i="16"/>
  <c r="K450" i="16"/>
  <c r="K441" i="16"/>
  <c r="K350" i="16"/>
  <c r="K341" i="16"/>
  <c r="K939" i="16"/>
  <c r="K919" i="16"/>
  <c r="K900" i="16"/>
  <c r="K862" i="16"/>
  <c r="K777" i="16"/>
  <c r="K767" i="16"/>
  <c r="K654" i="16"/>
  <c r="K569" i="16"/>
  <c r="K559" i="16"/>
  <c r="K504" i="16"/>
  <c r="K978" i="16"/>
  <c r="K958" i="16"/>
  <c r="K929" i="16"/>
  <c r="K909" i="16"/>
  <c r="K881" i="16"/>
  <c r="K871" i="16"/>
  <c r="K834" i="16"/>
  <c r="K796" i="16"/>
  <c r="K739" i="16"/>
  <c r="K701" i="16"/>
  <c r="K673" i="16"/>
  <c r="K663" i="16"/>
  <c r="K644" i="16"/>
  <c r="K606" i="16"/>
  <c r="K948" i="16"/>
  <c r="K890" i="16"/>
  <c r="K852" i="16"/>
  <c r="K843" i="16"/>
  <c r="K805" i="16"/>
  <c r="K748" i="16"/>
  <c r="K710" i="16"/>
  <c r="K682" i="16"/>
  <c r="K653" i="16"/>
  <c r="K625" i="16"/>
  <c r="K615" i="16"/>
  <c r="K578" i="16"/>
  <c r="K967" i="16"/>
  <c r="K814" i="16"/>
  <c r="K757" i="16"/>
  <c r="K729" i="16"/>
  <c r="K719" i="16"/>
  <c r="K691" i="16"/>
  <c r="K938" i="16"/>
  <c r="K899" i="16"/>
  <c r="K861" i="16"/>
  <c r="K823" i="16"/>
  <c r="K766" i="16"/>
  <c r="K558" i="16"/>
  <c r="K512" i="16"/>
  <c r="K977" i="16"/>
  <c r="K957" i="16"/>
  <c r="K908" i="16"/>
  <c r="K870" i="16"/>
  <c r="K833" i="16"/>
  <c r="K785" i="16"/>
  <c r="K775" i="16"/>
  <c r="K738" i="16"/>
  <c r="K700" i="16"/>
  <c r="K643" i="16"/>
  <c r="K605" i="16"/>
  <c r="K567" i="16"/>
  <c r="K987" i="16"/>
  <c r="K947" i="16"/>
  <c r="K917" i="16"/>
  <c r="K889" i="16"/>
  <c r="K879" i="16"/>
  <c r="K851" i="16"/>
  <c r="K842" i="16"/>
  <c r="K794" i="16"/>
  <c r="K747" i="16"/>
  <c r="K966" i="16"/>
  <c r="K926" i="16"/>
  <c r="K813" i="16"/>
  <c r="K756" i="16"/>
  <c r="K986" i="16"/>
  <c r="K956" i="16"/>
  <c r="K965" i="16"/>
  <c r="K925" i="16"/>
  <c r="K946" i="16"/>
  <c r="K566" i="16"/>
  <c r="K529" i="16"/>
  <c r="K511" i="16"/>
  <c r="K373" i="16"/>
  <c r="K141" i="16"/>
  <c r="K97" i="16"/>
  <c r="K87" i="16"/>
  <c r="K48" i="16"/>
  <c r="K77" i="16"/>
  <c r="K10" i="16"/>
  <c r="K47" i="16"/>
  <c r="K83" i="16"/>
  <c r="K228" i="16"/>
  <c r="K40" i="16"/>
  <c r="K831" i="16"/>
  <c r="K679" i="16"/>
  <c r="K357" i="16"/>
  <c r="K314" i="16"/>
  <c r="K235" i="16"/>
  <c r="K186" i="16"/>
  <c r="K68" i="16"/>
  <c r="K39" i="16"/>
  <c r="K32" i="16"/>
  <c r="K26" i="16"/>
  <c r="K2" i="16"/>
  <c r="K385" i="16"/>
  <c r="K272" i="16"/>
  <c r="K221" i="16"/>
  <c r="K197" i="16"/>
  <c r="K162" i="16"/>
  <c r="K108" i="16"/>
  <c r="K253" i="16"/>
  <c r="K143" i="16"/>
  <c r="K59" i="16"/>
  <c r="K660" i="16"/>
  <c r="K622" i="16"/>
  <c r="K585" i="16"/>
  <c r="K493" i="16"/>
  <c r="K447" i="16"/>
  <c r="K401" i="16"/>
  <c r="K287" i="16"/>
  <c r="K175" i="16"/>
  <c r="K86" i="16"/>
  <c r="K145" i="16"/>
  <c r="K22" i="16"/>
  <c r="K681" i="16"/>
  <c r="K897" i="16"/>
  <c r="K764" i="16"/>
  <c r="K641" i="16"/>
  <c r="K603" i="16"/>
  <c r="K546" i="16"/>
  <c r="K528" i="16"/>
  <c r="K476" i="16"/>
  <c r="K430" i="16"/>
  <c r="K329" i="16"/>
  <c r="K300" i="16"/>
  <c r="K260" i="16"/>
  <c r="K210" i="16"/>
  <c r="K151" i="16"/>
  <c r="K128" i="16"/>
  <c r="K96" i="16"/>
  <c r="K15" i="16"/>
  <c r="K746" i="16"/>
  <c r="K718" i="16"/>
  <c r="K699" i="16"/>
  <c r="K510" i="16"/>
  <c r="K196" i="16"/>
  <c r="K29" i="16"/>
  <c r="K169" i="16"/>
  <c r="K34" i="16"/>
  <c r="K783" i="16"/>
  <c r="K678" i="16"/>
  <c r="K413" i="16"/>
  <c r="K384" i="16"/>
  <c r="K356" i="16"/>
  <c r="K313" i="16"/>
  <c r="K245" i="16"/>
  <c r="K185" i="16"/>
  <c r="K67" i="16"/>
  <c r="K56" i="16"/>
  <c r="K31" i="16"/>
  <c r="K374" i="16"/>
  <c r="K176" i="16"/>
  <c r="K344" i="16"/>
  <c r="K916" i="16"/>
  <c r="K850" i="16"/>
  <c r="K492" i="16"/>
  <c r="K446" i="16"/>
  <c r="K340" i="16"/>
  <c r="K298" i="16"/>
  <c r="K271" i="16"/>
  <c r="K220" i="16"/>
  <c r="K161" i="16"/>
  <c r="K117" i="16"/>
  <c r="K76" i="16"/>
  <c r="K38" i="16"/>
  <c r="K72" i="16"/>
  <c r="K317" i="16"/>
  <c r="K223" i="16"/>
  <c r="K803" i="16"/>
  <c r="K475" i="16"/>
  <c r="K429" i="16"/>
  <c r="K232" i="16"/>
  <c r="K209" i="16"/>
  <c r="K172" i="16"/>
  <c r="K127" i="16"/>
  <c r="K95" i="16"/>
  <c r="K9" i="16"/>
  <c r="K111" i="16"/>
  <c r="K449" i="16"/>
  <c r="K448" i="16"/>
  <c r="K152" i="16"/>
  <c r="K717" i="16"/>
  <c r="K383" i="16"/>
  <c r="K367" i="16"/>
  <c r="K195" i="16"/>
  <c r="K137" i="16"/>
  <c r="K85" i="16"/>
  <c r="K46" i="16"/>
  <c r="K23" i="16"/>
  <c r="K125" i="16"/>
  <c r="K63" i="16"/>
  <c r="K135" i="16"/>
  <c r="K62" i="16"/>
  <c r="K52" i="16"/>
  <c r="K61" i="16"/>
  <c r="K331" i="16"/>
  <c r="K547" i="16"/>
  <c r="K869" i="16"/>
  <c r="K737" i="16"/>
  <c r="K458" i="16"/>
  <c r="K412" i="16"/>
  <c r="K312" i="16"/>
  <c r="K297" i="16"/>
  <c r="K244" i="16"/>
  <c r="K184" i="16"/>
  <c r="K149" i="16"/>
  <c r="K55" i="16"/>
  <c r="K30" i="16"/>
  <c r="K17" i="16"/>
  <c r="K54" i="16"/>
  <c r="K146" i="16"/>
  <c r="K661" i="16"/>
  <c r="K540" i="16"/>
  <c r="K339" i="16"/>
  <c r="K283" i="16"/>
  <c r="K219" i="16"/>
  <c r="K160" i="16"/>
  <c r="K116" i="16"/>
  <c r="K75" i="16"/>
  <c r="K37" i="16"/>
  <c r="K218" i="16"/>
  <c r="K13" i="16"/>
  <c r="K623" i="16"/>
  <c r="K119" i="16"/>
  <c r="K937" i="16"/>
  <c r="K802" i="16"/>
  <c r="K634" i="16"/>
  <c r="K596" i="16"/>
  <c r="K474" i="16"/>
  <c r="K353" i="16"/>
  <c r="K323" i="16"/>
  <c r="K255" i="16"/>
  <c r="K104" i="16"/>
  <c r="K64" i="16"/>
  <c r="K16" i="16"/>
  <c r="K193" i="16"/>
  <c r="K263" i="16"/>
  <c r="K898" i="16"/>
  <c r="K822" i="16"/>
  <c r="K395" i="16"/>
  <c r="K382" i="16"/>
  <c r="K366" i="16"/>
  <c r="K269" i="16"/>
  <c r="K194" i="16"/>
  <c r="K170" i="16"/>
  <c r="K136" i="16"/>
  <c r="K84" i="16"/>
  <c r="K45" i="16"/>
  <c r="K8" i="16"/>
  <c r="K73" i="16"/>
  <c r="K103" i="16"/>
  <c r="K419" i="16"/>
  <c r="K642" i="16"/>
  <c r="K868" i="16"/>
  <c r="K652" i="16"/>
  <c r="K614" i="16"/>
  <c r="K577" i="16"/>
  <c r="K521" i="16"/>
  <c r="K457" i="16"/>
  <c r="K296" i="16"/>
  <c r="K281" i="16"/>
  <c r="K243" i="16"/>
  <c r="K229" i="16"/>
  <c r="K159" i="16"/>
  <c r="K93" i="16"/>
  <c r="K113" i="16"/>
  <c r="K7" i="16"/>
  <c r="K92" i="16"/>
  <c r="K20" i="16"/>
  <c r="K530" i="16"/>
  <c r="K765" i="16"/>
  <c r="K633" i="16"/>
  <c r="K595" i="16"/>
  <c r="K557" i="16"/>
  <c r="K503" i="16"/>
  <c r="K440" i="16"/>
  <c r="K338" i="16"/>
  <c r="K14" i="16"/>
  <c r="K586" i="16"/>
  <c r="K670" i="16"/>
  <c r="K538" i="16"/>
  <c r="K410" i="16"/>
  <c r="K322" i="16"/>
  <c r="K204" i="16"/>
  <c r="K44" i="16"/>
  <c r="K71" i="16"/>
  <c r="K878" i="16"/>
  <c r="K985" i="16"/>
  <c r="K887" i="16"/>
  <c r="K755" i="16"/>
  <c r="K556" i="16"/>
  <c r="K520" i="16"/>
  <c r="K456" i="16"/>
  <c r="K365" i="16"/>
  <c r="K280" i="16"/>
  <c r="K180" i="16"/>
  <c r="K124" i="16"/>
  <c r="K43" i="16"/>
  <c r="K6" i="16"/>
  <c r="K133" i="16"/>
  <c r="K189" i="16"/>
  <c r="K28" i="16"/>
  <c r="K811" i="16"/>
  <c r="K494" i="16"/>
  <c r="K330" i="16"/>
  <c r="K690" i="16"/>
  <c r="K651" i="16"/>
  <c r="K613" i="16"/>
  <c r="K502" i="16"/>
  <c r="K485" i="16"/>
  <c r="K439" i="16"/>
  <c r="K295" i="16"/>
  <c r="K53" i="16"/>
  <c r="K121" i="16"/>
  <c r="K261" i="16"/>
  <c r="K19" i="16"/>
  <c r="K907" i="16"/>
  <c r="K774" i="16"/>
  <c r="K709" i="16"/>
  <c r="K594" i="16"/>
  <c r="K575" i="16"/>
  <c r="K422" i="16"/>
  <c r="K393" i="16"/>
  <c r="K349" i="16"/>
  <c r="K306" i="16"/>
  <c r="K266" i="16"/>
  <c r="K179" i="16"/>
  <c r="K51" i="16"/>
  <c r="K33" i="16"/>
  <c r="K841" i="16"/>
  <c r="K669" i="16"/>
  <c r="K631" i="16"/>
  <c r="K537" i="16"/>
  <c r="K519" i="16"/>
  <c r="K455" i="16"/>
  <c r="K321" i="16"/>
  <c r="K239" i="16"/>
  <c r="K203" i="16"/>
  <c r="K112" i="16"/>
  <c r="K288" i="16"/>
  <c r="K604" i="16"/>
  <c r="K211" i="16"/>
  <c r="K484" i="16"/>
  <c r="K364" i="16"/>
  <c r="K279" i="16"/>
  <c r="K215" i="16"/>
  <c r="K192" i="16"/>
  <c r="K168" i="16"/>
  <c r="K70" i="16"/>
  <c r="K201" i="16"/>
  <c r="K78" i="16"/>
  <c r="K501" i="16"/>
  <c r="K438" i="16"/>
  <c r="K392" i="16"/>
  <c r="K376" i="16"/>
  <c r="K252" i="16"/>
  <c r="K227" i="16"/>
  <c r="K144" i="16"/>
  <c r="K21" i="16"/>
  <c r="K237" i="16"/>
  <c r="K120" i="16"/>
  <c r="K49" i="16"/>
  <c r="K465" i="16"/>
  <c r="K955" i="16"/>
  <c r="K906" i="16"/>
  <c r="K860" i="16"/>
  <c r="K773" i="16"/>
  <c r="K727" i="16"/>
  <c r="K708" i="16"/>
  <c r="K467" i="16"/>
  <c r="K421" i="16"/>
  <c r="K348" i="16"/>
  <c r="K305" i="16"/>
  <c r="K264" i="16"/>
  <c r="K178" i="16"/>
  <c r="K155" i="16"/>
  <c r="K101" i="16"/>
  <c r="K91" i="16"/>
  <c r="K80" i="16"/>
  <c r="K41" i="16"/>
  <c r="K226" i="16"/>
  <c r="K249" i="16"/>
  <c r="K109" i="16"/>
  <c r="K247" i="16"/>
  <c r="K793" i="16"/>
  <c r="K332" i="16"/>
  <c r="K320" i="16"/>
  <c r="K213" i="16"/>
  <c r="K202" i="16"/>
  <c r="K153" i="16"/>
  <c r="K975" i="16"/>
  <c r="K88" i="16"/>
  <c r="K483" i="16"/>
  <c r="K404" i="16"/>
  <c r="K391" i="16"/>
  <c r="K375" i="16"/>
  <c r="K167" i="16"/>
  <c r="K402" i="16"/>
  <c r="K431" i="16"/>
  <c r="K163" i="16"/>
  <c r="K859" i="16"/>
  <c r="K812" i="16"/>
  <c r="K726" i="16"/>
  <c r="K549" i="16"/>
  <c r="K466" i="16"/>
  <c r="K347" i="16"/>
  <c r="K304" i="16"/>
  <c r="K289" i="16"/>
  <c r="K277" i="16"/>
  <c r="K177" i="16"/>
  <c r="K100" i="16"/>
  <c r="K79" i="16"/>
  <c r="K212" i="16"/>
  <c r="K60" i="16"/>
  <c r="K587" i="16"/>
  <c r="K513" i="16"/>
  <c r="K303" i="16"/>
  <c r="K358" i="16"/>
  <c r="K236" i="16"/>
  <c r="K187" i="16"/>
  <c r="K130" i="16"/>
  <c r="K69" i="16"/>
  <c r="K27" i="16"/>
  <c r="K3" i="16"/>
  <c r="D30" i="16"/>
  <c r="G30" i="16" s="1" a="1"/>
  <c r="G30" i="16" s="1"/>
  <c r="D29" i="16" l="1"/>
  <c r="J1000" i="16" l="1"/>
  <c r="L1000" i="16" s="1"/>
  <c r="J995" i="16"/>
  <c r="L995" i="16" s="1"/>
  <c r="J972" i="16"/>
  <c r="L972" i="16" s="1"/>
  <c r="J937" i="16"/>
  <c r="L937" i="16" s="1"/>
  <c r="J910" i="16"/>
  <c r="L910" i="16" s="1"/>
  <c r="J875" i="16"/>
  <c r="L875" i="16" s="1"/>
  <c r="J813" i="16"/>
  <c r="L813" i="16" s="1"/>
  <c r="J778" i="16"/>
  <c r="L778" i="16" s="1"/>
  <c r="J760" i="16"/>
  <c r="L760" i="16" s="1"/>
  <c r="J751" i="16"/>
  <c r="L751" i="16" s="1"/>
  <c r="J716" i="16"/>
  <c r="L716" i="16" s="1"/>
  <c r="J681" i="16"/>
  <c r="L681" i="16" s="1"/>
  <c r="J654" i="16"/>
  <c r="L654" i="16" s="1"/>
  <c r="J619" i="16"/>
  <c r="L619" i="16" s="1"/>
  <c r="J557" i="16"/>
  <c r="L557" i="16" s="1"/>
  <c r="J480" i="16"/>
  <c r="L480" i="16" s="1"/>
  <c r="J352" i="16"/>
  <c r="L352" i="16" s="1"/>
  <c r="D40" i="16" s="1"/>
  <c r="J963" i="16"/>
  <c r="L963" i="16" s="1"/>
  <c r="J901" i="16"/>
  <c r="L901" i="16" s="1"/>
  <c r="J866" i="16"/>
  <c r="L866" i="16" s="1"/>
  <c r="J848" i="16"/>
  <c r="L848" i="16" s="1"/>
  <c r="J839" i="16"/>
  <c r="L839" i="16" s="1"/>
  <c r="J804" i="16"/>
  <c r="L804" i="16" s="1"/>
  <c r="J769" i="16"/>
  <c r="L769" i="16" s="1"/>
  <c r="J742" i="16"/>
  <c r="L742" i="16" s="1"/>
  <c r="J707" i="16"/>
  <c r="L707" i="16" s="1"/>
  <c r="J645" i="16"/>
  <c r="L645" i="16" s="1"/>
  <c r="J610" i="16"/>
  <c r="L610" i="16" s="1"/>
  <c r="J592" i="16"/>
  <c r="L592" i="16" s="1"/>
  <c r="J583" i="16"/>
  <c r="L583" i="16" s="1"/>
  <c r="J548" i="16"/>
  <c r="L548" i="16" s="1"/>
  <c r="J531" i="16"/>
  <c r="L531" i="16" s="1"/>
  <c r="J514" i="16"/>
  <c r="L514" i="16" s="1"/>
  <c r="J497" i="16"/>
  <c r="L497" i="16" s="1"/>
  <c r="J471" i="16"/>
  <c r="L471" i="16" s="1"/>
  <c r="J454" i="16"/>
  <c r="L454" i="16" s="1"/>
  <c r="J437" i="16"/>
  <c r="L437" i="16" s="1"/>
  <c r="J420" i="16"/>
  <c r="L420" i="16" s="1"/>
  <c r="J403" i="16"/>
  <c r="L403" i="16" s="1"/>
  <c r="J386" i="16"/>
  <c r="L386" i="16" s="1"/>
  <c r="J369" i="16"/>
  <c r="L369" i="16" s="1"/>
  <c r="J343" i="16"/>
  <c r="L343" i="16" s="1"/>
  <c r="J326" i="16"/>
  <c r="L326" i="16" s="1"/>
  <c r="J318" i="16"/>
  <c r="L318" i="16" s="1"/>
  <c r="J310" i="16"/>
  <c r="L310" i="16" s="1"/>
  <c r="J302" i="16"/>
  <c r="L302" i="16" s="1"/>
  <c r="J294" i="16"/>
  <c r="L294" i="16" s="1"/>
  <c r="J286" i="16"/>
  <c r="L286" i="16" s="1"/>
  <c r="J278" i="16"/>
  <c r="L278" i="16" s="1"/>
  <c r="J270" i="16"/>
  <c r="L270" i="16" s="1"/>
  <c r="J262" i="16"/>
  <c r="L262" i="16" s="1"/>
  <c r="J254" i="16"/>
  <c r="L254" i="16" s="1"/>
  <c r="J246" i="16"/>
  <c r="L246" i="16" s="1"/>
  <c r="J238" i="16"/>
  <c r="L238" i="16" s="1"/>
  <c r="J230" i="16"/>
  <c r="L230" i="16" s="1"/>
  <c r="J222" i="16"/>
  <c r="L222" i="16" s="1"/>
  <c r="J214" i="16"/>
  <c r="L214" i="16" s="1"/>
  <c r="J206" i="16"/>
  <c r="L206" i="16" s="1"/>
  <c r="J198" i="16"/>
  <c r="L198" i="16" s="1"/>
  <c r="J190" i="16"/>
  <c r="L190" i="16" s="1"/>
  <c r="J182" i="16"/>
  <c r="L182" i="16" s="1"/>
  <c r="J174" i="16"/>
  <c r="L174" i="16" s="1"/>
  <c r="J166" i="16"/>
  <c r="L166" i="16" s="1"/>
  <c r="J158" i="16"/>
  <c r="L158" i="16" s="1"/>
  <c r="J150" i="16"/>
  <c r="L150" i="16" s="1"/>
  <c r="J999" i="16"/>
  <c r="L999" i="16" s="1"/>
  <c r="J989" i="16"/>
  <c r="L989" i="16" s="1"/>
  <c r="J954" i="16"/>
  <c r="L954" i="16" s="1"/>
  <c r="J936" i="16"/>
  <c r="L936" i="16" s="1"/>
  <c r="J927" i="16"/>
  <c r="L927" i="16" s="1"/>
  <c r="J892" i="16"/>
  <c r="L892" i="16" s="1"/>
  <c r="J857" i="16"/>
  <c r="L857" i="16" s="1"/>
  <c r="J830" i="16"/>
  <c r="L830" i="16" s="1"/>
  <c r="J795" i="16"/>
  <c r="L795" i="16" s="1"/>
  <c r="J733" i="16"/>
  <c r="L733" i="16" s="1"/>
  <c r="J698" i="16"/>
  <c r="L698" i="16" s="1"/>
  <c r="J680" i="16"/>
  <c r="L680" i="16" s="1"/>
  <c r="J671" i="16"/>
  <c r="L671" i="16" s="1"/>
  <c r="J636" i="16"/>
  <c r="L636" i="16" s="1"/>
  <c r="J601" i="16"/>
  <c r="L601" i="16" s="1"/>
  <c r="J574" i="16"/>
  <c r="L574" i="16" s="1"/>
  <c r="J488" i="16"/>
  <c r="L488" i="16" s="1"/>
  <c r="J980" i="16"/>
  <c r="L980" i="16" s="1"/>
  <c r="J971" i="16"/>
  <c r="L971" i="16" s="1"/>
  <c r="J998" i="16"/>
  <c r="L998" i="16" s="1"/>
  <c r="J997" i="16"/>
  <c r="L997" i="16" s="1"/>
  <c r="J996" i="16"/>
  <c r="L996" i="16" s="1"/>
  <c r="J969" i="16"/>
  <c r="L969" i="16" s="1"/>
  <c r="J942" i="16"/>
  <c r="L942" i="16" s="1"/>
  <c r="J994" i="16"/>
  <c r="L994" i="16" s="1"/>
  <c r="J955" i="16"/>
  <c r="L955" i="16" s="1"/>
  <c r="J906" i="16"/>
  <c r="L906" i="16" s="1"/>
  <c r="J868" i="16"/>
  <c r="L868" i="16" s="1"/>
  <c r="J811" i="16"/>
  <c r="L811" i="16" s="1"/>
  <c r="J773" i="16"/>
  <c r="L773" i="16" s="1"/>
  <c r="J678" i="16"/>
  <c r="L678" i="16" s="1"/>
  <c r="J641" i="16"/>
  <c r="L641" i="16" s="1"/>
  <c r="J603" i="16"/>
  <c r="L603" i="16" s="1"/>
  <c r="J584" i="16"/>
  <c r="L584" i="16" s="1"/>
  <c r="J546" i="16"/>
  <c r="L546" i="16" s="1"/>
  <c r="J537" i="16"/>
  <c r="L537" i="16" s="1"/>
  <c r="J455" i="16"/>
  <c r="L455" i="16" s="1"/>
  <c r="J446" i="16"/>
  <c r="L446" i="16" s="1"/>
  <c r="J391" i="16"/>
  <c r="L391" i="16" s="1"/>
  <c r="J382" i="16"/>
  <c r="L382" i="16" s="1"/>
  <c r="J373" i="16"/>
  <c r="L373" i="16" s="1"/>
  <c r="J364" i="16"/>
  <c r="L364" i="16" s="1"/>
  <c r="J124" i="16"/>
  <c r="L124" i="16" s="1"/>
  <c r="J91" i="16"/>
  <c r="L91" i="16" s="1"/>
  <c r="J83" i="16"/>
  <c r="L83" i="16" s="1"/>
  <c r="J75" i="16"/>
  <c r="L75" i="16" s="1"/>
  <c r="J67" i="16"/>
  <c r="L67" i="16" s="1"/>
  <c r="J59" i="16"/>
  <c r="L59" i="16" s="1"/>
  <c r="J51" i="16"/>
  <c r="L51" i="16" s="1"/>
  <c r="J43" i="16"/>
  <c r="L43" i="16" s="1"/>
  <c r="J114" i="16"/>
  <c r="L114" i="16" s="1"/>
  <c r="J984" i="16"/>
  <c r="L984" i="16" s="1"/>
  <c r="J974" i="16"/>
  <c r="L974" i="16" s="1"/>
  <c r="J944" i="16"/>
  <c r="L944" i="16" s="1"/>
  <c r="J934" i="16"/>
  <c r="L934" i="16" s="1"/>
  <c r="J915" i="16"/>
  <c r="L915" i="16" s="1"/>
  <c r="J896" i="16"/>
  <c r="L896" i="16" s="1"/>
  <c r="J877" i="16"/>
  <c r="L877" i="16" s="1"/>
  <c r="J849" i="16"/>
  <c r="L849" i="16" s="1"/>
  <c r="J820" i="16"/>
  <c r="L820" i="16" s="1"/>
  <c r="J782" i="16"/>
  <c r="L782" i="16" s="1"/>
  <c r="J745" i="16"/>
  <c r="L745" i="16" s="1"/>
  <c r="J735" i="16"/>
  <c r="L735" i="16" s="1"/>
  <c r="J697" i="16"/>
  <c r="L697" i="16" s="1"/>
  <c r="J687" i="16"/>
  <c r="L687" i="16" s="1"/>
  <c r="J650" i="16"/>
  <c r="L650" i="16" s="1"/>
  <c r="J612" i="16"/>
  <c r="L612" i="16" s="1"/>
  <c r="J555" i="16"/>
  <c r="L555" i="16" s="1"/>
  <c r="J464" i="16"/>
  <c r="L464" i="16" s="1"/>
  <c r="J400" i="16"/>
  <c r="L400" i="16" s="1"/>
  <c r="J355" i="16"/>
  <c r="L355" i="16" s="1"/>
  <c r="J311" i="16"/>
  <c r="L311" i="16" s="1"/>
  <c r="J285" i="16"/>
  <c r="L285" i="16" s="1"/>
  <c r="J268" i="16"/>
  <c r="L268" i="16" s="1"/>
  <c r="J251" i="16"/>
  <c r="L251" i="16" s="1"/>
  <c r="J234" i="16"/>
  <c r="L234" i="16" s="1"/>
  <c r="J217" i="16"/>
  <c r="L217" i="16" s="1"/>
  <c r="J200" i="16"/>
  <c r="L200" i="16" s="1"/>
  <c r="J183" i="16"/>
  <c r="L183" i="16" s="1"/>
  <c r="J157" i="16"/>
  <c r="L157" i="16" s="1"/>
  <c r="J132" i="16"/>
  <c r="L132" i="16" s="1"/>
  <c r="J99" i="16"/>
  <c r="L99" i="16" s="1"/>
  <c r="J36" i="16"/>
  <c r="L36" i="16" s="1"/>
  <c r="J25" i="16"/>
  <c r="L25" i="16" s="1"/>
  <c r="J12" i="16"/>
  <c r="L12" i="16" s="1"/>
  <c r="J191" i="16"/>
  <c r="L191" i="16" s="1"/>
  <c r="J165" i="16"/>
  <c r="L165" i="16" s="1"/>
  <c r="J148" i="16"/>
  <c r="L148" i="16" s="1"/>
  <c r="J90" i="16"/>
  <c r="L90" i="16" s="1"/>
  <c r="J58" i="16"/>
  <c r="L58" i="16" s="1"/>
  <c r="J964" i="16"/>
  <c r="L964" i="16" s="1"/>
  <c r="J924" i="16"/>
  <c r="L924" i="16" s="1"/>
  <c r="J886" i="16"/>
  <c r="L886" i="16" s="1"/>
  <c r="J829" i="16"/>
  <c r="L829" i="16" s="1"/>
  <c r="J791" i="16"/>
  <c r="L791" i="16" s="1"/>
  <c r="J754" i="16"/>
  <c r="L754" i="16" s="1"/>
  <c r="J659" i="16"/>
  <c r="L659" i="16" s="1"/>
  <c r="J640" i="16"/>
  <c r="L640" i="16" s="1"/>
  <c r="J621" i="16"/>
  <c r="L621" i="16" s="1"/>
  <c r="J593" i="16"/>
  <c r="L593" i="16" s="1"/>
  <c r="J564" i="16"/>
  <c r="L564" i="16" s="1"/>
  <c r="J527" i="16"/>
  <c r="L527" i="16" s="1"/>
  <c r="J518" i="16"/>
  <c r="L518" i="16" s="1"/>
  <c r="J509" i="16"/>
  <c r="L509" i="16" s="1"/>
  <c r="J500" i="16"/>
  <c r="L500" i="16" s="1"/>
  <c r="J491" i="16"/>
  <c r="L491" i="16" s="1"/>
  <c r="J482" i="16"/>
  <c r="L482" i="16" s="1"/>
  <c r="J473" i="16"/>
  <c r="L473" i="16" s="1"/>
  <c r="J445" i="16"/>
  <c r="L445" i="16" s="1"/>
  <c r="J436" i="16"/>
  <c r="L436" i="16" s="1"/>
  <c r="J427" i="16"/>
  <c r="L427" i="16" s="1"/>
  <c r="J418" i="16"/>
  <c r="L418" i="16" s="1"/>
  <c r="J409" i="16"/>
  <c r="L409" i="16" s="1"/>
  <c r="J346" i="16"/>
  <c r="L346" i="16" s="1"/>
  <c r="J337" i="16"/>
  <c r="L337" i="16" s="1"/>
  <c r="J328" i="16"/>
  <c r="L328" i="16" s="1"/>
  <c r="J140" i="16"/>
  <c r="L140" i="16" s="1"/>
  <c r="J107" i="16"/>
  <c r="L107" i="16" s="1"/>
  <c r="J5" i="16"/>
  <c r="L5" i="16" s="1"/>
  <c r="J208" i="16"/>
  <c r="L208" i="16" s="1"/>
  <c r="J115" i="16"/>
  <c r="L115" i="16" s="1"/>
  <c r="J74" i="16"/>
  <c r="L74" i="16" s="1"/>
  <c r="J42" i="16"/>
  <c r="L42" i="16" s="1"/>
  <c r="J147" i="16"/>
  <c r="L147" i="16" s="1"/>
  <c r="J858" i="16"/>
  <c r="L858" i="16" s="1"/>
  <c r="J801" i="16"/>
  <c r="L801" i="16" s="1"/>
  <c r="J763" i="16"/>
  <c r="L763" i="16" s="1"/>
  <c r="J744" i="16"/>
  <c r="L744" i="16" s="1"/>
  <c r="J725" i="16"/>
  <c r="L725" i="16" s="1"/>
  <c r="J706" i="16"/>
  <c r="L706" i="16" s="1"/>
  <c r="J696" i="16"/>
  <c r="L696" i="16" s="1"/>
  <c r="J668" i="16"/>
  <c r="L668" i="16" s="1"/>
  <c r="J630" i="16"/>
  <c r="L630" i="16" s="1"/>
  <c r="J573" i="16"/>
  <c r="L573" i="16" s="1"/>
  <c r="J536" i="16"/>
  <c r="L536" i="16" s="1"/>
  <c r="J319" i="16"/>
  <c r="L319" i="16" s="1"/>
  <c r="J293" i="16"/>
  <c r="L293" i="16" s="1"/>
  <c r="J276" i="16"/>
  <c r="L276" i="16" s="1"/>
  <c r="J259" i="16"/>
  <c r="L259" i="16" s="1"/>
  <c r="J242" i="16"/>
  <c r="L242" i="16" s="1"/>
  <c r="J225" i="16"/>
  <c r="L225" i="16" s="1"/>
  <c r="J983" i="16"/>
  <c r="L983" i="16" s="1"/>
  <c r="J953" i="16"/>
  <c r="L953" i="16" s="1"/>
  <c r="J943" i="16"/>
  <c r="L943" i="16" s="1"/>
  <c r="J933" i="16"/>
  <c r="L933" i="16" s="1"/>
  <c r="J905" i="16"/>
  <c r="L905" i="16" s="1"/>
  <c r="J895" i="16"/>
  <c r="L895" i="16" s="1"/>
  <c r="J867" i="16"/>
  <c r="L867" i="16" s="1"/>
  <c r="J838" i="16"/>
  <c r="L838" i="16" s="1"/>
  <c r="J810" i="16"/>
  <c r="L810" i="16" s="1"/>
  <c r="J772" i="16"/>
  <c r="L772" i="16" s="1"/>
  <c r="J715" i="16"/>
  <c r="L715" i="16" s="1"/>
  <c r="J677" i="16"/>
  <c r="L677" i="16" s="1"/>
  <c r="J602" i="16"/>
  <c r="L602" i="16" s="1"/>
  <c r="J545" i="16"/>
  <c r="L545" i="16" s="1"/>
  <c r="J463" i="16"/>
  <c r="L463" i="16" s="1"/>
  <c r="J399" i="16"/>
  <c r="L399" i="16" s="1"/>
  <c r="J390" i="16"/>
  <c r="L390" i="16" s="1"/>
  <c r="J381" i="16"/>
  <c r="L381" i="16" s="1"/>
  <c r="J372" i="16"/>
  <c r="L372" i="16" s="1"/>
  <c r="J363" i="16"/>
  <c r="L363" i="16" s="1"/>
  <c r="J123" i="16"/>
  <c r="L123" i="16" s="1"/>
  <c r="J82" i="16"/>
  <c r="L82" i="16" s="1"/>
  <c r="J66" i="16"/>
  <c r="L66" i="16" s="1"/>
  <c r="J50" i="16"/>
  <c r="L50" i="16" s="1"/>
  <c r="J164" i="16"/>
  <c r="L164" i="16" s="1"/>
  <c r="J973" i="16"/>
  <c r="L973" i="16" s="1"/>
  <c r="J914" i="16"/>
  <c r="L914" i="16" s="1"/>
  <c r="J876" i="16"/>
  <c r="L876" i="16" s="1"/>
  <c r="J847" i="16"/>
  <c r="L847" i="16" s="1"/>
  <c r="J819" i="16"/>
  <c r="L819" i="16" s="1"/>
  <c r="J800" i="16"/>
  <c r="L800" i="16" s="1"/>
  <c r="J781" i="16"/>
  <c r="L781" i="16" s="1"/>
  <c r="J734" i="16"/>
  <c r="L734" i="16" s="1"/>
  <c r="J724" i="16"/>
  <c r="L724" i="16" s="1"/>
  <c r="J686" i="16"/>
  <c r="L686" i="16" s="1"/>
  <c r="J649" i="16"/>
  <c r="L649" i="16" s="1"/>
  <c r="J639" i="16"/>
  <c r="L639" i="16" s="1"/>
  <c r="J611" i="16"/>
  <c r="L611" i="16" s="1"/>
  <c r="J582" i="16"/>
  <c r="L582" i="16" s="1"/>
  <c r="J554" i="16"/>
  <c r="L554" i="16" s="1"/>
  <c r="J472" i="16"/>
  <c r="L472" i="16" s="1"/>
  <c r="J408" i="16"/>
  <c r="L408" i="16" s="1"/>
  <c r="J354" i="16"/>
  <c r="L354" i="16" s="1"/>
  <c r="J336" i="16"/>
  <c r="L336" i="16" s="1"/>
  <c r="J327" i="16"/>
  <c r="L327" i="16" s="1"/>
  <c r="J301" i="16"/>
  <c r="L301" i="16" s="1"/>
  <c r="J284" i="16"/>
  <c r="L284" i="16" s="1"/>
  <c r="J267" i="16"/>
  <c r="L267" i="16" s="1"/>
  <c r="J250" i="16"/>
  <c r="L250" i="16" s="1"/>
  <c r="J233" i="16"/>
  <c r="L233" i="16" s="1"/>
  <c r="J216" i="16"/>
  <c r="L216" i="16" s="1"/>
  <c r="J199" i="16"/>
  <c r="L199" i="16" s="1"/>
  <c r="J173" i="16"/>
  <c r="L173" i="16" s="1"/>
  <c r="J156" i="16"/>
  <c r="L156" i="16" s="1"/>
  <c r="J131" i="16"/>
  <c r="L131" i="16" s="1"/>
  <c r="J98" i="16"/>
  <c r="L98" i="16" s="1"/>
  <c r="J18" i="16"/>
  <c r="L18" i="16" s="1"/>
  <c r="J952" i="16"/>
  <c r="L952" i="16" s="1"/>
  <c r="J923" i="16"/>
  <c r="L923" i="16" s="1"/>
  <c r="J904" i="16"/>
  <c r="L904" i="16" s="1"/>
  <c r="J885" i="16"/>
  <c r="L885" i="16" s="1"/>
  <c r="J856" i="16"/>
  <c r="L856" i="16" s="1"/>
  <c r="J828" i="16"/>
  <c r="L828" i="16" s="1"/>
  <c r="J790" i="16"/>
  <c r="L790" i="16" s="1"/>
  <c r="J753" i="16"/>
  <c r="L753" i="16" s="1"/>
  <c r="J743" i="16"/>
  <c r="L743" i="16" s="1"/>
  <c r="J695" i="16"/>
  <c r="L695" i="16" s="1"/>
  <c r="J658" i="16"/>
  <c r="L658" i="16" s="1"/>
  <c r="J620" i="16"/>
  <c r="L620" i="16" s="1"/>
  <c r="J591" i="16"/>
  <c r="L591" i="16" s="1"/>
  <c r="J563" i="16"/>
  <c r="L563" i="16" s="1"/>
  <c r="J535" i="16"/>
  <c r="L535" i="16" s="1"/>
  <c r="J526" i="16"/>
  <c r="L526" i="16" s="1"/>
  <c r="J517" i="16"/>
  <c r="L517" i="16" s="1"/>
  <c r="J508" i="16"/>
  <c r="L508" i="16" s="1"/>
  <c r="J499" i="16"/>
  <c r="L499" i="16" s="1"/>
  <c r="J490" i="16"/>
  <c r="L490" i="16" s="1"/>
  <c r="J481" i="16"/>
  <c r="L481" i="16" s="1"/>
  <c r="J462" i="16"/>
  <c r="L462" i="16" s="1"/>
  <c r="J453" i="16"/>
  <c r="L453" i="16" s="1"/>
  <c r="J444" i="16"/>
  <c r="L444" i="16" s="1"/>
  <c r="J435" i="16"/>
  <c r="L435" i="16" s="1"/>
  <c r="J426" i="16"/>
  <c r="L426" i="16" s="1"/>
  <c r="J417" i="16"/>
  <c r="L417" i="16" s="1"/>
  <c r="J345" i="16"/>
  <c r="L345" i="16" s="1"/>
  <c r="J139" i="16"/>
  <c r="L139" i="16" s="1"/>
  <c r="J106" i="16"/>
  <c r="L106" i="16" s="1"/>
  <c r="J35" i="16"/>
  <c r="L35" i="16" s="1"/>
  <c r="J11" i="16"/>
  <c r="L11" i="16" s="1"/>
  <c r="J962" i="16"/>
  <c r="L962" i="16" s="1"/>
  <c r="J762" i="16"/>
  <c r="L762" i="16" s="1"/>
  <c r="J705" i="16"/>
  <c r="L705" i="16" s="1"/>
  <c r="J667" i="16"/>
  <c r="L667" i="16" s="1"/>
  <c r="J648" i="16"/>
  <c r="L648" i="16" s="1"/>
  <c r="J629" i="16"/>
  <c r="L629" i="16" s="1"/>
  <c r="J600" i="16"/>
  <c r="L600" i="16" s="1"/>
  <c r="J572" i="16"/>
  <c r="L572" i="16" s="1"/>
  <c r="J544" i="16"/>
  <c r="L544" i="16" s="1"/>
  <c r="J309" i="16"/>
  <c r="L309" i="16" s="1"/>
  <c r="J292" i="16"/>
  <c r="L292" i="16" s="1"/>
  <c r="J275" i="16"/>
  <c r="L275" i="16" s="1"/>
  <c r="J258" i="16"/>
  <c r="L258" i="16" s="1"/>
  <c r="J241" i="16"/>
  <c r="L241" i="16" s="1"/>
  <c r="J224" i="16"/>
  <c r="L224" i="16" s="1"/>
  <c r="J207" i="16"/>
  <c r="L207" i="16" s="1"/>
  <c r="J181" i="16"/>
  <c r="L181" i="16" s="1"/>
  <c r="J982" i="16"/>
  <c r="L982" i="16" s="1"/>
  <c r="J932" i="16"/>
  <c r="L932" i="16" s="1"/>
  <c r="J894" i="16"/>
  <c r="L894" i="16" s="1"/>
  <c r="J837" i="16"/>
  <c r="L837" i="16" s="1"/>
  <c r="J809" i="16"/>
  <c r="L809" i="16" s="1"/>
  <c r="J799" i="16"/>
  <c r="L799" i="16" s="1"/>
  <c r="J771" i="16"/>
  <c r="L771" i="16" s="1"/>
  <c r="J752" i="16"/>
  <c r="L752" i="16" s="1"/>
  <c r="J714" i="16"/>
  <c r="L714" i="16" s="1"/>
  <c r="J676" i="16"/>
  <c r="L676" i="16" s="1"/>
  <c r="J407" i="16"/>
  <c r="L407" i="16" s="1"/>
  <c r="J993" i="16"/>
  <c r="L993" i="16" s="1"/>
  <c r="J951" i="16"/>
  <c r="L951" i="16" s="1"/>
  <c r="J913" i="16"/>
  <c r="L913" i="16" s="1"/>
  <c r="J903" i="16"/>
  <c r="L903" i="16" s="1"/>
  <c r="J855" i="16"/>
  <c r="L855" i="16" s="1"/>
  <c r="J846" i="16"/>
  <c r="L846" i="16" s="1"/>
  <c r="J818" i="16"/>
  <c r="L818" i="16" s="1"/>
  <c r="J780" i="16"/>
  <c r="L780" i="16" s="1"/>
  <c r="J723" i="16"/>
  <c r="L723" i="16" s="1"/>
  <c r="J704" i="16"/>
  <c r="L704" i="16" s="1"/>
  <c r="J685" i="16"/>
  <c r="L685" i="16" s="1"/>
  <c r="J638" i="16"/>
  <c r="L638" i="16" s="1"/>
  <c r="J581" i="16"/>
  <c r="L581" i="16" s="1"/>
  <c r="J553" i="16"/>
  <c r="L553" i="16" s="1"/>
  <c r="J416" i="16"/>
  <c r="L416" i="16" s="1"/>
  <c r="J353" i="16"/>
  <c r="L353" i="16" s="1"/>
  <c r="J344" i="16"/>
  <c r="L344" i="16" s="1"/>
  <c r="J317" i="16"/>
  <c r="L317" i="16" s="1"/>
  <c r="J300" i="16"/>
  <c r="L300" i="16" s="1"/>
  <c r="J283" i="16"/>
  <c r="L283" i="16" s="1"/>
  <c r="J266" i="16"/>
  <c r="L266" i="16" s="1"/>
  <c r="J249" i="16"/>
  <c r="L249" i="16" s="1"/>
  <c r="J232" i="16"/>
  <c r="L232" i="16" s="1"/>
  <c r="J215" i="16"/>
  <c r="L215" i="16" s="1"/>
  <c r="J189" i="16"/>
  <c r="L189" i="16" s="1"/>
  <c r="J172" i="16"/>
  <c r="L172" i="16" s="1"/>
  <c r="J155" i="16"/>
  <c r="L155" i="16" s="1"/>
  <c r="J130" i="16"/>
  <c r="L130" i="16" s="1"/>
  <c r="J97" i="16"/>
  <c r="L97" i="16" s="1"/>
  <c r="J922" i="16"/>
  <c r="L922" i="16" s="1"/>
  <c r="J884" i="16"/>
  <c r="L884" i="16" s="1"/>
  <c r="J865" i="16"/>
  <c r="L865" i="16" s="1"/>
  <c r="J827" i="16"/>
  <c r="L827" i="16" s="1"/>
  <c r="J808" i="16"/>
  <c r="L808" i="16" s="1"/>
  <c r="J789" i="16"/>
  <c r="L789" i="16" s="1"/>
  <c r="J732" i="16"/>
  <c r="L732" i="16" s="1"/>
  <c r="J694" i="16"/>
  <c r="L694" i="16" s="1"/>
  <c r="J657" i="16"/>
  <c r="L657" i="16" s="1"/>
  <c r="J647" i="16"/>
  <c r="L647" i="16" s="1"/>
  <c r="J599" i="16"/>
  <c r="L599" i="16" s="1"/>
  <c r="J590" i="16"/>
  <c r="L590" i="16" s="1"/>
  <c r="J562" i="16"/>
  <c r="L562" i="16" s="1"/>
  <c r="J543" i="16"/>
  <c r="L543" i="16" s="1"/>
  <c r="J534" i="16"/>
  <c r="L534" i="16" s="1"/>
  <c r="J525" i="16"/>
  <c r="L525" i="16" s="1"/>
  <c r="J516" i="16"/>
  <c r="L516" i="16" s="1"/>
  <c r="J507" i="16"/>
  <c r="L507" i="16" s="1"/>
  <c r="J498" i="16"/>
  <c r="L498" i="16" s="1"/>
  <c r="J489" i="16"/>
  <c r="L489" i="16" s="1"/>
  <c r="J479" i="16"/>
  <c r="L479" i="16" s="1"/>
  <c r="J470" i="16"/>
  <c r="L470" i="16" s="1"/>
  <c r="J461" i="16"/>
  <c r="L461" i="16" s="1"/>
  <c r="J452" i="16"/>
  <c r="L452" i="16" s="1"/>
  <c r="J443" i="16"/>
  <c r="L443" i="16" s="1"/>
  <c r="J434" i="16"/>
  <c r="L434" i="16" s="1"/>
  <c r="J425" i="16"/>
  <c r="L425" i="16" s="1"/>
  <c r="J992" i="16"/>
  <c r="L992" i="16" s="1"/>
  <c r="J961" i="16"/>
  <c r="L961" i="16" s="1"/>
  <c r="J941" i="16"/>
  <c r="L941" i="16" s="1"/>
  <c r="J912" i="16"/>
  <c r="L912" i="16" s="1"/>
  <c r="J874" i="16"/>
  <c r="L874" i="16" s="1"/>
  <c r="J761" i="16"/>
  <c r="L761" i="16" s="1"/>
  <c r="J666" i="16"/>
  <c r="L666" i="16" s="1"/>
  <c r="J628" i="16"/>
  <c r="L628" i="16" s="1"/>
  <c r="J609" i="16"/>
  <c r="L609" i="16" s="1"/>
  <c r="J571" i="16"/>
  <c r="L571" i="16" s="1"/>
  <c r="J552" i="16"/>
  <c r="L552" i="16" s="1"/>
  <c r="J334" i="16"/>
  <c r="L334" i="16" s="1"/>
  <c r="J325" i="16"/>
  <c r="L325" i="16" s="1"/>
  <c r="J308" i="16"/>
  <c r="L308" i="16" s="1"/>
  <c r="J291" i="16"/>
  <c r="L291" i="16" s="1"/>
  <c r="J274" i="16"/>
  <c r="L274" i="16" s="1"/>
  <c r="J257" i="16"/>
  <c r="L257" i="16" s="1"/>
  <c r="J240" i="16"/>
  <c r="L240" i="16" s="1"/>
  <c r="J223" i="16"/>
  <c r="L223" i="16" s="1"/>
  <c r="J197" i="16"/>
  <c r="L197" i="16" s="1"/>
  <c r="J180" i="16"/>
  <c r="L180" i="16" s="1"/>
  <c r="J163" i="16"/>
  <c r="L163" i="16" s="1"/>
  <c r="J146" i="16"/>
  <c r="L146" i="16" s="1"/>
  <c r="J981" i="16"/>
  <c r="L981" i="16" s="1"/>
  <c r="J931" i="16"/>
  <c r="L931" i="16" s="1"/>
  <c r="J893" i="16"/>
  <c r="L893" i="16" s="1"/>
  <c r="J883" i="16"/>
  <c r="L883" i="16" s="1"/>
  <c r="J864" i="16"/>
  <c r="L864" i="16" s="1"/>
  <c r="J836" i="16"/>
  <c r="L836" i="16" s="1"/>
  <c r="J798" i="16"/>
  <c r="L798" i="16" s="1"/>
  <c r="J770" i="16"/>
  <c r="L770" i="16" s="1"/>
  <c r="J741" i="16"/>
  <c r="L741" i="16" s="1"/>
  <c r="J713" i="16"/>
  <c r="L713" i="16" s="1"/>
  <c r="J703" i="16"/>
  <c r="L703" i="16" s="1"/>
  <c r="J675" i="16"/>
  <c r="L675" i="16" s="1"/>
  <c r="J656" i="16"/>
  <c r="L656" i="16" s="1"/>
  <c r="J618" i="16"/>
  <c r="L618" i="16" s="1"/>
  <c r="J415" i="16"/>
  <c r="L415" i="16" s="1"/>
  <c r="J406" i="16"/>
  <c r="L406" i="16" s="1"/>
  <c r="J397" i="16"/>
  <c r="L397" i="16" s="1"/>
  <c r="J388" i="16"/>
  <c r="L388" i="16" s="1"/>
  <c r="J379" i="16"/>
  <c r="L379" i="16" s="1"/>
  <c r="J370" i="16"/>
  <c r="L370" i="16" s="1"/>
  <c r="J361" i="16"/>
  <c r="L361" i="16" s="1"/>
  <c r="J121" i="16"/>
  <c r="L121" i="16" s="1"/>
  <c r="J960" i="16"/>
  <c r="L960" i="16" s="1"/>
  <c r="J950" i="16"/>
  <c r="L950" i="16" s="1"/>
  <c r="J902" i="16"/>
  <c r="L902" i="16" s="1"/>
  <c r="J854" i="16"/>
  <c r="L854" i="16" s="1"/>
  <c r="J845" i="16"/>
  <c r="L845" i="16" s="1"/>
  <c r="J817" i="16"/>
  <c r="L817" i="16" s="1"/>
  <c r="J807" i="16"/>
  <c r="L807" i="16" s="1"/>
  <c r="J779" i="16"/>
  <c r="L779" i="16" s="1"/>
  <c r="J750" i="16"/>
  <c r="L750" i="16" s="1"/>
  <c r="J722" i="16"/>
  <c r="L722" i="16" s="1"/>
  <c r="J684" i="16"/>
  <c r="L684" i="16" s="1"/>
  <c r="J637" i="16"/>
  <c r="L637" i="16" s="1"/>
  <c r="J627" i="16"/>
  <c r="L627" i="16" s="1"/>
  <c r="J608" i="16"/>
  <c r="L608" i="16" s="1"/>
  <c r="J580" i="16"/>
  <c r="L580" i="16" s="1"/>
  <c r="J424" i="16"/>
  <c r="L424" i="16" s="1"/>
  <c r="J316" i="16"/>
  <c r="L316" i="16" s="1"/>
  <c r="J299" i="16"/>
  <c r="L299" i="16" s="1"/>
  <c r="J282" i="16"/>
  <c r="L282" i="16" s="1"/>
  <c r="J265" i="16"/>
  <c r="L265" i="16" s="1"/>
  <c r="J248" i="16"/>
  <c r="L248" i="16" s="1"/>
  <c r="J231" i="16"/>
  <c r="L231" i="16" s="1"/>
  <c r="J205" i="16"/>
  <c r="L205" i="16" s="1"/>
  <c r="J188" i="16"/>
  <c r="L188" i="16" s="1"/>
  <c r="J991" i="16"/>
  <c r="L991" i="16" s="1"/>
  <c r="J970" i="16"/>
  <c r="L970" i="16" s="1"/>
  <c r="J921" i="16"/>
  <c r="L921" i="16" s="1"/>
  <c r="J911" i="16"/>
  <c r="L911" i="16" s="1"/>
  <c r="J826" i="16"/>
  <c r="L826" i="16" s="1"/>
  <c r="J788" i="16"/>
  <c r="L788" i="16" s="1"/>
  <c r="J759" i="16"/>
  <c r="L759" i="16" s="1"/>
  <c r="J731" i="16"/>
  <c r="L731" i="16" s="1"/>
  <c r="J712" i="16"/>
  <c r="L712" i="16" s="1"/>
  <c r="J693" i="16"/>
  <c r="L693" i="16" s="1"/>
  <c r="J646" i="16"/>
  <c r="L646" i="16" s="1"/>
  <c r="J598" i="16"/>
  <c r="L598" i="16" s="1"/>
  <c r="J589" i="16"/>
  <c r="L589" i="16" s="1"/>
  <c r="J561" i="16"/>
  <c r="L561" i="16" s="1"/>
  <c r="J551" i="16"/>
  <c r="L551" i="16" s="1"/>
  <c r="J542" i="16"/>
  <c r="L542" i="16" s="1"/>
  <c r="J533" i="16"/>
  <c r="L533" i="16" s="1"/>
  <c r="J524" i="16"/>
  <c r="L524" i="16" s="1"/>
  <c r="J515" i="16"/>
  <c r="L515" i="16" s="1"/>
  <c r="J506" i="16"/>
  <c r="L506" i="16" s="1"/>
  <c r="J487" i="16"/>
  <c r="L487" i="16" s="1"/>
  <c r="J478" i="16"/>
  <c r="L478" i="16" s="1"/>
  <c r="J469" i="16"/>
  <c r="L469" i="16" s="1"/>
  <c r="J460" i="16"/>
  <c r="L460" i="16" s="1"/>
  <c r="J451" i="16"/>
  <c r="L451" i="16" s="1"/>
  <c r="J442" i="16"/>
  <c r="L442" i="16" s="1"/>
  <c r="J433" i="16"/>
  <c r="L433" i="16" s="1"/>
  <c r="J360" i="16"/>
  <c r="L360" i="16" s="1"/>
  <c r="J351" i="16"/>
  <c r="L351" i="16" s="1"/>
  <c r="J342" i="16"/>
  <c r="L342" i="16" s="1"/>
  <c r="J940" i="16"/>
  <c r="L940" i="16" s="1"/>
  <c r="J873" i="16"/>
  <c r="L873" i="16" s="1"/>
  <c r="J863" i="16"/>
  <c r="L863" i="16" s="1"/>
  <c r="J816" i="16"/>
  <c r="L816" i="16" s="1"/>
  <c r="J665" i="16"/>
  <c r="L665" i="16" s="1"/>
  <c r="J655" i="16"/>
  <c r="L655" i="16" s="1"/>
  <c r="J570" i="16"/>
  <c r="L570" i="16" s="1"/>
  <c r="J496" i="16"/>
  <c r="L496" i="16" s="1"/>
  <c r="J333" i="16"/>
  <c r="L333" i="16" s="1"/>
  <c r="J324" i="16"/>
  <c r="L324" i="16" s="1"/>
  <c r="J307" i="16"/>
  <c r="L307" i="16" s="1"/>
  <c r="J290" i="16"/>
  <c r="L290" i="16" s="1"/>
  <c r="J979" i="16"/>
  <c r="L979" i="16" s="1"/>
  <c r="J959" i="16"/>
  <c r="L959" i="16" s="1"/>
  <c r="J930" i="16"/>
  <c r="L930" i="16" s="1"/>
  <c r="J920" i="16"/>
  <c r="L920" i="16" s="1"/>
  <c r="J882" i="16"/>
  <c r="L882" i="16" s="1"/>
  <c r="J835" i="16"/>
  <c r="L835" i="16" s="1"/>
  <c r="J797" i="16"/>
  <c r="L797" i="16" s="1"/>
  <c r="J768" i="16"/>
  <c r="L768" i="16" s="1"/>
  <c r="J740" i="16"/>
  <c r="L740" i="16" s="1"/>
  <c r="J702" i="16"/>
  <c r="L702" i="16" s="1"/>
  <c r="J674" i="16"/>
  <c r="L674" i="16" s="1"/>
  <c r="J617" i="16"/>
  <c r="L617" i="16" s="1"/>
  <c r="J607" i="16"/>
  <c r="L607" i="16" s="1"/>
  <c r="J560" i="16"/>
  <c r="L560" i="16" s="1"/>
  <c r="J505" i="16"/>
  <c r="L505" i="16" s="1"/>
  <c r="J423" i="16"/>
  <c r="L423" i="16" s="1"/>
  <c r="J414" i="16"/>
  <c r="L414" i="16" s="1"/>
  <c r="J405" i="16"/>
  <c r="L405" i="16" s="1"/>
  <c r="J396" i="16"/>
  <c r="L396" i="16" s="1"/>
  <c r="J387" i="16"/>
  <c r="L387" i="16" s="1"/>
  <c r="J378" i="16"/>
  <c r="L378" i="16" s="1"/>
  <c r="J949" i="16"/>
  <c r="L949" i="16" s="1"/>
  <c r="J891" i="16"/>
  <c r="L891" i="16" s="1"/>
  <c r="J872" i="16"/>
  <c r="L872" i="16" s="1"/>
  <c r="J853" i="16"/>
  <c r="L853" i="16" s="1"/>
  <c r="J844" i="16"/>
  <c r="L844" i="16" s="1"/>
  <c r="J806" i="16"/>
  <c r="L806" i="16" s="1"/>
  <c r="J749" i="16"/>
  <c r="L749" i="16" s="1"/>
  <c r="J721" i="16"/>
  <c r="L721" i="16" s="1"/>
  <c r="J711" i="16"/>
  <c r="L711" i="16" s="1"/>
  <c r="J683" i="16"/>
  <c r="L683" i="16" s="1"/>
  <c r="J664" i="16"/>
  <c r="L664" i="16" s="1"/>
  <c r="J626" i="16"/>
  <c r="L626" i="16" s="1"/>
  <c r="J579" i="16"/>
  <c r="L579" i="16" s="1"/>
  <c r="J432" i="16"/>
  <c r="L432" i="16" s="1"/>
  <c r="J368" i="16"/>
  <c r="L368" i="16" s="1"/>
  <c r="J359" i="16"/>
  <c r="L359" i="16" s="1"/>
  <c r="J315" i="16"/>
  <c r="L315" i="16" s="1"/>
  <c r="J298" i="16"/>
  <c r="L298" i="16" s="1"/>
  <c r="J281" i="16"/>
  <c r="L281" i="16" s="1"/>
  <c r="J264" i="16"/>
  <c r="L264" i="16" s="1"/>
  <c r="J990" i="16"/>
  <c r="L990" i="16" s="1"/>
  <c r="J825" i="16"/>
  <c r="L825" i="16" s="1"/>
  <c r="J815" i="16"/>
  <c r="L815" i="16" s="1"/>
  <c r="J787" i="16"/>
  <c r="L787" i="16" s="1"/>
  <c r="J758" i="16"/>
  <c r="L758" i="16" s="1"/>
  <c r="J730" i="16"/>
  <c r="L730" i="16" s="1"/>
  <c r="J692" i="16"/>
  <c r="L692" i="16" s="1"/>
  <c r="J635" i="16"/>
  <c r="L635" i="16" s="1"/>
  <c r="J616" i="16"/>
  <c r="L616" i="16" s="1"/>
  <c r="J597" i="16"/>
  <c r="L597" i="16" s="1"/>
  <c r="J588" i="16"/>
  <c r="L588" i="16" s="1"/>
  <c r="J550" i="16"/>
  <c r="L550" i="16" s="1"/>
  <c r="J541" i="16"/>
  <c r="L541" i="16" s="1"/>
  <c r="J532" i="16"/>
  <c r="L532" i="16" s="1"/>
  <c r="J523" i="16"/>
  <c r="L523" i="16" s="1"/>
  <c r="J495" i="16"/>
  <c r="L495" i="16" s="1"/>
  <c r="J968" i="16"/>
  <c r="L968" i="16" s="1"/>
  <c r="J939" i="16"/>
  <c r="L939" i="16" s="1"/>
  <c r="J919" i="16"/>
  <c r="L919" i="16" s="1"/>
  <c r="J900" i="16"/>
  <c r="L900" i="16" s="1"/>
  <c r="J862" i="16"/>
  <c r="L862" i="16" s="1"/>
  <c r="J777" i="16"/>
  <c r="L777" i="16" s="1"/>
  <c r="J767" i="16"/>
  <c r="L767" i="16" s="1"/>
  <c r="J720" i="16"/>
  <c r="L720" i="16" s="1"/>
  <c r="J569" i="16"/>
  <c r="L569" i="16" s="1"/>
  <c r="J559" i="16"/>
  <c r="L559" i="16" s="1"/>
  <c r="J978" i="16"/>
  <c r="L978" i="16" s="1"/>
  <c r="J958" i="16"/>
  <c r="L958" i="16" s="1"/>
  <c r="J929" i="16"/>
  <c r="L929" i="16" s="1"/>
  <c r="J909" i="16"/>
  <c r="L909" i="16" s="1"/>
  <c r="J881" i="16"/>
  <c r="L881" i="16" s="1"/>
  <c r="J871" i="16"/>
  <c r="L871" i="16" s="1"/>
  <c r="J834" i="16"/>
  <c r="L834" i="16" s="1"/>
  <c r="J824" i="16"/>
  <c r="L824" i="16" s="1"/>
  <c r="J796" i="16"/>
  <c r="L796" i="16" s="1"/>
  <c r="J786" i="16"/>
  <c r="L786" i="16" s="1"/>
  <c r="J739" i="16"/>
  <c r="L739" i="16" s="1"/>
  <c r="J701" i="16"/>
  <c r="L701" i="16" s="1"/>
  <c r="J673" i="16"/>
  <c r="L673" i="16" s="1"/>
  <c r="J663" i="16"/>
  <c r="L663" i="16" s="1"/>
  <c r="J644" i="16"/>
  <c r="L644" i="16" s="1"/>
  <c r="J606" i="16"/>
  <c r="L606" i="16" s="1"/>
  <c r="J988" i="16"/>
  <c r="L988" i="16" s="1"/>
  <c r="J948" i="16"/>
  <c r="L948" i="16" s="1"/>
  <c r="J918" i="16"/>
  <c r="L918" i="16" s="1"/>
  <c r="J890" i="16"/>
  <c r="L890" i="16" s="1"/>
  <c r="J852" i="16"/>
  <c r="L852" i="16" s="1"/>
  <c r="J843" i="16"/>
  <c r="L843" i="16" s="1"/>
  <c r="J805" i="16"/>
  <c r="L805" i="16" s="1"/>
  <c r="J776" i="16"/>
  <c r="L776" i="16" s="1"/>
  <c r="J748" i="16"/>
  <c r="L748" i="16" s="1"/>
  <c r="J710" i="16"/>
  <c r="L710" i="16" s="1"/>
  <c r="J682" i="16"/>
  <c r="L682" i="16" s="1"/>
  <c r="J967" i="16"/>
  <c r="L967" i="16" s="1"/>
  <c r="J928" i="16"/>
  <c r="L928" i="16" s="1"/>
  <c r="J880" i="16"/>
  <c r="L880" i="16" s="1"/>
  <c r="J814" i="16"/>
  <c r="L814" i="16" s="1"/>
  <c r="J757" i="16"/>
  <c r="L757" i="16" s="1"/>
  <c r="J729" i="16"/>
  <c r="L729" i="16" s="1"/>
  <c r="J719" i="16"/>
  <c r="L719" i="16" s="1"/>
  <c r="J691" i="16"/>
  <c r="L691" i="16" s="1"/>
  <c r="J672" i="16"/>
  <c r="L672" i="16" s="1"/>
  <c r="J662" i="16"/>
  <c r="L662" i="16" s="1"/>
  <c r="J634" i="16"/>
  <c r="L634" i="16" s="1"/>
  <c r="J596" i="16"/>
  <c r="L596" i="16" s="1"/>
  <c r="J587" i="16"/>
  <c r="L587" i="16" s="1"/>
  <c r="J549" i="16"/>
  <c r="L549" i="16" s="1"/>
  <c r="J540" i="16"/>
  <c r="L540" i="16" s="1"/>
  <c r="J503" i="16"/>
  <c r="L503" i="16" s="1"/>
  <c r="J494" i="16"/>
  <c r="L494" i="16" s="1"/>
  <c r="J485" i="16"/>
  <c r="L485" i="16" s="1"/>
  <c r="J938" i="16"/>
  <c r="L938" i="16" s="1"/>
  <c r="J899" i="16"/>
  <c r="L899" i="16" s="1"/>
  <c r="J861" i="16"/>
  <c r="L861" i="16" s="1"/>
  <c r="J823" i="16"/>
  <c r="L823" i="16" s="1"/>
  <c r="J766" i="16"/>
  <c r="L766" i="16" s="1"/>
  <c r="J624" i="16"/>
  <c r="L624" i="16" s="1"/>
  <c r="J558" i="16"/>
  <c r="L558" i="16" s="1"/>
  <c r="J977" i="16"/>
  <c r="L977" i="16" s="1"/>
  <c r="J957" i="16"/>
  <c r="L957" i="16" s="1"/>
  <c r="J908" i="16"/>
  <c r="L908" i="16" s="1"/>
  <c r="J870" i="16"/>
  <c r="L870" i="16" s="1"/>
  <c r="J833" i="16"/>
  <c r="L833" i="16" s="1"/>
  <c r="J785" i="16"/>
  <c r="L785" i="16" s="1"/>
  <c r="J775" i="16"/>
  <c r="L775" i="16" s="1"/>
  <c r="J738" i="16"/>
  <c r="L738" i="16" s="1"/>
  <c r="J728" i="16"/>
  <c r="L728" i="16" s="1"/>
  <c r="J987" i="16"/>
  <c r="L987" i="16" s="1"/>
  <c r="J947" i="16"/>
  <c r="L947" i="16" s="1"/>
  <c r="J917" i="16"/>
  <c r="L917" i="16" s="1"/>
  <c r="J889" i="16"/>
  <c r="L889" i="16" s="1"/>
  <c r="J879" i="16"/>
  <c r="L879" i="16" s="1"/>
  <c r="J851" i="16"/>
  <c r="L851" i="16" s="1"/>
  <c r="J842" i="16"/>
  <c r="L842" i="16" s="1"/>
  <c r="J794" i="16"/>
  <c r="L794" i="16" s="1"/>
  <c r="J747" i="16"/>
  <c r="L747" i="16" s="1"/>
  <c r="J976" i="16"/>
  <c r="L976" i="16" s="1"/>
  <c r="J966" i="16"/>
  <c r="L966" i="16" s="1"/>
  <c r="J975" i="16"/>
  <c r="L975" i="16" s="1"/>
  <c r="J946" i="16"/>
  <c r="L946" i="16" s="1"/>
  <c r="J935" i="16"/>
  <c r="L935" i="16" s="1"/>
  <c r="J916" i="16"/>
  <c r="L916" i="16" s="1"/>
  <c r="J898" i="16"/>
  <c r="L898" i="16" s="1"/>
  <c r="J765" i="16"/>
  <c r="L765" i="16" s="1"/>
  <c r="J642" i="16"/>
  <c r="L642" i="16" s="1"/>
  <c r="J604" i="16"/>
  <c r="L604" i="16" s="1"/>
  <c r="J547" i="16"/>
  <c r="L547" i="16" s="1"/>
  <c r="J477" i="16"/>
  <c r="L477" i="16" s="1"/>
  <c r="J448" i="16"/>
  <c r="L448" i="16" s="1"/>
  <c r="J431" i="16"/>
  <c r="L431" i="16" s="1"/>
  <c r="J330" i="16"/>
  <c r="L330" i="16" s="1"/>
  <c r="J273" i="16"/>
  <c r="L273" i="16" s="1"/>
  <c r="J261" i="16"/>
  <c r="L261" i="16" s="1"/>
  <c r="J247" i="16"/>
  <c r="L247" i="16" s="1"/>
  <c r="J211" i="16"/>
  <c r="L211" i="16" s="1"/>
  <c r="J152" i="16"/>
  <c r="L152" i="16" s="1"/>
  <c r="D37" i="16" s="1"/>
  <c r="J129" i="16"/>
  <c r="L129" i="16" s="1"/>
  <c r="J119" i="16"/>
  <c r="L119" i="16" s="1"/>
  <c r="J19" i="16"/>
  <c r="L19" i="16" s="1"/>
  <c r="J357" i="16"/>
  <c r="L357" i="16" s="1"/>
  <c r="J186" i="16"/>
  <c r="L186" i="16" s="1"/>
  <c r="J68" i="16"/>
  <c r="L68" i="16" s="1"/>
  <c r="J39" i="16"/>
  <c r="L39" i="16" s="1"/>
  <c r="J26" i="16"/>
  <c r="L26" i="16" s="1"/>
  <c r="J2" i="16"/>
  <c r="L2" i="16" s="1"/>
  <c r="J108" i="16"/>
  <c r="L108" i="16" s="1"/>
  <c r="J159" i="16"/>
  <c r="L159" i="16" s="1"/>
  <c r="J153" i="16"/>
  <c r="L153" i="16" s="1"/>
  <c r="J512" i="16"/>
  <c r="L512" i="16" s="1"/>
  <c r="J303" i="16"/>
  <c r="L303" i="16" s="1"/>
  <c r="J700" i="16"/>
  <c r="L700" i="16" s="1"/>
  <c r="J566" i="16"/>
  <c r="L566" i="16" s="1"/>
  <c r="J529" i="16"/>
  <c r="L529" i="16" s="1"/>
  <c r="J511" i="16"/>
  <c r="L511" i="16" s="1"/>
  <c r="J141" i="16"/>
  <c r="L141" i="16" s="1"/>
  <c r="J87" i="16"/>
  <c r="L87" i="16" s="1"/>
  <c r="J48" i="16"/>
  <c r="L48" i="16" s="1"/>
  <c r="J57" i="16"/>
  <c r="L57" i="16" s="1"/>
  <c r="J32" i="16"/>
  <c r="L32" i="16" s="1"/>
  <c r="J10" i="16"/>
  <c r="L10" i="16" s="1"/>
  <c r="J96" i="16"/>
  <c r="L96" i="16" s="1"/>
  <c r="J41" i="16"/>
  <c r="L41" i="16" s="1"/>
  <c r="J289" i="16"/>
  <c r="L289" i="16" s="1"/>
  <c r="J33" i="16"/>
  <c r="L33" i="16" s="1"/>
  <c r="J945" i="16"/>
  <c r="L945" i="16" s="1"/>
  <c r="J831" i="16"/>
  <c r="L831" i="16" s="1"/>
  <c r="J679" i="16"/>
  <c r="L679" i="16" s="1"/>
  <c r="J314" i="16"/>
  <c r="L314" i="16" s="1"/>
  <c r="J235" i="16"/>
  <c r="L235" i="16" s="1"/>
  <c r="J93" i="16"/>
  <c r="L93" i="16" s="1"/>
  <c r="J103" i="16"/>
  <c r="L103" i="16" s="1"/>
  <c r="J133" i="16"/>
  <c r="L133" i="16" s="1"/>
  <c r="J277" i="16"/>
  <c r="L277" i="16" s="1"/>
  <c r="J661" i="16"/>
  <c r="L661" i="16" s="1"/>
  <c r="J784" i="16"/>
  <c r="L784" i="16" s="1"/>
  <c r="J660" i="16"/>
  <c r="L660" i="16" s="1"/>
  <c r="J622" i="16"/>
  <c r="L622" i="16" s="1"/>
  <c r="J585" i="16"/>
  <c r="L585" i="16" s="1"/>
  <c r="J565" i="16"/>
  <c r="L565" i="16" s="1"/>
  <c r="J493" i="16"/>
  <c r="L493" i="16" s="1"/>
  <c r="J447" i="16"/>
  <c r="L447" i="16" s="1"/>
  <c r="J401" i="16"/>
  <c r="L401" i="16" s="1"/>
  <c r="J385" i="16"/>
  <c r="L385" i="16" s="1"/>
  <c r="J371" i="16"/>
  <c r="L371" i="16" s="1"/>
  <c r="J341" i="16"/>
  <c r="L341" i="16" s="1"/>
  <c r="J287" i="16"/>
  <c r="L287" i="16" s="1"/>
  <c r="J272" i="16"/>
  <c r="L272" i="16" s="1"/>
  <c r="J221" i="16"/>
  <c r="L221" i="16" s="1"/>
  <c r="J175" i="16"/>
  <c r="L175" i="16" s="1"/>
  <c r="J162" i="16"/>
  <c r="L162" i="16" s="1"/>
  <c r="J118" i="16"/>
  <c r="L118" i="16" s="1"/>
  <c r="J77" i="16"/>
  <c r="L77" i="16" s="1"/>
  <c r="J23" i="16"/>
  <c r="L23" i="16" s="1"/>
  <c r="J113" i="16"/>
  <c r="L113" i="16" s="1"/>
  <c r="J135" i="16"/>
  <c r="L135" i="16" s="1"/>
  <c r="J20" i="16"/>
  <c r="L20" i="16" s="1"/>
  <c r="J897" i="16"/>
  <c r="L897" i="16" s="1"/>
  <c r="J764" i="16"/>
  <c r="L764" i="16" s="1"/>
  <c r="J528" i="16"/>
  <c r="L528" i="16" s="1"/>
  <c r="J476" i="16"/>
  <c r="L476" i="16" s="1"/>
  <c r="J430" i="16"/>
  <c r="L430" i="16" s="1"/>
  <c r="J329" i="16"/>
  <c r="L329" i="16" s="1"/>
  <c r="J260" i="16"/>
  <c r="L260" i="16" s="1"/>
  <c r="J210" i="16"/>
  <c r="L210" i="16" s="1"/>
  <c r="J151" i="16"/>
  <c r="L151" i="16" s="1"/>
  <c r="J128" i="16"/>
  <c r="L128" i="16" s="1"/>
  <c r="J22" i="16"/>
  <c r="L22" i="16" s="1"/>
  <c r="J80" i="16"/>
  <c r="L80" i="16" s="1"/>
  <c r="J27" i="16"/>
  <c r="L27" i="16" s="1"/>
  <c r="J718" i="16"/>
  <c r="L718" i="16" s="1"/>
  <c r="J699" i="16"/>
  <c r="L699" i="16" s="1"/>
  <c r="J510" i="16"/>
  <c r="L510" i="16" s="1"/>
  <c r="J196" i="16"/>
  <c r="L196" i="16" s="1"/>
  <c r="J86" i="16"/>
  <c r="L86" i="16" s="1"/>
  <c r="J47" i="16"/>
  <c r="L47" i="16" s="1"/>
  <c r="J280" i="16"/>
  <c r="L280" i="16" s="1"/>
  <c r="J465" i="16"/>
  <c r="L465" i="16" s="1"/>
  <c r="J78" i="16"/>
  <c r="L78" i="16" s="1"/>
  <c r="J783" i="16"/>
  <c r="L783" i="16" s="1"/>
  <c r="J459" i="16"/>
  <c r="L459" i="16" s="1"/>
  <c r="J413" i="16"/>
  <c r="L413" i="16" s="1"/>
  <c r="J384" i="16"/>
  <c r="L384" i="16" s="1"/>
  <c r="J356" i="16"/>
  <c r="L356" i="16" s="1"/>
  <c r="J313" i="16"/>
  <c r="L313" i="16" s="1"/>
  <c r="J245" i="16"/>
  <c r="L245" i="16" s="1"/>
  <c r="J185" i="16"/>
  <c r="L185" i="16" s="1"/>
  <c r="J138" i="16"/>
  <c r="L138" i="16" s="1"/>
  <c r="J56" i="16"/>
  <c r="L56" i="16" s="1"/>
  <c r="J31" i="16"/>
  <c r="L31" i="16" s="1"/>
  <c r="J9" i="16"/>
  <c r="L9" i="16" s="1"/>
  <c r="J61" i="16"/>
  <c r="L61" i="16" s="1"/>
  <c r="J605" i="16"/>
  <c r="L605" i="16" s="1"/>
  <c r="J13" i="16"/>
  <c r="L13" i="16" s="1"/>
  <c r="J850" i="16"/>
  <c r="L850" i="16" s="1"/>
  <c r="J492" i="16"/>
  <c r="L492" i="16" s="1"/>
  <c r="J398" i="16"/>
  <c r="L398" i="16" s="1"/>
  <c r="J340" i="16"/>
  <c r="L340" i="16" s="1"/>
  <c r="J271" i="16"/>
  <c r="L271" i="16" s="1"/>
  <c r="J220" i="16"/>
  <c r="L220" i="16" s="1"/>
  <c r="J161" i="16"/>
  <c r="L161" i="16" s="1"/>
  <c r="J117" i="16"/>
  <c r="L117" i="16" s="1"/>
  <c r="J76" i="16"/>
  <c r="L76" i="16" s="1"/>
  <c r="J38" i="16"/>
  <c r="L38" i="16" s="1"/>
  <c r="J15" i="16"/>
  <c r="L15" i="16" s="1"/>
  <c r="J167" i="16"/>
  <c r="L167" i="16" s="1"/>
  <c r="J466" i="16"/>
  <c r="L466" i="16" s="1"/>
  <c r="J803" i="16"/>
  <c r="L803" i="16" s="1"/>
  <c r="J475" i="16"/>
  <c r="L475" i="16" s="1"/>
  <c r="J429" i="16"/>
  <c r="L429" i="16" s="1"/>
  <c r="J209" i="16"/>
  <c r="L209" i="16" s="1"/>
  <c r="J127" i="16"/>
  <c r="L127" i="16" s="1"/>
  <c r="J105" i="16"/>
  <c r="L105" i="16" s="1"/>
  <c r="J95" i="16"/>
  <c r="L95" i="16" s="1"/>
  <c r="J65" i="16"/>
  <c r="L65" i="16" s="1"/>
  <c r="J29" i="16"/>
  <c r="L29" i="16" s="1"/>
  <c r="J965" i="16"/>
  <c r="L965" i="16" s="1"/>
  <c r="J717" i="16"/>
  <c r="L717" i="16" s="1"/>
  <c r="J383" i="16"/>
  <c r="L383" i="16" s="1"/>
  <c r="J367" i="16"/>
  <c r="L367" i="16" s="1"/>
  <c r="J256" i="16"/>
  <c r="L256" i="16" s="1"/>
  <c r="J195" i="16"/>
  <c r="L195" i="16" s="1"/>
  <c r="J171" i="16"/>
  <c r="L171" i="16" s="1"/>
  <c r="J137" i="16"/>
  <c r="L137" i="16" s="1"/>
  <c r="J85" i="16"/>
  <c r="L85" i="16" s="1"/>
  <c r="J46" i="16"/>
  <c r="L46" i="16" s="1"/>
  <c r="J17" i="16"/>
  <c r="L17" i="16" s="1"/>
  <c r="J44" i="16"/>
  <c r="L44" i="16" s="1"/>
  <c r="J72" i="16"/>
  <c r="L72" i="16" s="1"/>
  <c r="J62" i="16"/>
  <c r="L62" i="16" s="1"/>
  <c r="J21" i="16"/>
  <c r="L21" i="16" s="1"/>
  <c r="J109" i="16"/>
  <c r="L109" i="16" s="1"/>
  <c r="J869" i="16"/>
  <c r="L869" i="16" s="1"/>
  <c r="J737" i="16"/>
  <c r="L737" i="16" s="1"/>
  <c r="J458" i="16"/>
  <c r="L458" i="16" s="1"/>
  <c r="J428" i="16"/>
  <c r="L428" i="16" s="1"/>
  <c r="J412" i="16"/>
  <c r="L412" i="16" s="1"/>
  <c r="J312" i="16"/>
  <c r="L312" i="16" s="1"/>
  <c r="J297" i="16"/>
  <c r="L297" i="16" s="1"/>
  <c r="J244" i="16"/>
  <c r="L244" i="16" s="1"/>
  <c r="J184" i="16"/>
  <c r="L184" i="16" s="1"/>
  <c r="J149" i="16"/>
  <c r="L149" i="16" s="1"/>
  <c r="J55" i="16"/>
  <c r="L55" i="16" s="1"/>
  <c r="J30" i="16"/>
  <c r="L30" i="16" s="1"/>
  <c r="J24" i="16"/>
  <c r="L24" i="16" s="1"/>
  <c r="J28" i="16"/>
  <c r="L28" i="16" s="1"/>
  <c r="J120" i="16"/>
  <c r="L120" i="16" s="1"/>
  <c r="J69" i="16"/>
  <c r="L69" i="16" s="1"/>
  <c r="J653" i="16"/>
  <c r="L653" i="16" s="1"/>
  <c r="J615" i="16"/>
  <c r="L615" i="16" s="1"/>
  <c r="J578" i="16"/>
  <c r="L578" i="16" s="1"/>
  <c r="J522" i="16"/>
  <c r="L522" i="16" s="1"/>
  <c r="J339" i="16"/>
  <c r="L339" i="16" s="1"/>
  <c r="J219" i="16"/>
  <c r="L219" i="16" s="1"/>
  <c r="J160" i="16"/>
  <c r="L160" i="16" s="1"/>
  <c r="J126" i="16"/>
  <c r="L126" i="16" s="1"/>
  <c r="J116" i="16"/>
  <c r="L116" i="16" s="1"/>
  <c r="J94" i="16"/>
  <c r="L94" i="16" s="1"/>
  <c r="J37" i="16"/>
  <c r="L37" i="16" s="1"/>
  <c r="J73" i="16"/>
  <c r="L73" i="16" s="1"/>
  <c r="J193" i="16"/>
  <c r="L193" i="16" s="1"/>
  <c r="J177" i="16"/>
  <c r="L177" i="16" s="1"/>
  <c r="J100" i="16"/>
  <c r="L100" i="16" s="1"/>
  <c r="J176" i="16"/>
  <c r="L176" i="16" s="1"/>
  <c r="J802" i="16"/>
  <c r="L802" i="16" s="1"/>
  <c r="J736" i="16"/>
  <c r="L736" i="16" s="1"/>
  <c r="J539" i="16"/>
  <c r="L539" i="16" s="1"/>
  <c r="J504" i="16"/>
  <c r="L504" i="16" s="1"/>
  <c r="J474" i="16"/>
  <c r="L474" i="16" s="1"/>
  <c r="J441" i="16"/>
  <c r="L441" i="16" s="1"/>
  <c r="J411" i="16"/>
  <c r="L411" i="16" s="1"/>
  <c r="J323" i="16"/>
  <c r="L323" i="16" s="1"/>
  <c r="J255" i="16"/>
  <c r="L255" i="16" s="1"/>
  <c r="J104" i="16"/>
  <c r="L104" i="16" s="1"/>
  <c r="J64" i="16"/>
  <c r="L64" i="16" s="1"/>
  <c r="J8" i="16"/>
  <c r="L8" i="16" s="1"/>
  <c r="J54" i="16"/>
  <c r="L54" i="16" s="1"/>
  <c r="J63" i="16"/>
  <c r="L63" i="16" s="1"/>
  <c r="J14" i="16"/>
  <c r="L14" i="16" s="1"/>
  <c r="J3" i="16"/>
  <c r="L3" i="16" s="1"/>
  <c r="J822" i="16"/>
  <c r="L822" i="16" s="1"/>
  <c r="J756" i="16"/>
  <c r="L756" i="16" s="1"/>
  <c r="J395" i="16"/>
  <c r="L395" i="16" s="1"/>
  <c r="J366" i="16"/>
  <c r="L366" i="16" s="1"/>
  <c r="J269" i="16"/>
  <c r="L269" i="16" s="1"/>
  <c r="J194" i="16"/>
  <c r="L194" i="16" s="1"/>
  <c r="J170" i="16"/>
  <c r="L170" i="16" s="1"/>
  <c r="J136" i="16"/>
  <c r="L136" i="16" s="1"/>
  <c r="J84" i="16"/>
  <c r="L84" i="16" s="1"/>
  <c r="J45" i="16"/>
  <c r="L45" i="16" s="1"/>
  <c r="J7" i="16"/>
  <c r="L7" i="16" s="1"/>
  <c r="J389" i="16"/>
  <c r="L389" i="16" s="1"/>
  <c r="J358" i="16"/>
  <c r="L358" i="16" s="1"/>
  <c r="J986" i="16"/>
  <c r="L986" i="16" s="1"/>
  <c r="J888" i="16"/>
  <c r="L888" i="16" s="1"/>
  <c r="J652" i="16"/>
  <c r="L652" i="16" s="1"/>
  <c r="J614" i="16"/>
  <c r="L614" i="16" s="1"/>
  <c r="J577" i="16"/>
  <c r="L577" i="16" s="1"/>
  <c r="J521" i="16"/>
  <c r="L521" i="16" s="1"/>
  <c r="J486" i="16"/>
  <c r="L486" i="16" s="1"/>
  <c r="J457" i="16"/>
  <c r="L457" i="16" s="1"/>
  <c r="J296" i="16"/>
  <c r="L296" i="16" s="1"/>
  <c r="J243" i="16"/>
  <c r="L243" i="16" s="1"/>
  <c r="J229" i="16"/>
  <c r="L229" i="16" s="1"/>
  <c r="J16" i="16"/>
  <c r="L16" i="16" s="1"/>
  <c r="J643" i="16"/>
  <c r="L643" i="16" s="1"/>
  <c r="J402" i="16"/>
  <c r="L402" i="16" s="1"/>
  <c r="J821" i="16"/>
  <c r="L821" i="16" s="1"/>
  <c r="J633" i="16"/>
  <c r="L633" i="16" s="1"/>
  <c r="J595" i="16"/>
  <c r="L595" i="16" s="1"/>
  <c r="J440" i="16"/>
  <c r="L440" i="16" s="1"/>
  <c r="J394" i="16"/>
  <c r="L394" i="16" s="1"/>
  <c r="J380" i="16"/>
  <c r="L380" i="16" s="1"/>
  <c r="J350" i="16"/>
  <c r="L350" i="16" s="1"/>
  <c r="J338" i="16"/>
  <c r="L338" i="16" s="1"/>
  <c r="J218" i="16"/>
  <c r="L218" i="16" s="1"/>
  <c r="J125" i="16"/>
  <c r="L125" i="16" s="1"/>
  <c r="J169" i="16"/>
  <c r="L169" i="16" s="1"/>
  <c r="J81" i="16"/>
  <c r="L81" i="16" s="1"/>
  <c r="J70" i="16"/>
  <c r="L70" i="16" s="1"/>
  <c r="J79" i="16"/>
  <c r="L79" i="16" s="1"/>
  <c r="J670" i="16"/>
  <c r="L670" i="16" s="1"/>
  <c r="J576" i="16"/>
  <c r="L576" i="16" s="1"/>
  <c r="J538" i="16"/>
  <c r="L538" i="16" s="1"/>
  <c r="J410" i="16"/>
  <c r="L410" i="16" s="1"/>
  <c r="J322" i="16"/>
  <c r="L322" i="16" s="1"/>
  <c r="J204" i="16"/>
  <c r="L204" i="16" s="1"/>
  <c r="J331" i="16"/>
  <c r="L331" i="16" s="1"/>
  <c r="J60" i="16"/>
  <c r="L60" i="16" s="1"/>
  <c r="J236" i="16"/>
  <c r="L236" i="16" s="1"/>
  <c r="J985" i="16"/>
  <c r="L985" i="16" s="1"/>
  <c r="J887" i="16"/>
  <c r="L887" i="16" s="1"/>
  <c r="J755" i="16"/>
  <c r="L755" i="16" s="1"/>
  <c r="J632" i="16"/>
  <c r="L632" i="16" s="1"/>
  <c r="J556" i="16"/>
  <c r="L556" i="16" s="1"/>
  <c r="J520" i="16"/>
  <c r="L520" i="16" s="1"/>
  <c r="J456" i="16"/>
  <c r="L456" i="16" s="1"/>
  <c r="J365" i="16"/>
  <c r="L365" i="16" s="1"/>
  <c r="J40" i="16"/>
  <c r="L40" i="16" s="1"/>
  <c r="J690" i="16"/>
  <c r="L690" i="16" s="1"/>
  <c r="J651" i="16"/>
  <c r="L651" i="16" s="1"/>
  <c r="J613" i="16"/>
  <c r="L613" i="16" s="1"/>
  <c r="J502" i="16"/>
  <c r="L502" i="16" s="1"/>
  <c r="J439" i="16"/>
  <c r="L439" i="16" s="1"/>
  <c r="J295" i="16"/>
  <c r="L295" i="16" s="1"/>
  <c r="J253" i="16"/>
  <c r="L253" i="16" s="1"/>
  <c r="J228" i="16"/>
  <c r="L228" i="16" s="1"/>
  <c r="J145" i="16"/>
  <c r="L145" i="16" s="1"/>
  <c r="J53" i="16"/>
  <c r="L53" i="16" s="1"/>
  <c r="J347" i="16"/>
  <c r="L347" i="16" s="1"/>
  <c r="J187" i="16"/>
  <c r="L187" i="16" s="1"/>
  <c r="J623" i="16"/>
  <c r="L623" i="16" s="1"/>
  <c r="J956" i="16"/>
  <c r="L956" i="16" s="1"/>
  <c r="J907" i="16"/>
  <c r="L907" i="16" s="1"/>
  <c r="J774" i="16"/>
  <c r="L774" i="16" s="1"/>
  <c r="J709" i="16"/>
  <c r="L709" i="16" s="1"/>
  <c r="J594" i="16"/>
  <c r="L594" i="16" s="1"/>
  <c r="J575" i="16"/>
  <c r="L575" i="16" s="1"/>
  <c r="J468" i="16"/>
  <c r="L468" i="16" s="1"/>
  <c r="J422" i="16"/>
  <c r="L422" i="16" s="1"/>
  <c r="J393" i="16"/>
  <c r="L393" i="16" s="1"/>
  <c r="J377" i="16"/>
  <c r="L377" i="16" s="1"/>
  <c r="J349" i="16"/>
  <c r="L349" i="16" s="1"/>
  <c r="J335" i="16"/>
  <c r="L335" i="16" s="1"/>
  <c r="J306" i="16"/>
  <c r="L306" i="16" s="1"/>
  <c r="J179" i="16"/>
  <c r="L179" i="16" s="1"/>
  <c r="J102" i="16"/>
  <c r="L102" i="16" s="1"/>
  <c r="J92" i="16"/>
  <c r="L92" i="16" s="1"/>
  <c r="J34" i="16"/>
  <c r="L34" i="16" s="1"/>
  <c r="J841" i="16"/>
  <c r="L841" i="16" s="1"/>
  <c r="J689" i="16"/>
  <c r="L689" i="16" s="1"/>
  <c r="J669" i="16"/>
  <c r="L669" i="16" s="1"/>
  <c r="J631" i="16"/>
  <c r="L631" i="16" s="1"/>
  <c r="J519" i="16"/>
  <c r="L519" i="16" s="1"/>
  <c r="J321" i="16"/>
  <c r="L321" i="16" s="1"/>
  <c r="J239" i="16"/>
  <c r="L239" i="16" s="1"/>
  <c r="J203" i="16"/>
  <c r="L203" i="16" s="1"/>
  <c r="J134" i="16"/>
  <c r="L134" i="16" s="1"/>
  <c r="J112" i="16"/>
  <c r="L112" i="16" s="1"/>
  <c r="G29" i="16" a="1"/>
  <c r="G29" i="16" s="1"/>
  <c r="G33" i="16" s="1"/>
  <c r="J832" i="16"/>
  <c r="L832" i="16" s="1"/>
  <c r="J484" i="16"/>
  <c r="L484" i="16" s="1"/>
  <c r="J279" i="16"/>
  <c r="L279" i="16" s="1"/>
  <c r="J192" i="16"/>
  <c r="L192" i="16" s="1"/>
  <c r="J168" i="16"/>
  <c r="L168" i="16" s="1"/>
  <c r="J122" i="16"/>
  <c r="L122" i="16" s="1"/>
  <c r="J840" i="16"/>
  <c r="L840" i="16" s="1"/>
  <c r="J688" i="16"/>
  <c r="L688" i="16" s="1"/>
  <c r="J501" i="16"/>
  <c r="L501" i="16" s="1"/>
  <c r="J438" i="16"/>
  <c r="L438" i="16" s="1"/>
  <c r="J392" i="16"/>
  <c r="L392" i="16" s="1"/>
  <c r="J376" i="16"/>
  <c r="L376" i="16" s="1"/>
  <c r="J252" i="16"/>
  <c r="L252" i="16" s="1"/>
  <c r="J227" i="16"/>
  <c r="L227" i="16" s="1"/>
  <c r="J144" i="16"/>
  <c r="L144" i="16" s="1"/>
  <c r="J71" i="16"/>
  <c r="L71" i="16" s="1"/>
  <c r="J52" i="16"/>
  <c r="L52" i="16" s="1"/>
  <c r="J6" i="16"/>
  <c r="L6" i="16" s="1"/>
  <c r="J212" i="16"/>
  <c r="L212" i="16" s="1"/>
  <c r="J586" i="16"/>
  <c r="L586" i="16" s="1"/>
  <c r="J860" i="16"/>
  <c r="L860" i="16" s="1"/>
  <c r="J727" i="16"/>
  <c r="L727" i="16" s="1"/>
  <c r="J708" i="16"/>
  <c r="L708" i="16" s="1"/>
  <c r="J467" i="16"/>
  <c r="L467" i="16" s="1"/>
  <c r="J421" i="16"/>
  <c r="L421" i="16" s="1"/>
  <c r="J362" i="16"/>
  <c r="L362" i="16" s="1"/>
  <c r="J348" i="16"/>
  <c r="L348" i="16" s="1"/>
  <c r="J305" i="16"/>
  <c r="L305" i="16" s="1"/>
  <c r="J178" i="16"/>
  <c r="L178" i="16" s="1"/>
  <c r="J101" i="16"/>
  <c r="L101" i="16" s="1"/>
  <c r="J926" i="16"/>
  <c r="L926" i="16" s="1"/>
  <c r="J793" i="16"/>
  <c r="L793" i="16" s="1"/>
  <c r="J332" i="16"/>
  <c r="L332" i="16" s="1"/>
  <c r="J320" i="16"/>
  <c r="L320" i="16" s="1"/>
  <c r="J213" i="16"/>
  <c r="L213" i="16" s="1"/>
  <c r="J202" i="16"/>
  <c r="L202" i="16" s="1"/>
  <c r="J154" i="16"/>
  <c r="L154" i="16" s="1"/>
  <c r="J111" i="16"/>
  <c r="L111" i="16" s="1"/>
  <c r="J4" i="16"/>
  <c r="L4" i="16" s="1"/>
  <c r="J513" i="16"/>
  <c r="L513" i="16" s="1"/>
  <c r="J483" i="16"/>
  <c r="L483" i="16" s="1"/>
  <c r="J450" i="16"/>
  <c r="L450" i="16" s="1"/>
  <c r="J404" i="16"/>
  <c r="L404" i="16" s="1"/>
  <c r="J375" i="16"/>
  <c r="L375" i="16" s="1"/>
  <c r="J89" i="16"/>
  <c r="L89" i="16" s="1"/>
  <c r="J304" i="16"/>
  <c r="L304" i="16" s="1"/>
  <c r="J792" i="16"/>
  <c r="L792" i="16" s="1"/>
  <c r="J263" i="16"/>
  <c r="L263" i="16" s="1"/>
  <c r="J237" i="16"/>
  <c r="L237" i="16" s="1"/>
  <c r="J226" i="16"/>
  <c r="L226" i="16" s="1"/>
  <c r="J143" i="16"/>
  <c r="L143" i="16" s="1"/>
  <c r="J201" i="16"/>
  <c r="L201" i="16" s="1"/>
  <c r="J925" i="16"/>
  <c r="L925" i="16" s="1"/>
  <c r="J859" i="16"/>
  <c r="L859" i="16" s="1"/>
  <c r="J812" i="16"/>
  <c r="L812" i="16" s="1"/>
  <c r="J726" i="16"/>
  <c r="L726" i="16" s="1"/>
  <c r="J625" i="16"/>
  <c r="L625" i="16" s="1"/>
  <c r="J568" i="16"/>
  <c r="L568" i="16" s="1"/>
  <c r="J110" i="16"/>
  <c r="L110" i="16" s="1"/>
  <c r="J878" i="16"/>
  <c r="L878" i="16" s="1"/>
  <c r="J746" i="16"/>
  <c r="L746" i="16" s="1"/>
  <c r="J567" i="16"/>
  <c r="L567" i="16" s="1"/>
  <c r="J530" i="16"/>
  <c r="L530" i="16" s="1"/>
  <c r="J449" i="16"/>
  <c r="L449" i="16" s="1"/>
  <c r="J419" i="16"/>
  <c r="L419" i="16" s="1"/>
  <c r="J374" i="16"/>
  <c r="L374" i="16" s="1"/>
  <c r="J142" i="16"/>
  <c r="L142" i="16" s="1"/>
  <c r="J88" i="16"/>
  <c r="L88" i="16" s="1"/>
  <c r="J49" i="16"/>
  <c r="L49" i="16" s="1"/>
  <c r="J288" i="16"/>
  <c r="L288" i="16" s="1"/>
  <c r="D33" i="16" l="1"/>
  <c r="D34" i="16" s="1"/>
  <c r="C7" i="15" l="1"/>
  <c r="C9" i="15" s="1"/>
  <c r="C18" i="15"/>
  <c r="C11" i="15"/>
  <c r="J6" i="15"/>
  <c r="D5" i="15"/>
  <c r="C21" i="15" l="1"/>
  <c r="I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B6" authorId="0" shapeId="0" xr:uid="{D557C4F5-28E0-4634-AB7D-7B2580EABF8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Modifies load to account for dynamic loading 
(fudge factor)</t>
        </r>
      </text>
    </comment>
    <comment ref="H6" authorId="0" shapeId="0" xr:uid="{563739A4-42D5-482A-A54B-3F90E6B6711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Radial Load at which 10% of rated bearings will fail at or before L10 revolutions</t>
        </r>
      </text>
    </comment>
    <comment ref="B12" authorId="0" shapeId="0" xr:uid="{30C92393-E930-466B-89AD-F808B7FD6FA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ball bearings a = 3
roller bearings a = 10/3</t>
        </r>
      </text>
    </comment>
    <comment ref="B15" authorId="0" shapeId="0" xr:uid="{97472F4B-42CE-4774-9F34-8F0DEA37C12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Must be greater than 90%</t>
        </r>
      </text>
    </comment>
    <comment ref="C15" authorId="0" shapeId="0" xr:uid="{B540316A-7D51-4538-BE11-771FF5D0CA4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Reliability is multiplied so if there are two bearings and the pair together must have a reliability of 99% then:
Rb * Rb = 99%
Rb = SQRT(99%)
in which Rb is the reliablity of a single bearing.
(if there was 3 it would be Rb * Rb * Rb = 99%)</t>
        </r>
      </text>
    </comment>
    <comment ref="H15" authorId="0" shapeId="0" xr:uid="{51899F5C-9845-4496-AC07-93DAED21F17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intersection of C_10 with higher reliability line R_D</t>
        </r>
      </text>
    </comment>
    <comment ref="B16" authorId="0" shapeId="0" xr:uid="{B6491A03-394B-4454-855A-5F1848AEA12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Number of cycles at which there is 100% reliability 
(tests resulted in no breakage</t>
        </r>
      </text>
    </comment>
    <comment ref="H16" authorId="0" shapeId="0" xr:uid="{22ED631E-32C4-425C-BCBB-FCDF9AC7A81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Radial Load at which 10% of rated bearings will fail at or before L10 revolutions</t>
        </r>
      </text>
    </comment>
    <comment ref="B17" authorId="0" shapeId="0" xr:uid="{BF6B6F6C-D220-41F9-926E-4E07EF8E524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B18" authorId="0" shapeId="0" xr:uid="{4095C30C-1DAD-43BE-87DB-43A36CA7BA4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B20" authorId="0" shapeId="0" xr:uid="{7178F536-9328-44E5-86FC-4EBDD2CA419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F22" authorId="0" shapeId="0" xr:uid="{B6F3F5B8-E647-4362-9DAE-092D64360F0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If this is checked then it ignores the L_D written above for the Adjusted reliability but not for the default reliablilty of 90% above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B6" authorId="0" shapeId="0" xr:uid="{FADC1ED7-978F-4B03-8DDA-1CC8A5DE33D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Modifies load to account for dynamic loading 
(fudge factor)</t>
        </r>
      </text>
    </comment>
    <comment ref="H6" authorId="0" shapeId="0" xr:uid="{FDA99531-8CF0-4CB8-9D81-CAAA8B5B468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Radial Load at which 10% of rated bearings will fail at or before L10 revolutions</t>
        </r>
      </text>
    </comment>
    <comment ref="B12" authorId="0" shapeId="0" xr:uid="{75753B06-EB77-4CC5-93D8-CD8E5214C03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ball bearings a = 3
roller bearings a = 10/3</t>
        </r>
      </text>
    </comment>
    <comment ref="B15" authorId="0" shapeId="0" xr:uid="{A5227CB4-5342-4411-AD21-5FE5491C018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Must be greater than 90%</t>
        </r>
      </text>
    </comment>
    <comment ref="C15" authorId="0" shapeId="0" xr:uid="{5EADA7F2-29CD-4A2D-AFC8-F91B0707F45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Reliability is multiplied so if there are two bearings and the pair together must have a reliability of 99% then:
Rb * Rb = 99%
Rb = SQRT(99%)
in which Rb is the reliablity of a single bearing.
(if there was 3 it would be Rb * Rb * Rb = 99%)</t>
        </r>
      </text>
    </comment>
    <comment ref="H15" authorId="0" shapeId="0" xr:uid="{EF9D51A5-2468-4A13-8147-4B8C5E25421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intersection of C_10 with higher reliability line R_D</t>
        </r>
      </text>
    </comment>
    <comment ref="B16" authorId="0" shapeId="0" xr:uid="{5A716716-AB76-4509-95BF-B2E93D8EFC8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Number of cycles at which there is 100% reliability 
(tests resulted in no breakage</t>
        </r>
      </text>
    </comment>
    <comment ref="H16" authorId="0" shapeId="0" xr:uid="{FD4565E8-7233-4C67-9A85-2B42A20BD6E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Radial Load at which 10% of rated bearings will fail at or before L10 revolutions</t>
        </r>
      </text>
    </comment>
    <comment ref="B17" authorId="0" shapeId="0" xr:uid="{11338F74-F799-403E-8CE1-ADD19C2FF1D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B18" authorId="0" shapeId="0" xr:uid="{AE2F8463-5740-48D4-978C-57C0D28FFA4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B20" authorId="0" shapeId="0" xr:uid="{24B5430E-A77D-4B54-A2E6-E774AEEA365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Adjusts shape of Weibull distribution (provided by manufacturer)</t>
        </r>
      </text>
    </comment>
    <comment ref="F22" authorId="0" shapeId="0" xr:uid="{E623AFB0-21FE-4D1F-A0BE-01D68F4F608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If this is checked then it ignores the L_D written above for the Adjusted reliability but not for the default reliablilty of 90% above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G33" authorId="0" shapeId="0" xr:uid="{C85D2A0D-ED84-4665-B3FA-D60CC9ACC53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C10 for bearings in kN for a 
L_D of 200*10^6 and a
L_10 of 1*10^6
for a bearing with an
a of 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<sst xmlns="http://schemas.openxmlformats.org/spreadsheetml/2006/main" count="170" uniqueCount="80">
  <si>
    <t>step size</t>
  </si>
  <si>
    <t/>
  </si>
  <si>
    <t>Inputs</t>
  </si>
  <si>
    <t>Units</t>
  </si>
  <si>
    <t>Shaft Length</t>
  </si>
  <si>
    <t>Location of forces along axis</t>
  </si>
  <si>
    <t>P1</t>
  </si>
  <si>
    <t>Force 1</t>
  </si>
  <si>
    <t>P2</t>
  </si>
  <si>
    <t>Force 2</t>
  </si>
  <si>
    <t>50N</t>
  </si>
  <si>
    <t>Force 3</t>
  </si>
  <si>
    <t>270N</t>
  </si>
  <si>
    <t>Force 4</t>
  </si>
  <si>
    <t>Gear Diameters</t>
  </si>
  <si>
    <t>Magnitude of the Forces</t>
  </si>
  <si>
    <t>y-direction</t>
  </si>
  <si>
    <t>z-direction</t>
  </si>
  <si>
    <t>Magnitude</t>
  </si>
  <si>
    <t>x-direction</t>
  </si>
  <si>
    <t>AB</t>
  </si>
  <si>
    <t>Torque 1,2</t>
  </si>
  <si>
    <t>CD</t>
  </si>
  <si>
    <t>Torque 3,4</t>
  </si>
  <si>
    <t>O</t>
  </si>
  <si>
    <t>Reaction at left bearing</t>
  </si>
  <si>
    <t>Reaction at right bearing</t>
  </si>
  <si>
    <t>Max moment</t>
  </si>
  <si>
    <t>location</t>
  </si>
  <si>
    <t>Moment at location</t>
  </si>
  <si>
    <t>-</t>
  </si>
  <si>
    <t>English</t>
  </si>
  <si>
    <t>INPUTS</t>
  </si>
  <si>
    <t>OUTPUTS</t>
  </si>
  <si>
    <t>rpm</t>
  </si>
  <si>
    <t>Units:</t>
  </si>
  <si>
    <t>b</t>
  </si>
  <si>
    <t>Reactions</t>
  </si>
  <si>
    <t>Torques</t>
  </si>
  <si>
    <t>B</t>
  </si>
  <si>
    <t>A</t>
  </si>
  <si>
    <t>C</t>
  </si>
  <si>
    <t>Gear A</t>
  </si>
  <si>
    <t>Gear C</t>
  </si>
  <si>
    <t>OA shoulder location</t>
  </si>
  <si>
    <t>CB shoulder location</t>
  </si>
  <si>
    <t>total radial load</t>
  </si>
  <si>
    <t>kN</t>
  </si>
  <si>
    <r>
      <t>Net Radial Load, F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</si>
  <si>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Lifetime, ℒ</t>
    </r>
    <r>
      <rPr>
        <vertAlign val="subscript"/>
        <sz val="11"/>
        <color theme="1"/>
        <rFont val="Aptos Narrow"/>
        <family val="2"/>
        <scheme val="minor"/>
      </rPr>
      <t>D</t>
    </r>
  </si>
  <si>
    <t>hrs</t>
  </si>
  <si>
    <r>
      <t>Rotations by Design, L</t>
    </r>
    <r>
      <rPr>
        <vertAlign val="subscript"/>
        <sz val="11"/>
        <color theme="1"/>
        <rFont val="Aptos Narrow"/>
        <family val="2"/>
        <scheme val="minor"/>
      </rPr>
      <t>D</t>
    </r>
  </si>
  <si>
    <t>revs</t>
  </si>
  <si>
    <r>
      <t>Override L</t>
    </r>
    <r>
      <rPr>
        <vertAlign val="subscript"/>
        <sz val="11"/>
        <color theme="1"/>
        <rFont val="Aptos Narrow"/>
        <family val="2"/>
        <scheme val="minor"/>
      </rPr>
      <t>D</t>
    </r>
  </si>
  <si>
    <t>Rotation Speed, n</t>
  </si>
  <si>
    <r>
      <t>Rated Load, C</t>
    </r>
    <r>
      <rPr>
        <vertAlign val="subscript"/>
        <sz val="11"/>
        <color theme="1"/>
        <rFont val="Aptos Narrow"/>
        <family val="2"/>
        <scheme val="minor"/>
      </rPr>
      <t>10</t>
    </r>
  </si>
  <si>
    <t>Bearing Design</t>
  </si>
  <si>
    <t>Contact Constant, a</t>
  </si>
  <si>
    <t>Weibull Parameters</t>
  </si>
  <si>
    <t>θ</t>
  </si>
  <si>
    <r>
      <t>x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</si>
  <si>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Override x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</si>
  <si>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Nomormalized Lifetime by Design, x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</si>
  <si>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Design Reliability, R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</si>
  <si>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Normalized Lifetime, x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</si>
  <si>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θ - x</t>
    </r>
    <r>
      <rPr>
        <vertAlign val="subscript"/>
        <sz val="11"/>
        <color theme="1"/>
        <rFont val="Aptos Narrow"/>
        <family val="2"/>
        <scheme val="minor"/>
      </rPr>
      <t>0</t>
    </r>
  </si>
  <si>
    <t>Override θ</t>
  </si>
  <si>
    <r>
      <t>Load Application Factor, a</t>
    </r>
    <r>
      <rPr>
        <vertAlign val="subscript"/>
        <sz val="11"/>
        <color theme="1"/>
        <rFont val="Aptos Narrow"/>
        <family val="2"/>
        <scheme val="minor"/>
      </rPr>
      <t>f</t>
    </r>
  </si>
  <si>
    <t xml:space="preserve">Bearing Design for Reliability of </t>
  </si>
  <si>
    <t>Ball Bearings</t>
  </si>
  <si>
    <r>
      <t>Adjusted Net Radial Load,  F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</si>
  <si>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Rating Life, L</t>
    </r>
    <r>
      <rPr>
        <vertAlign val="subscript"/>
        <sz val="11"/>
        <color theme="1"/>
        <rFont val="Aptos Narrow"/>
        <family val="2"/>
        <scheme val="minor"/>
      </rPr>
      <t>10</t>
    </r>
  </si>
  <si>
    <t>value here</t>
  </si>
  <si>
    <t>(always N)</t>
  </si>
  <si>
    <t>N</t>
  </si>
  <si>
    <t>(always lbf)</t>
  </si>
  <si>
    <t>lbf</t>
  </si>
  <si>
    <t>klbf</t>
  </si>
  <si>
    <r>
      <t>Adjusted Net Radial Load,  F</t>
    </r>
    <r>
      <rPr>
        <vertAlign val="subscript"/>
        <sz val="11"/>
        <color theme="1"/>
        <rFont val="Aptos Narrow"/>
        <family val="2"/>
        <scheme val="minor"/>
      </rPr>
      <t>r</t>
    </r>
  </si>
  <si>
    <r>
      <t>Net Radial Load, F</t>
    </r>
    <r>
      <rPr>
        <vertAlign val="subscript"/>
        <sz val="11"/>
        <color theme="1"/>
        <rFont val="Aptos Narrow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</si>
</sst>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00000000"/>
    <numFmt numFmtId="166" formatCode="0.0000"/>
    <numFmt numFmtId="167" formatCode="0.000"/>
    <numFmt numFmtId="168" formatCode="##0.0E+00"/>
    <numFmt numFmtId="169" formatCode="#,##0.0"/>
    <numFmt numFmtId="170" formatCode="#,##0.000"/>
    <numFmt numFmtId="171" formatCode="0.0%"/>
    <numFmt numFmtId="172" formatCode="#,##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quotePrefix="1"/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2" borderId="1" xfId="0" applyFill="1" applyBorder="1"/>
    <xf numFmtId="167" fontId="0" fillId="3" borderId="0" xfId="0" applyNumberForma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168" fontId="0" fillId="2" borderId="0" xfId="0" applyNumberFormat="1" applyFill="1" applyAlignment="1">
      <alignment vertical="center"/>
    </xf>
    <xf numFmtId="168" fontId="0" fillId="3" borderId="0" xfId="0" applyNumberForma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3" borderId="0" xfId="1" applyNumberFormat="1" applyFont="1" applyFill="1" applyAlignment="1">
      <alignment vertical="center"/>
    </xf>
    <xf numFmtId="164" fontId="0" fillId="0" borderId="0" xfId="0" applyNumberFormat="1"/>
    <xf numFmtId="169" fontId="0" fillId="3" borderId="0" xfId="1" applyNumberFormat="1" applyFont="1" applyFill="1" applyAlignment="1">
      <alignment vertical="center"/>
    </xf>
    <xf numFmtId="0" fontId="0" fillId="2" borderId="0" xfId="0" quotePrefix="1" applyFill="1" applyAlignment="1">
      <alignment horizontal="center"/>
    </xf>
    <xf numFmtId="165" fontId="0" fillId="0" borderId="0" xfId="0" applyNumberFormat="1"/>
    <xf numFmtId="0" fontId="2" fillId="4" borderId="2" xfId="0" applyFont="1" applyFill="1" applyBorder="1" applyAlignment="1">
      <alignment horizontal="left" vertical="center"/>
    </xf>
    <xf numFmtId="166" fontId="0" fillId="0" borderId="0" xfId="0" applyNumberFormat="1"/>
    <xf numFmtId="170" fontId="0" fillId="3" borderId="0" xfId="1" applyNumberFormat="1" applyFont="1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69" fontId="0" fillId="2" borderId="0" xfId="1" applyNumberFormat="1" applyFont="1" applyFill="1" applyAlignment="1">
      <alignment vertical="center"/>
    </xf>
    <xf numFmtId="4" fontId="0" fillId="2" borderId="0" xfId="1" applyNumberFormat="1" applyFont="1" applyFill="1" applyAlignment="1">
      <alignment vertical="center"/>
    </xf>
    <xf numFmtId="170" fontId="0" fillId="2" borderId="0" xfId="1" applyNumberFormat="1" applyFont="1" applyFill="1" applyAlignment="1">
      <alignment vertical="center"/>
    </xf>
    <xf numFmtId="9" fontId="2" fillId="4" borderId="2" xfId="2" applyFont="1" applyFill="1" applyBorder="1" applyAlignment="1">
      <alignment vertical="center"/>
    </xf>
    <xf numFmtId="171" fontId="0" fillId="0" borderId="0" xfId="2" applyNumberFormat="1" applyFont="1" applyAlignment="1">
      <alignment vertical="center"/>
    </xf>
    <xf numFmtId="171" fontId="0" fillId="2" borderId="0" xfId="2" applyNumberFormat="1" applyFont="1" applyFill="1" applyAlignment="1">
      <alignment vertical="center"/>
    </xf>
    <xf numFmtId="170" fontId="0" fillId="3" borderId="0" xfId="0" applyNumberFormat="1" applyFill="1" applyAlignment="1">
      <alignment vertical="center"/>
    </xf>
    <xf numFmtId="172" fontId="0" fillId="3" borderId="0" xfId="1" applyNumberFormat="1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3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colors>
    <mruColors>
      <color rgb="FFFF5050"/>
      <color rgb="FFFF66FF"/>
      <color rgb="FFFF00FF"/>
      <color rgb="FFFF33C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11614173228346E-2"/>
          <c:y val="2.1363735783027121E-2"/>
          <c:w val="0.88663385826771657"/>
          <c:h val="0.867232611548556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'L1 Shaft Design-Moments'!$L$1</c:f>
              <c:strCache>
                <c:ptCount val="1"/>
                <c:pt idx="0">
                  <c:v>Net Moment [*10^3 in-lbf]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'L1 Shaft Design-Moments'!$I$2:$I$1000</c:f>
              <c:numCache>
                <c:formatCode>0.0</c:formatCode>
                <c:ptCount val="9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1.2000000000000002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</c:v>
                </c:pt>
                <c:pt idx="16">
                  <c:v>1.6</c:v>
                </c:pt>
                <c:pt idx="17">
                  <c:v>1.7000000000000002</c:v>
                </c:pt>
                <c:pt idx="18">
                  <c:v>1.8</c:v>
                </c:pt>
                <c:pt idx="19">
                  <c:v>1.9000000000000001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2.3000000000000003</c:v>
                </c:pt>
                <c:pt idx="24">
                  <c:v>2.4000000000000004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2.8000000000000003</c:v>
                </c:pt>
                <c:pt idx="29">
                  <c:v>2.9000000000000004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3.3000000000000003</c:v>
                </c:pt>
                <c:pt idx="34">
                  <c:v>3.4000000000000004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3.8000000000000003</c:v>
                </c:pt>
                <c:pt idx="39">
                  <c:v>3.9000000000000004</c:v>
                </c:pt>
                <c:pt idx="40">
                  <c:v>4</c:v>
                </c:pt>
                <c:pt idx="41">
                  <c:v>4.1000000000000005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4.6000000000000005</c:v>
                </c:pt>
                <c:pt idx="47">
                  <c:v>4.7</c:v>
                </c:pt>
                <c:pt idx="48">
                  <c:v>4.8000000000000007</c:v>
                </c:pt>
                <c:pt idx="49">
                  <c:v>4.9000000000000004</c:v>
                </c:pt>
                <c:pt idx="50">
                  <c:v>5</c:v>
                </c:pt>
                <c:pt idx="51">
                  <c:v>5.1000000000000005</c:v>
                </c:pt>
                <c:pt idx="52">
                  <c:v>5.2</c:v>
                </c:pt>
                <c:pt idx="53">
                  <c:v>5.3000000000000007</c:v>
                </c:pt>
                <c:pt idx="54">
                  <c:v>5.4</c:v>
                </c:pt>
                <c:pt idx="55">
                  <c:v>5.5</c:v>
                </c:pt>
                <c:pt idx="56">
                  <c:v>5.6000000000000005</c:v>
                </c:pt>
                <c:pt idx="57">
                  <c:v>5.7</c:v>
                </c:pt>
                <c:pt idx="58">
                  <c:v>5.8000000000000007</c:v>
                </c:pt>
                <c:pt idx="59">
                  <c:v>5.9</c:v>
                </c:pt>
                <c:pt idx="60">
                  <c:v>6</c:v>
                </c:pt>
                <c:pt idx="61">
                  <c:v>6.1000000000000005</c:v>
                </c:pt>
                <c:pt idx="62">
                  <c:v>6.2</c:v>
                </c:pt>
                <c:pt idx="63">
                  <c:v>6.3000000000000007</c:v>
                </c:pt>
                <c:pt idx="64">
                  <c:v>6.4</c:v>
                </c:pt>
                <c:pt idx="65">
                  <c:v>6.5</c:v>
                </c:pt>
                <c:pt idx="66">
                  <c:v>6.6000000000000005</c:v>
                </c:pt>
                <c:pt idx="67">
                  <c:v>6.7</c:v>
                </c:pt>
                <c:pt idx="68">
                  <c:v>6.8000000000000007</c:v>
                </c:pt>
                <c:pt idx="69">
                  <c:v>6.9</c:v>
                </c:pt>
                <c:pt idx="70">
                  <c:v>7</c:v>
                </c:pt>
                <c:pt idx="71">
                  <c:v>7.1000000000000005</c:v>
                </c:pt>
                <c:pt idx="72">
                  <c:v>7.2</c:v>
                </c:pt>
                <c:pt idx="73">
                  <c:v>7.3000000000000007</c:v>
                </c:pt>
                <c:pt idx="74">
                  <c:v>7.4</c:v>
                </c:pt>
                <c:pt idx="75">
                  <c:v>7.5</c:v>
                </c:pt>
                <c:pt idx="76">
                  <c:v>7.6000000000000005</c:v>
                </c:pt>
                <c:pt idx="77">
                  <c:v>7.7</c:v>
                </c:pt>
                <c:pt idx="78">
                  <c:v>7.8000000000000007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8.2000000000000011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8.7000000000000011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9.2000000000000011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9.6000000000000014</c:v>
                </c:pt>
                <c:pt idx="97">
                  <c:v>9.7000000000000011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10.100000000000001</c:v>
                </c:pt>
                <c:pt idx="102">
                  <c:v>10.200000000000001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10.600000000000001</c:v>
                </c:pt>
                <c:pt idx="107">
                  <c:v>10.700000000000001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11.100000000000001</c:v>
                </c:pt>
                <c:pt idx="112">
                  <c:v>11.200000000000001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11.600000000000001</c:v>
                </c:pt>
                <c:pt idx="117">
                  <c:v>11.700000000000001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12.100000000000001</c:v>
                </c:pt>
                <c:pt idx="122">
                  <c:v>12.200000000000001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12.600000000000001</c:v>
                </c:pt>
                <c:pt idx="127">
                  <c:v>12.700000000000001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13.100000000000001</c:v>
                </c:pt>
                <c:pt idx="132">
                  <c:v>13.200000000000001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13.600000000000001</c:v>
                </c:pt>
                <c:pt idx="137">
                  <c:v>13.700000000000001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14.100000000000001</c:v>
                </c:pt>
                <c:pt idx="142">
                  <c:v>14.200000000000001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14.600000000000001</c:v>
                </c:pt>
                <c:pt idx="147">
                  <c:v>14.700000000000001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15.100000000000001</c:v>
                </c:pt>
                <c:pt idx="152">
                  <c:v>15.200000000000001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15.600000000000001</c:v>
                </c:pt>
                <c:pt idx="157">
                  <c:v>15.700000000000001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16.400000000000002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16.900000000000002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17.400000000000002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17.900000000000002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18.400000000000002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18.900000000000002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</c:v>
                </c:pt>
                <c:pt idx="194">
                  <c:v>19.400000000000002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19.700000000000003</c:v>
                </c:pt>
                <c:pt idx="198">
                  <c:v>19.8</c:v>
                </c:pt>
                <c:pt idx="199">
                  <c:v>19.900000000000002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20.200000000000003</c:v>
                </c:pt>
                <c:pt idx="203">
                  <c:v>20.3</c:v>
                </c:pt>
                <c:pt idx="204">
                  <c:v>20.400000000000002</c:v>
                </c:pt>
                <c:pt idx="205">
                  <c:v>20.5</c:v>
                </c:pt>
                <c:pt idx="206">
                  <c:v>20.6</c:v>
                </c:pt>
                <c:pt idx="207">
                  <c:v>20.700000000000003</c:v>
                </c:pt>
                <c:pt idx="208">
                  <c:v>20.8</c:v>
                </c:pt>
                <c:pt idx="209">
                  <c:v>20.900000000000002</c:v>
                </c:pt>
                <c:pt idx="210">
                  <c:v>21</c:v>
                </c:pt>
                <c:pt idx="211">
                  <c:v>21.1</c:v>
                </c:pt>
                <c:pt idx="212">
                  <c:v>21.200000000000003</c:v>
                </c:pt>
                <c:pt idx="213">
                  <c:v>21.3</c:v>
                </c:pt>
                <c:pt idx="214">
                  <c:v>21.400000000000002</c:v>
                </c:pt>
                <c:pt idx="215">
                  <c:v>21.5</c:v>
                </c:pt>
                <c:pt idx="216">
                  <c:v>21.6</c:v>
                </c:pt>
                <c:pt idx="217">
                  <c:v>21.700000000000003</c:v>
                </c:pt>
                <c:pt idx="218">
                  <c:v>21.8</c:v>
                </c:pt>
                <c:pt idx="219">
                  <c:v>21.900000000000002</c:v>
                </c:pt>
                <c:pt idx="220">
                  <c:v>22</c:v>
                </c:pt>
                <c:pt idx="221">
                  <c:v>22.1</c:v>
                </c:pt>
                <c:pt idx="222">
                  <c:v>22.200000000000003</c:v>
                </c:pt>
                <c:pt idx="223">
                  <c:v>22.3</c:v>
                </c:pt>
                <c:pt idx="224">
                  <c:v>22.400000000000002</c:v>
                </c:pt>
                <c:pt idx="225">
                  <c:v>22.5</c:v>
                </c:pt>
                <c:pt idx="226">
                  <c:v>22.6</c:v>
                </c:pt>
                <c:pt idx="227">
                  <c:v>22.700000000000003</c:v>
                </c:pt>
                <c:pt idx="228">
                  <c:v>22.8</c:v>
                </c:pt>
                <c:pt idx="229">
                  <c:v>22.900000000000002</c:v>
                </c:pt>
                <c:pt idx="230">
                  <c:v>23</c:v>
                </c:pt>
                <c:pt idx="231">
                  <c:v>23.1</c:v>
                </c:pt>
                <c:pt idx="232">
                  <c:v>23.200000000000003</c:v>
                </c:pt>
                <c:pt idx="233">
                  <c:v>23.3</c:v>
                </c:pt>
                <c:pt idx="234">
                  <c:v>23.400000000000002</c:v>
                </c:pt>
                <c:pt idx="235">
                  <c:v>23.5</c:v>
                </c:pt>
                <c:pt idx="236">
                  <c:v>23.6</c:v>
                </c:pt>
                <c:pt idx="237">
                  <c:v>23.700000000000003</c:v>
                </c:pt>
                <c:pt idx="238">
                  <c:v>23.8</c:v>
                </c:pt>
                <c:pt idx="239">
                  <c:v>23.900000000000002</c:v>
                </c:pt>
                <c:pt idx="240">
                  <c:v>24</c:v>
                </c:pt>
                <c:pt idx="241">
                  <c:v>24.1</c:v>
                </c:pt>
                <c:pt idx="242">
                  <c:v>24.200000000000003</c:v>
                </c:pt>
                <c:pt idx="243">
                  <c:v>24.3</c:v>
                </c:pt>
                <c:pt idx="244">
                  <c:v>24.400000000000002</c:v>
                </c:pt>
                <c:pt idx="245">
                  <c:v>24.5</c:v>
                </c:pt>
                <c:pt idx="246">
                  <c:v>24.6</c:v>
                </c:pt>
                <c:pt idx="247">
                  <c:v>24.700000000000003</c:v>
                </c:pt>
                <c:pt idx="248">
                  <c:v>24.8</c:v>
                </c:pt>
                <c:pt idx="249">
                  <c:v>24.900000000000002</c:v>
                </c:pt>
                <c:pt idx="250">
                  <c:v>25</c:v>
                </c:pt>
                <c:pt idx="251">
                  <c:v>25.1</c:v>
                </c:pt>
                <c:pt idx="252">
                  <c:v>25.200000000000003</c:v>
                </c:pt>
                <c:pt idx="253">
                  <c:v>25.3</c:v>
                </c:pt>
                <c:pt idx="254">
                  <c:v>25.400000000000002</c:v>
                </c:pt>
                <c:pt idx="255">
                  <c:v>25.5</c:v>
                </c:pt>
                <c:pt idx="256">
                  <c:v>25.6</c:v>
                </c:pt>
                <c:pt idx="257">
                  <c:v>25.700000000000003</c:v>
                </c:pt>
                <c:pt idx="258">
                  <c:v>25.8</c:v>
                </c:pt>
                <c:pt idx="259">
                  <c:v>25.900000000000002</c:v>
                </c:pt>
                <c:pt idx="260">
                  <c:v>26</c:v>
                </c:pt>
                <c:pt idx="261">
                  <c:v>26.1</c:v>
                </c:pt>
                <c:pt idx="262">
                  <c:v>26.200000000000003</c:v>
                </c:pt>
                <c:pt idx="263">
                  <c:v>26.3</c:v>
                </c:pt>
                <c:pt idx="264">
                  <c:v>26.400000000000002</c:v>
                </c:pt>
                <c:pt idx="265">
                  <c:v>26.5</c:v>
                </c:pt>
                <c:pt idx="266">
                  <c:v>26.6</c:v>
                </c:pt>
                <c:pt idx="267">
                  <c:v>26.700000000000003</c:v>
                </c:pt>
                <c:pt idx="268">
                  <c:v>26.8</c:v>
                </c:pt>
                <c:pt idx="269">
                  <c:v>26.900000000000002</c:v>
                </c:pt>
                <c:pt idx="270">
                  <c:v>27</c:v>
                </c:pt>
                <c:pt idx="271">
                  <c:v>27.1</c:v>
                </c:pt>
                <c:pt idx="272">
                  <c:v>27.200000000000003</c:v>
                </c:pt>
                <c:pt idx="273">
                  <c:v>27.3</c:v>
                </c:pt>
                <c:pt idx="274">
                  <c:v>27.400000000000002</c:v>
                </c:pt>
                <c:pt idx="275">
                  <c:v>27.5</c:v>
                </c:pt>
                <c:pt idx="276">
                  <c:v>27.6</c:v>
                </c:pt>
                <c:pt idx="277">
                  <c:v>27.700000000000003</c:v>
                </c:pt>
                <c:pt idx="278">
                  <c:v>27.8</c:v>
                </c:pt>
                <c:pt idx="279">
                  <c:v>27.900000000000002</c:v>
                </c:pt>
                <c:pt idx="280">
                  <c:v>28</c:v>
                </c:pt>
                <c:pt idx="281">
                  <c:v>28.1</c:v>
                </c:pt>
                <c:pt idx="282">
                  <c:v>28.200000000000003</c:v>
                </c:pt>
                <c:pt idx="283">
                  <c:v>28.3</c:v>
                </c:pt>
                <c:pt idx="284">
                  <c:v>28.400000000000002</c:v>
                </c:pt>
                <c:pt idx="285">
                  <c:v>28.5</c:v>
                </c:pt>
                <c:pt idx="286">
                  <c:v>28.6</c:v>
                </c:pt>
                <c:pt idx="287">
                  <c:v>28.700000000000003</c:v>
                </c:pt>
                <c:pt idx="288">
                  <c:v>28.8</c:v>
                </c:pt>
                <c:pt idx="289">
                  <c:v>28.900000000000002</c:v>
                </c:pt>
                <c:pt idx="290">
                  <c:v>29</c:v>
                </c:pt>
                <c:pt idx="291">
                  <c:v>29.1</c:v>
                </c:pt>
                <c:pt idx="292">
                  <c:v>29.200000000000003</c:v>
                </c:pt>
                <c:pt idx="293">
                  <c:v>29.3</c:v>
                </c:pt>
                <c:pt idx="294">
                  <c:v>29.400000000000002</c:v>
                </c:pt>
                <c:pt idx="295">
                  <c:v>29.5</c:v>
                </c:pt>
                <c:pt idx="296">
                  <c:v>29.6</c:v>
                </c:pt>
                <c:pt idx="297">
                  <c:v>29.700000000000003</c:v>
                </c:pt>
                <c:pt idx="298">
                  <c:v>29.8</c:v>
                </c:pt>
                <c:pt idx="299">
                  <c:v>29.900000000000002</c:v>
                </c:pt>
                <c:pt idx="300">
                  <c:v>30</c:v>
                </c:pt>
                <c:pt idx="301">
                  <c:v>30.1</c:v>
                </c:pt>
                <c:pt idx="302">
                  <c:v>30.200000000000003</c:v>
                </c:pt>
                <c:pt idx="303">
                  <c:v>30.3</c:v>
                </c:pt>
                <c:pt idx="304">
                  <c:v>30.400000000000002</c:v>
                </c:pt>
                <c:pt idx="305">
                  <c:v>30.5</c:v>
                </c:pt>
                <c:pt idx="306">
                  <c:v>30.6</c:v>
                </c:pt>
                <c:pt idx="307">
                  <c:v>30.700000000000003</c:v>
                </c:pt>
                <c:pt idx="308">
                  <c:v>30.8</c:v>
                </c:pt>
                <c:pt idx="309">
                  <c:v>30.900000000000002</c:v>
                </c:pt>
                <c:pt idx="310">
                  <c:v>31</c:v>
                </c:pt>
                <c:pt idx="311">
                  <c:v>31.1</c:v>
                </c:pt>
                <c:pt idx="312">
                  <c:v>31.200000000000003</c:v>
                </c:pt>
                <c:pt idx="313">
                  <c:v>31.3</c:v>
                </c:pt>
                <c:pt idx="314">
                  <c:v>31.400000000000002</c:v>
                </c:pt>
                <c:pt idx="315">
                  <c:v>31.5</c:v>
                </c:pt>
                <c:pt idx="316">
                  <c:v>31.6</c:v>
                </c:pt>
                <c:pt idx="317">
                  <c:v>31.700000000000003</c:v>
                </c:pt>
                <c:pt idx="318">
                  <c:v>31.8</c:v>
                </c:pt>
                <c:pt idx="319">
                  <c:v>31.900000000000002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32.300000000000004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32.800000000000004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33.300000000000004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33.800000000000004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34.300000000000004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34.800000000000004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35.300000000000004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35.800000000000004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36.300000000000004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36.800000000000004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37.300000000000004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37.800000000000004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38.300000000000004</c:v>
                </c:pt>
                <c:pt idx="384">
                  <c:v>38.400000000000006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38.800000000000004</c:v>
                </c:pt>
                <c:pt idx="389">
                  <c:v>38.900000000000006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39.300000000000004</c:v>
                </c:pt>
                <c:pt idx="394">
                  <c:v>39.400000000000006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39.800000000000004</c:v>
                </c:pt>
                <c:pt idx="399">
                  <c:v>39.900000000000006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40.300000000000004</c:v>
                </c:pt>
                <c:pt idx="404">
                  <c:v>40.400000000000006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40.800000000000004</c:v>
                </c:pt>
                <c:pt idx="409">
                  <c:v>40.900000000000006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41.300000000000004</c:v>
                </c:pt>
                <c:pt idx="414">
                  <c:v>41.400000000000006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41.800000000000004</c:v>
                </c:pt>
                <c:pt idx="419">
                  <c:v>41.900000000000006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42.300000000000004</c:v>
                </c:pt>
                <c:pt idx="424">
                  <c:v>42.400000000000006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42.800000000000004</c:v>
                </c:pt>
                <c:pt idx="429">
                  <c:v>42.900000000000006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43.300000000000004</c:v>
                </c:pt>
                <c:pt idx="434">
                  <c:v>43.400000000000006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43.800000000000004</c:v>
                </c:pt>
                <c:pt idx="439">
                  <c:v>43.900000000000006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44.300000000000004</c:v>
                </c:pt>
                <c:pt idx="444">
                  <c:v>44.400000000000006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44.800000000000004</c:v>
                </c:pt>
                <c:pt idx="449">
                  <c:v>44.900000000000006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45.300000000000004</c:v>
                </c:pt>
                <c:pt idx="454">
                  <c:v>45.400000000000006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45.800000000000004</c:v>
                </c:pt>
                <c:pt idx="459">
                  <c:v>45.900000000000006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46.300000000000004</c:v>
                </c:pt>
                <c:pt idx="464">
                  <c:v>46.400000000000006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46.800000000000004</c:v>
                </c:pt>
                <c:pt idx="469">
                  <c:v>46.900000000000006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47.300000000000004</c:v>
                </c:pt>
                <c:pt idx="474">
                  <c:v>47.400000000000006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47.800000000000004</c:v>
                </c:pt>
                <c:pt idx="479">
                  <c:v>47.900000000000006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48.300000000000004</c:v>
                </c:pt>
                <c:pt idx="484">
                  <c:v>48.400000000000006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48.800000000000004</c:v>
                </c:pt>
                <c:pt idx="489">
                  <c:v>48.900000000000006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49.300000000000004</c:v>
                </c:pt>
                <c:pt idx="494">
                  <c:v>49.400000000000006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49.800000000000004</c:v>
                </c:pt>
                <c:pt idx="499">
                  <c:v>49.900000000000006</c:v>
                </c:pt>
                <c:pt idx="500">
                  <c:v>50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</c:numCache>
            </c:numRef>
          </c:xVal>
          <c:yVal>
            <c:numRef>
              <c:f>'L1 Shaft Design-Moments'!$L$2:$L$1000</c:f>
              <c:numCache>
                <c:formatCode>0.000000000</c:formatCode>
                <c:ptCount val="999"/>
                <c:pt idx="0" formatCode="0">
                  <c:v>0</c:v>
                </c:pt>
                <c:pt idx="1">
                  <c:v>5.4670351731049942E-2</c:v>
                </c:pt>
                <c:pt idx="2">
                  <c:v>0.10934070346209988</c:v>
                </c:pt>
                <c:pt idx="3">
                  <c:v>0.16401105519314985</c:v>
                </c:pt>
                <c:pt idx="4">
                  <c:v>0.21868140692419977</c:v>
                </c:pt>
                <c:pt idx="5">
                  <c:v>0.27335175865524969</c:v>
                </c:pt>
                <c:pt idx="6">
                  <c:v>0.32802211038629969</c:v>
                </c:pt>
                <c:pt idx="7">
                  <c:v>0.38269246211734964</c:v>
                </c:pt>
                <c:pt idx="8">
                  <c:v>0.43736281384839953</c:v>
                </c:pt>
                <c:pt idx="9">
                  <c:v>0.49203316557944948</c:v>
                </c:pt>
                <c:pt idx="10">
                  <c:v>0.54670351731049938</c:v>
                </c:pt>
                <c:pt idx="11">
                  <c:v>0.60137386904154944</c:v>
                </c:pt>
                <c:pt idx="12">
                  <c:v>0.65604422077259938</c:v>
                </c:pt>
                <c:pt idx="13">
                  <c:v>0.71071457250364922</c:v>
                </c:pt>
                <c:pt idx="14">
                  <c:v>0.76538492423469928</c:v>
                </c:pt>
                <c:pt idx="15">
                  <c:v>0.82005527596574912</c:v>
                </c:pt>
                <c:pt idx="16">
                  <c:v>0.87472562769679907</c:v>
                </c:pt>
                <c:pt idx="17">
                  <c:v>0.92939597942784913</c:v>
                </c:pt>
                <c:pt idx="18">
                  <c:v>0.98406633115889897</c:v>
                </c:pt>
                <c:pt idx="19">
                  <c:v>1.0387366828899489</c:v>
                </c:pt>
                <c:pt idx="20">
                  <c:v>1.0934070346209988</c:v>
                </c:pt>
                <c:pt idx="21">
                  <c:v>1.148077386352049</c:v>
                </c:pt>
                <c:pt idx="22">
                  <c:v>1.2027477380830989</c:v>
                </c:pt>
                <c:pt idx="23">
                  <c:v>1.2574180898141489</c:v>
                </c:pt>
                <c:pt idx="24">
                  <c:v>1.3120884415451988</c:v>
                </c:pt>
                <c:pt idx="25">
                  <c:v>1.3667587932762486</c:v>
                </c:pt>
                <c:pt idx="26">
                  <c:v>1.4214291450072984</c:v>
                </c:pt>
                <c:pt idx="27">
                  <c:v>1.4760994967383485</c:v>
                </c:pt>
                <c:pt idx="28">
                  <c:v>1.5307698484693986</c:v>
                </c:pt>
                <c:pt idx="29">
                  <c:v>1.5854402002004484</c:v>
                </c:pt>
                <c:pt idx="30">
                  <c:v>1.6401105519314982</c:v>
                </c:pt>
                <c:pt idx="31">
                  <c:v>1.6947809036625483</c:v>
                </c:pt>
                <c:pt idx="32">
                  <c:v>1.7494512553935981</c:v>
                </c:pt>
                <c:pt idx="33">
                  <c:v>1.8041216071246482</c:v>
                </c:pt>
                <c:pt idx="34">
                  <c:v>1.8587919588556983</c:v>
                </c:pt>
                <c:pt idx="35">
                  <c:v>1.9134623105867479</c:v>
                </c:pt>
                <c:pt idx="36">
                  <c:v>1.9681326623177979</c:v>
                </c:pt>
                <c:pt idx="37">
                  <c:v>2.022803014048848</c:v>
                </c:pt>
                <c:pt idx="38">
                  <c:v>2.0774733657798978</c:v>
                </c:pt>
                <c:pt idx="39">
                  <c:v>2.1321437175109481</c:v>
                </c:pt>
                <c:pt idx="40">
                  <c:v>2.1868140692419975</c:v>
                </c:pt>
                <c:pt idx="41">
                  <c:v>2.2414844209730473</c:v>
                </c:pt>
                <c:pt idx="42">
                  <c:v>2.2961547727040981</c:v>
                </c:pt>
                <c:pt idx="43">
                  <c:v>2.3508251244351479</c:v>
                </c:pt>
                <c:pt idx="44">
                  <c:v>2.4054954761661977</c:v>
                </c:pt>
                <c:pt idx="45">
                  <c:v>2.4601658278972476</c:v>
                </c:pt>
                <c:pt idx="46">
                  <c:v>2.5148361796282979</c:v>
                </c:pt>
                <c:pt idx="47">
                  <c:v>2.5695065313593473</c:v>
                </c:pt>
                <c:pt idx="48">
                  <c:v>2.6241768830903975</c:v>
                </c:pt>
                <c:pt idx="49">
                  <c:v>2.6788472348214478</c:v>
                </c:pt>
                <c:pt idx="50">
                  <c:v>2.7335175865524972</c:v>
                </c:pt>
                <c:pt idx="51">
                  <c:v>2.7881879382835471</c:v>
                </c:pt>
                <c:pt idx="52">
                  <c:v>2.8428582900145969</c:v>
                </c:pt>
                <c:pt idx="53">
                  <c:v>2.8975286417456476</c:v>
                </c:pt>
                <c:pt idx="54">
                  <c:v>2.952198993476697</c:v>
                </c:pt>
                <c:pt idx="55">
                  <c:v>3.0068693452077464</c:v>
                </c:pt>
                <c:pt idx="56">
                  <c:v>3.0615396969387971</c:v>
                </c:pt>
                <c:pt idx="57">
                  <c:v>3.116210048669847</c:v>
                </c:pt>
                <c:pt idx="58">
                  <c:v>3.1708804004008968</c:v>
                </c:pt>
                <c:pt idx="59">
                  <c:v>3.2255507521319466</c:v>
                </c:pt>
                <c:pt idx="60">
                  <c:v>3.2802211038629965</c:v>
                </c:pt>
                <c:pt idx="61">
                  <c:v>3.3348914555940463</c:v>
                </c:pt>
                <c:pt idx="62">
                  <c:v>3.3895618073250966</c:v>
                </c:pt>
                <c:pt idx="63">
                  <c:v>3.4442321590561469</c:v>
                </c:pt>
                <c:pt idx="64">
                  <c:v>3.4989025107871963</c:v>
                </c:pt>
                <c:pt idx="65">
                  <c:v>3.5535728625182457</c:v>
                </c:pt>
                <c:pt idx="66">
                  <c:v>3.6082432142492964</c:v>
                </c:pt>
                <c:pt idx="67">
                  <c:v>3.6629135659803462</c:v>
                </c:pt>
                <c:pt idx="68">
                  <c:v>3.7175839177113965</c:v>
                </c:pt>
                <c:pt idx="69">
                  <c:v>3.7722542694424464</c:v>
                </c:pt>
                <c:pt idx="70">
                  <c:v>3.8269246211734957</c:v>
                </c:pt>
                <c:pt idx="71">
                  <c:v>3.8815949729045465</c:v>
                </c:pt>
                <c:pt idx="72">
                  <c:v>3.9362653246355959</c:v>
                </c:pt>
                <c:pt idx="73">
                  <c:v>3.9909356763666466</c:v>
                </c:pt>
                <c:pt idx="74">
                  <c:v>4.045606028097696</c:v>
                </c:pt>
                <c:pt idx="75">
                  <c:v>4.1002763798287454</c:v>
                </c:pt>
                <c:pt idx="76">
                  <c:v>4.1549467315597957</c:v>
                </c:pt>
                <c:pt idx="77">
                  <c:v>4.2096170832908451</c:v>
                </c:pt>
                <c:pt idx="78">
                  <c:v>4.2642874350218962</c:v>
                </c:pt>
                <c:pt idx="79">
                  <c:v>4.3189577867529456</c:v>
                </c:pt>
                <c:pt idx="80">
                  <c:v>4.373628138483995</c:v>
                </c:pt>
                <c:pt idx="81">
                  <c:v>4.4282984902150444</c:v>
                </c:pt>
                <c:pt idx="82">
                  <c:v>4.4829688419460947</c:v>
                </c:pt>
                <c:pt idx="83">
                  <c:v>4.537639193677145</c:v>
                </c:pt>
                <c:pt idx="84">
                  <c:v>4.5923095454081961</c:v>
                </c:pt>
                <c:pt idx="85">
                  <c:v>4.6469798971392455</c:v>
                </c:pt>
                <c:pt idx="86">
                  <c:v>4.7016502488702958</c:v>
                </c:pt>
                <c:pt idx="87">
                  <c:v>4.7563206006013461</c:v>
                </c:pt>
                <c:pt idx="88">
                  <c:v>4.8109909523323955</c:v>
                </c:pt>
                <c:pt idx="89">
                  <c:v>4.8656613040634449</c:v>
                </c:pt>
                <c:pt idx="90">
                  <c:v>4.9203316557944952</c:v>
                </c:pt>
                <c:pt idx="91">
                  <c:v>4.9750020075255454</c:v>
                </c:pt>
                <c:pt idx="92">
                  <c:v>5.0296723592565957</c:v>
                </c:pt>
                <c:pt idx="93">
                  <c:v>5.0843427109876451</c:v>
                </c:pt>
                <c:pt idx="94">
                  <c:v>5.1390130627186945</c:v>
                </c:pt>
                <c:pt idx="95">
                  <c:v>5.1936834144497448</c:v>
                </c:pt>
                <c:pt idx="96">
                  <c:v>5.2483537661807951</c:v>
                </c:pt>
                <c:pt idx="97">
                  <c:v>5.3030241179118445</c:v>
                </c:pt>
                <c:pt idx="98">
                  <c:v>5.3576944696428956</c:v>
                </c:pt>
                <c:pt idx="99">
                  <c:v>5.412364821373945</c:v>
                </c:pt>
                <c:pt idx="100">
                  <c:v>5.4670351731049944</c:v>
                </c:pt>
                <c:pt idx="101">
                  <c:v>5.5217055248360447</c:v>
                </c:pt>
                <c:pt idx="102">
                  <c:v>5.5763758765670941</c:v>
                </c:pt>
                <c:pt idx="103">
                  <c:v>5.6310462282981444</c:v>
                </c:pt>
                <c:pt idx="104">
                  <c:v>5.6857165800291938</c:v>
                </c:pt>
                <c:pt idx="105">
                  <c:v>5.7403869317602441</c:v>
                </c:pt>
                <c:pt idx="106">
                  <c:v>5.7950572834912952</c:v>
                </c:pt>
                <c:pt idx="107">
                  <c:v>5.8497276352223446</c:v>
                </c:pt>
                <c:pt idx="108">
                  <c:v>5.904397986953394</c:v>
                </c:pt>
                <c:pt idx="109">
                  <c:v>5.9590683386844434</c:v>
                </c:pt>
                <c:pt idx="110">
                  <c:v>6.0137386904154928</c:v>
                </c:pt>
                <c:pt idx="111">
                  <c:v>6.068409042146544</c:v>
                </c:pt>
                <c:pt idx="112">
                  <c:v>6.1230793938775943</c:v>
                </c:pt>
                <c:pt idx="113">
                  <c:v>6.1777497456086437</c:v>
                </c:pt>
                <c:pt idx="114">
                  <c:v>6.2324200973396939</c:v>
                </c:pt>
                <c:pt idx="115">
                  <c:v>6.2870904490707433</c:v>
                </c:pt>
                <c:pt idx="116">
                  <c:v>6.3417608008017936</c:v>
                </c:pt>
                <c:pt idx="117">
                  <c:v>6.396431152532843</c:v>
                </c:pt>
                <c:pt idx="118">
                  <c:v>6.4511015042638933</c:v>
                </c:pt>
                <c:pt idx="119">
                  <c:v>6.5057718559949427</c:v>
                </c:pt>
                <c:pt idx="120">
                  <c:v>6.560442207725993</c:v>
                </c:pt>
                <c:pt idx="121">
                  <c:v>6.6151125594570432</c:v>
                </c:pt>
                <c:pt idx="122">
                  <c:v>6.6697829111880926</c:v>
                </c:pt>
                <c:pt idx="123">
                  <c:v>6.7244532629191429</c:v>
                </c:pt>
                <c:pt idx="124">
                  <c:v>6.7791236146501932</c:v>
                </c:pt>
                <c:pt idx="125">
                  <c:v>6.8337939663812426</c:v>
                </c:pt>
                <c:pt idx="126">
                  <c:v>6.8884643181122938</c:v>
                </c:pt>
                <c:pt idx="127">
                  <c:v>6.9431346698433432</c:v>
                </c:pt>
                <c:pt idx="128">
                  <c:v>6.9978050215743925</c:v>
                </c:pt>
                <c:pt idx="129">
                  <c:v>7.0524753733054419</c:v>
                </c:pt>
                <c:pt idx="130">
                  <c:v>7.1071457250364913</c:v>
                </c:pt>
                <c:pt idx="131">
                  <c:v>7.1618160767675434</c:v>
                </c:pt>
                <c:pt idx="132">
                  <c:v>7.2164864284985928</c:v>
                </c:pt>
                <c:pt idx="133">
                  <c:v>7.2711567802296431</c:v>
                </c:pt>
                <c:pt idx="134">
                  <c:v>7.3258271319606925</c:v>
                </c:pt>
                <c:pt idx="135">
                  <c:v>7.3804974836917419</c:v>
                </c:pt>
                <c:pt idx="136">
                  <c:v>7.435167835422793</c:v>
                </c:pt>
                <c:pt idx="137">
                  <c:v>7.4898381871538415</c:v>
                </c:pt>
                <c:pt idx="138">
                  <c:v>7.5445085388848927</c:v>
                </c:pt>
                <c:pt idx="139">
                  <c:v>7.5991788906159412</c:v>
                </c:pt>
                <c:pt idx="140">
                  <c:v>7.6538492423469915</c:v>
                </c:pt>
                <c:pt idx="141">
                  <c:v>7.6493443983519978</c:v>
                </c:pt>
                <c:pt idx="142">
                  <c:v>7.6448523210072832</c:v>
                </c:pt>
                <c:pt idx="143">
                  <c:v>7.6403730328309054</c:v>
                </c:pt>
                <c:pt idx="144">
                  <c:v>7.6359065563295703</c:v>
                </c:pt>
                <c:pt idx="145">
                  <c:v>7.6314529139982268</c:v>
                </c:pt>
                <c:pt idx="146">
                  <c:v>7.6270121283196506</c:v>
                </c:pt>
                <c:pt idx="147">
                  <c:v>7.6225842217640327</c:v>
                </c:pt>
                <c:pt idx="148">
                  <c:v>7.6181692167885613</c:v>
                </c:pt>
                <c:pt idx="149">
                  <c:v>7.6137671358370032</c:v>
                </c:pt>
                <c:pt idx="150">
                  <c:v>7.6093780013392855</c:v>
                </c:pt>
                <c:pt idx="151">
                  <c:v>7.6050018357110769</c:v>
                </c:pt>
                <c:pt idx="152">
                  <c:v>7.6006386613533579</c:v>
                </c:pt>
                <c:pt idx="153">
                  <c:v>7.5962885006519985</c:v>
                </c:pt>
                <c:pt idx="154">
                  <c:v>7.5919513759773318</c:v>
                </c:pt>
                <c:pt idx="155">
                  <c:v>7.5876273096837306</c:v>
                </c:pt>
                <c:pt idx="156">
                  <c:v>7.5833163241091635</c:v>
                </c:pt>
                <c:pt idx="157">
                  <c:v>7.579018441574779</c:v>
                </c:pt>
                <c:pt idx="158">
                  <c:v>7.5747336843844595</c:v>
                </c:pt>
                <c:pt idx="159">
                  <c:v>7.5704620748243947</c:v>
                </c:pt>
                <c:pt idx="160">
                  <c:v>7.5662036351626361</c:v>
                </c:pt>
                <c:pt idx="161">
                  <c:v>7.5619583876486667</c:v>
                </c:pt>
                <c:pt idx="162">
                  <c:v>7.5577263545129529</c:v>
                </c:pt>
                <c:pt idx="163">
                  <c:v>7.553507557966511</c:v>
                </c:pt>
                <c:pt idx="164">
                  <c:v>7.5493020202004546</c:v>
                </c:pt>
                <c:pt idx="165">
                  <c:v>7.5451097633855566</c:v>
                </c:pt>
                <c:pt idx="166">
                  <c:v>7.5409308096717975</c:v>
                </c:pt>
                <c:pt idx="167">
                  <c:v>7.5367651811879197</c:v>
                </c:pt>
                <c:pt idx="168">
                  <c:v>7.5326129000409745</c:v>
                </c:pt>
                <c:pt idx="169">
                  <c:v>7.5284739883158736</c:v>
                </c:pt>
                <c:pt idx="170">
                  <c:v>7.5243484680749395</c:v>
                </c:pt>
                <c:pt idx="171">
                  <c:v>7.5202363613574361</c:v>
                </c:pt>
                <c:pt idx="172">
                  <c:v>7.5161376901791339</c:v>
                </c:pt>
                <c:pt idx="173">
                  <c:v>7.5120524765318306</c:v>
                </c:pt>
                <c:pt idx="174">
                  <c:v>7.5079807423829097</c:v>
                </c:pt>
                <c:pt idx="175">
                  <c:v>7.5039225096748652</c:v>
                </c:pt>
                <c:pt idx="176">
                  <c:v>7.4998778003248541</c:v>
                </c:pt>
                <c:pt idx="177">
                  <c:v>7.4958466362242167</c:v>
                </c:pt>
                <c:pt idx="178">
                  <c:v>7.4918290392380271</c:v>
                </c:pt>
                <c:pt idx="179">
                  <c:v>7.4878250312046113</c:v>
                </c:pt>
                <c:pt idx="180">
                  <c:v>7.4838346339350954</c:v>
                </c:pt>
                <c:pt idx="181">
                  <c:v>7.4798578692129185</c:v>
                </c:pt>
                <c:pt idx="182">
                  <c:v>7.4758947587933813</c:v>
                </c:pt>
                <c:pt idx="183">
                  <c:v>7.4719453244031548</c:v>
                </c:pt>
                <c:pt idx="184">
                  <c:v>7.4680095877398225</c:v>
                </c:pt>
                <c:pt idx="185">
                  <c:v>7.4640875704713947</c:v>
                </c:pt>
                <c:pt idx="186">
                  <c:v>7.4601792942358394</c:v>
                </c:pt>
                <c:pt idx="187">
                  <c:v>7.4562847806405985</c:v>
                </c:pt>
                <c:pt idx="188">
                  <c:v>7.4524040512621168</c:v>
                </c:pt>
                <c:pt idx="189">
                  <c:v>7.4485371276453547</c:v>
                </c:pt>
                <c:pt idx="190">
                  <c:v>7.4446840313033134</c:v>
                </c:pt>
                <c:pt idx="191">
                  <c:v>7.4408447837165417</c:v>
                </c:pt>
                <c:pt idx="192">
                  <c:v>7.4370194063326691</c:v>
                </c:pt>
                <c:pt idx="193">
                  <c:v>7.4332079205659038</c:v>
                </c:pt>
                <c:pt idx="194">
                  <c:v>7.4294103477965585</c:v>
                </c:pt>
                <c:pt idx="195">
                  <c:v>7.4256267093705546</c:v>
                </c:pt>
                <c:pt idx="196">
                  <c:v>7.421857026598941</c:v>
                </c:pt>
                <c:pt idx="197">
                  <c:v>7.4181013207574003</c:v>
                </c:pt>
                <c:pt idx="198">
                  <c:v>7.4143596130857601</c:v>
                </c:pt>
                <c:pt idx="199">
                  <c:v>7.4106319247874985</c:v>
                </c:pt>
                <c:pt idx="200">
                  <c:v>7.4069182770292548</c:v>
                </c:pt>
                <c:pt idx="201">
                  <c:v>7.4032186909403332</c:v>
                </c:pt>
                <c:pt idx="202">
                  <c:v>7.3995331876122084</c:v>
                </c:pt>
                <c:pt idx="203">
                  <c:v>7.3958617880980295</c:v>
                </c:pt>
                <c:pt idx="204">
                  <c:v>7.3922045134121257</c:v>
                </c:pt>
                <c:pt idx="205">
                  <c:v>7.3885613845295035</c:v>
                </c:pt>
                <c:pt idx="206">
                  <c:v>7.3849324223853516</c:v>
                </c:pt>
                <c:pt idx="207">
                  <c:v>7.381317647874539</c:v>
                </c:pt>
                <c:pt idx="208">
                  <c:v>7.3777170818511193</c:v>
                </c:pt>
                <c:pt idx="209">
                  <c:v>7.37413074512782</c:v>
                </c:pt>
                <c:pt idx="210">
                  <c:v>7.3705586584755487</c:v>
                </c:pt>
                <c:pt idx="211">
                  <c:v>7.3670008426228835</c:v>
                </c:pt>
                <c:pt idx="212">
                  <c:v>7.3634573182555769</c:v>
                </c:pt>
                <c:pt idx="213">
                  <c:v>7.3599281060160386</c:v>
                </c:pt>
                <c:pt idx="214">
                  <c:v>7.3564132265028457</c:v>
                </c:pt>
                <c:pt idx="215">
                  <c:v>7.3529127002702168</c:v>
                </c:pt>
                <c:pt idx="216">
                  <c:v>7.3494265478275276</c:v>
                </c:pt>
                <c:pt idx="217">
                  <c:v>7.34595478963878</c:v>
                </c:pt>
                <c:pt idx="218">
                  <c:v>7.3424974461221124</c:v>
                </c:pt>
                <c:pt idx="219">
                  <c:v>7.3390545376492771</c:v>
                </c:pt>
                <c:pt idx="220">
                  <c:v>7.3356260845451429</c:v>
                </c:pt>
                <c:pt idx="221">
                  <c:v>7.3322121070871669</c:v>
                </c:pt>
                <c:pt idx="222">
                  <c:v>7.3288126255049049</c:v>
                </c:pt>
                <c:pt idx="223">
                  <c:v>7.3254276599794812</c:v>
                </c:pt>
                <c:pt idx="224">
                  <c:v>7.3220572306430904</c:v>
                </c:pt>
                <c:pt idx="225">
                  <c:v>7.3187013575784707</c:v>
                </c:pt>
                <c:pt idx="226">
                  <c:v>7.3153600608184055</c:v>
                </c:pt>
                <c:pt idx="227">
                  <c:v>7.3120333603452004</c:v>
                </c:pt>
                <c:pt idx="228">
                  <c:v>7.3087212760901652</c:v>
                </c:pt>
                <c:pt idx="229">
                  <c:v>7.3054238279331143</c:v>
                </c:pt>
                <c:pt idx="230">
                  <c:v>7.302141035701835</c:v>
                </c:pt>
                <c:pt idx="231">
                  <c:v>7.298872919171588</c:v>
                </c:pt>
                <c:pt idx="232">
                  <c:v>7.2956194980645712</c:v>
                </c:pt>
                <c:pt idx="233">
                  <c:v>7.2923807920494301</c:v>
                </c:pt>
                <c:pt idx="234">
                  <c:v>7.2891568207407147</c:v>
                </c:pt>
                <c:pt idx="235">
                  <c:v>7.2859476036983848</c:v>
                </c:pt>
                <c:pt idx="236">
                  <c:v>7.2827531604272755</c:v>
                </c:pt>
                <c:pt idx="237">
                  <c:v>7.2795735103765971</c:v>
                </c:pt>
                <c:pt idx="238">
                  <c:v>7.2764086729394002</c:v>
                </c:pt>
                <c:pt idx="239">
                  <c:v>7.2732586674520743</c:v>
                </c:pt>
                <c:pt idx="240">
                  <c:v>7.270123513193818</c:v>
                </c:pt>
                <c:pt idx="241">
                  <c:v>7.2670032293861304</c:v>
                </c:pt>
                <c:pt idx="242">
                  <c:v>7.2638978351922852</c:v>
                </c:pt>
                <c:pt idx="243">
                  <c:v>7.2608073497168224</c:v>
                </c:pt>
                <c:pt idx="244">
                  <c:v>7.2577317920050186</c:v>
                </c:pt>
                <c:pt idx="245">
                  <c:v>7.2546711810423821</c:v>
                </c:pt>
                <c:pt idx="246">
                  <c:v>7.2516255357541217</c:v>
                </c:pt>
                <c:pt idx="247">
                  <c:v>7.2485948750046418</c:v>
                </c:pt>
                <c:pt idx="248">
                  <c:v>7.2455792175970153</c:v>
                </c:pt>
                <c:pt idx="249">
                  <c:v>7.2425785822724711</c:v>
                </c:pt>
                <c:pt idx="250">
                  <c:v>7.2395929877098713</c:v>
                </c:pt>
                <c:pt idx="251">
                  <c:v>7.2366224525252045</c:v>
                </c:pt>
                <c:pt idx="252">
                  <c:v>7.2336669952710535</c:v>
                </c:pt>
                <c:pt idx="253">
                  <c:v>7.2307266344360972</c:v>
                </c:pt>
                <c:pt idx="254">
                  <c:v>7.2278013884445693</c:v>
                </c:pt>
                <c:pt idx="255">
                  <c:v>7.2248912756557715</c:v>
                </c:pt>
                <c:pt idx="256">
                  <c:v>7.221996314363528</c:v>
                </c:pt>
                <c:pt idx="257">
                  <c:v>7.2191165227956962</c:v>
                </c:pt>
                <c:pt idx="258">
                  <c:v>7.2162519191136321</c:v>
                </c:pt>
                <c:pt idx="259">
                  <c:v>7.2134025214116848</c:v>
                </c:pt>
                <c:pt idx="260">
                  <c:v>7.210568347716678</c:v>
                </c:pt>
                <c:pt idx="261">
                  <c:v>7.2077494159874007</c:v>
                </c:pt>
                <c:pt idx="262">
                  <c:v>7.2049457441140889</c:v>
                </c:pt>
                <c:pt idx="263">
                  <c:v>7.2021573499179157</c:v>
                </c:pt>
                <c:pt idx="264">
                  <c:v>7.199384251150474</c:v>
                </c:pt>
                <c:pt idx="265">
                  <c:v>7.1966264654932752</c:v>
                </c:pt>
                <c:pt idx="266">
                  <c:v>7.1938840105572233</c:v>
                </c:pt>
                <c:pt idx="267">
                  <c:v>7.1911569038821188</c:v>
                </c:pt>
                <c:pt idx="268">
                  <c:v>7.1884451629361372</c:v>
                </c:pt>
                <c:pt idx="269">
                  <c:v>7.1857488051153275</c:v>
                </c:pt>
                <c:pt idx="270">
                  <c:v>7.1830678477430983</c:v>
                </c:pt>
                <c:pt idx="271">
                  <c:v>7.1804023080697164</c:v>
                </c:pt>
                <c:pt idx="272">
                  <c:v>7.1777522032717904</c:v>
                </c:pt>
                <c:pt idx="273">
                  <c:v>7.1751175504517768</c:v>
                </c:pt>
                <c:pt idx="274">
                  <c:v>7.1724983666374627</c:v>
                </c:pt>
                <c:pt idx="275">
                  <c:v>7.1698946687814704</c:v>
                </c:pt>
                <c:pt idx="276">
                  <c:v>7.1673064737607497</c:v>
                </c:pt>
                <c:pt idx="277">
                  <c:v>7.1647337983760755</c:v>
                </c:pt>
                <c:pt idx="278">
                  <c:v>7.1621766593515472</c:v>
                </c:pt>
                <c:pt idx="279">
                  <c:v>7.1596350733340897</c:v>
                </c:pt>
                <c:pt idx="280">
                  <c:v>7.1571090568929492</c:v>
                </c:pt>
                <c:pt idx="281">
                  <c:v>7.1545986265192028</c:v>
                </c:pt>
                <c:pt idx="282">
                  <c:v>7.1521037986252507</c:v>
                </c:pt>
                <c:pt idx="283">
                  <c:v>7.1496245895443309</c:v>
                </c:pt>
                <c:pt idx="284">
                  <c:v>7.147161015530016</c:v>
                </c:pt>
                <c:pt idx="285">
                  <c:v>7.1447130927557243</c:v>
                </c:pt>
                <c:pt idx="286">
                  <c:v>7.1422808373142264</c:v>
                </c:pt>
                <c:pt idx="287">
                  <c:v>7.1398642652171516</c:v>
                </c:pt>
                <c:pt idx="288">
                  <c:v>7.1374633923945003</c:v>
                </c:pt>
                <c:pt idx="289">
                  <c:v>7.1350782346941575</c:v>
                </c:pt>
                <c:pt idx="290">
                  <c:v>7.1327088078813983</c:v>
                </c:pt>
                <c:pt idx="291">
                  <c:v>7.1303551276384107</c:v>
                </c:pt>
                <c:pt idx="292">
                  <c:v>7.1280172095638061</c:v>
                </c:pt>
                <c:pt idx="293">
                  <c:v>7.1256950691721386</c:v>
                </c:pt>
                <c:pt idx="294">
                  <c:v>7.12338872189342</c:v>
                </c:pt>
                <c:pt idx="295">
                  <c:v>7.121098183072645</c:v>
                </c:pt>
                <c:pt idx="296">
                  <c:v>7.1188234679693103</c:v>
                </c:pt>
                <c:pt idx="297">
                  <c:v>7.1165645917569353</c:v>
                </c:pt>
                <c:pt idx="298">
                  <c:v>7.1143215695225983</c:v>
                </c:pt>
                <c:pt idx="299">
                  <c:v>7.1120944162664399</c:v>
                </c:pt>
                <c:pt idx="300">
                  <c:v>7.10988314690122</c:v>
                </c:pt>
                <c:pt idx="301">
                  <c:v>7.1076877762518285</c:v>
                </c:pt>
                <c:pt idx="302">
                  <c:v>7.1055083190548176</c:v>
                </c:pt>
                <c:pt idx="303">
                  <c:v>7.1033447899579425</c:v>
                </c:pt>
                <c:pt idx="304">
                  <c:v>7.1011972035197015</c:v>
                </c:pt>
                <c:pt idx="305">
                  <c:v>7.0990655742088586</c:v>
                </c:pt>
                <c:pt idx="306">
                  <c:v>7.0969499164039869</c:v>
                </c:pt>
                <c:pt idx="307">
                  <c:v>7.0948502443930224</c:v>
                </c:pt>
                <c:pt idx="308">
                  <c:v>7.0927665723727786</c:v>
                </c:pt>
                <c:pt idx="309">
                  <c:v>7.0906989144485379</c:v>
                </c:pt>
                <c:pt idx="310">
                  <c:v>7.0886472846335451</c:v>
                </c:pt>
                <c:pt idx="311">
                  <c:v>7.0866116968485926</c:v>
                </c:pt>
                <c:pt idx="312">
                  <c:v>7.0845921649215642</c:v>
                </c:pt>
                <c:pt idx="313">
                  <c:v>7.0825887025869712</c:v>
                </c:pt>
                <c:pt idx="314">
                  <c:v>7.0806013234855358</c:v>
                </c:pt>
                <c:pt idx="315">
                  <c:v>7.0786300411637244</c:v>
                </c:pt>
                <c:pt idx="316">
                  <c:v>7.0766748690733188</c:v>
                </c:pt>
                <c:pt idx="317">
                  <c:v>7.0747358205709805</c:v>
                </c:pt>
                <c:pt idx="318">
                  <c:v>7.072812908917804</c:v>
                </c:pt>
                <c:pt idx="319">
                  <c:v>7.0709061472788894</c:v>
                </c:pt>
                <c:pt idx="320">
                  <c:v>7.069015548722918</c:v>
                </c:pt>
                <c:pt idx="321">
                  <c:v>7.067141126221717</c:v>
                </c:pt>
                <c:pt idx="322">
                  <c:v>7.0652828926498161</c:v>
                </c:pt>
                <c:pt idx="323">
                  <c:v>7.0634408607840617</c:v>
                </c:pt>
                <c:pt idx="324">
                  <c:v>7.0616150433031617</c:v>
                </c:pt>
                <c:pt idx="325">
                  <c:v>7.0598054527872884</c:v>
                </c:pt>
                <c:pt idx="326">
                  <c:v>7.0580121017176358</c:v>
                </c:pt>
                <c:pt idx="327">
                  <c:v>7.0562350024760363</c:v>
                </c:pt>
                <c:pt idx="328">
                  <c:v>7.0544741673445275</c:v>
                </c:pt>
                <c:pt idx="329">
                  <c:v>7.0527296085049613</c:v>
                </c:pt>
                <c:pt idx="330">
                  <c:v>7.0510013380385663</c:v>
                </c:pt>
                <c:pt idx="331">
                  <c:v>7.0492893679255859</c:v>
                </c:pt>
                <c:pt idx="332">
                  <c:v>7.0475937100448434</c:v>
                </c:pt>
                <c:pt idx="333">
                  <c:v>7.0459143761733696</c:v>
                </c:pt>
                <c:pt idx="334">
                  <c:v>7.0442513779859759</c:v>
                </c:pt>
                <c:pt idx="335">
                  <c:v>7.0426047270549006</c:v>
                </c:pt>
                <c:pt idx="336">
                  <c:v>7.0409744348493897</c:v>
                </c:pt>
                <c:pt idx="337">
                  <c:v>7.0393605127353158</c:v>
                </c:pt>
                <c:pt idx="338">
                  <c:v>7.0377629719748045</c:v>
                </c:pt>
                <c:pt idx="339">
                  <c:v>7.0361818237258476</c:v>
                </c:pt>
                <c:pt idx="340">
                  <c:v>7.0346170790419205</c:v>
                </c:pt>
                <c:pt idx="341">
                  <c:v>7.0330687488716102</c:v>
                </c:pt>
                <c:pt idx="342">
                  <c:v>7.0315368440582429</c:v>
                </c:pt>
                <c:pt idx="343">
                  <c:v>7.0300213753395209</c:v>
                </c:pt>
                <c:pt idx="344">
                  <c:v>7.0285223533471468</c:v>
                </c:pt>
                <c:pt idx="345">
                  <c:v>7.0270397886064622</c:v>
                </c:pt>
                <c:pt idx="346">
                  <c:v>7.0255736915360929</c:v>
                </c:pt>
                <c:pt idx="347">
                  <c:v>7.0241240724475924</c:v>
                </c:pt>
                <c:pt idx="348">
                  <c:v>7.0226909415450827</c:v>
                </c:pt>
                <c:pt idx="349">
                  <c:v>7.0212743089249017</c:v>
                </c:pt>
                <c:pt idx="350">
                  <c:v>7.019874184575265</c:v>
                </c:pt>
                <c:pt idx="351">
                  <c:v>7.0184905783759204</c:v>
                </c:pt>
                <c:pt idx="352">
                  <c:v>7.0171235000978021</c:v>
                </c:pt>
                <c:pt idx="353">
                  <c:v>7.0157729594026899</c:v>
                </c:pt>
                <c:pt idx="354">
                  <c:v>7.014438965842885</c:v>
                </c:pt>
                <c:pt idx="355">
                  <c:v>7.0131215288608812</c:v>
                </c:pt>
                <c:pt idx="356">
                  <c:v>7.0118206577890261</c:v>
                </c:pt>
                <c:pt idx="357">
                  <c:v>7.0105363618491925</c:v>
                </c:pt>
                <c:pt idx="358">
                  <c:v>7.0092686501524826</c:v>
                </c:pt>
                <c:pt idx="359">
                  <c:v>7.0080175316988926</c:v>
                </c:pt>
                <c:pt idx="360">
                  <c:v>7.0067830153770023</c:v>
                </c:pt>
                <c:pt idx="361">
                  <c:v>6.9567345652671637</c:v>
                </c:pt>
                <c:pt idx="362">
                  <c:v>6.906686115157326</c:v>
                </c:pt>
                <c:pt idx="363">
                  <c:v>6.8566376650474874</c:v>
                </c:pt>
                <c:pt idx="364">
                  <c:v>6.8065892149376577</c:v>
                </c:pt>
                <c:pt idx="365">
                  <c:v>6.7565407648278217</c:v>
                </c:pt>
                <c:pt idx="366">
                  <c:v>6.706492314717984</c:v>
                </c:pt>
                <c:pt idx="367">
                  <c:v>6.6564438646081445</c:v>
                </c:pt>
                <c:pt idx="368">
                  <c:v>6.6063954144983112</c:v>
                </c:pt>
                <c:pt idx="369">
                  <c:v>6.5563469643884789</c:v>
                </c:pt>
                <c:pt idx="370">
                  <c:v>6.506298514278642</c:v>
                </c:pt>
                <c:pt idx="371">
                  <c:v>6.4562500641688025</c:v>
                </c:pt>
                <c:pt idx="372">
                  <c:v>6.4062016140589693</c:v>
                </c:pt>
                <c:pt idx="373">
                  <c:v>6.3561531639491307</c:v>
                </c:pt>
                <c:pt idx="374">
                  <c:v>6.3061047138393</c:v>
                </c:pt>
                <c:pt idx="375">
                  <c:v>6.2560562637294614</c:v>
                </c:pt>
                <c:pt idx="376">
                  <c:v>6.2060078136196273</c:v>
                </c:pt>
                <c:pt idx="377">
                  <c:v>6.1559593635097887</c:v>
                </c:pt>
                <c:pt idx="378">
                  <c:v>6.1059109133999518</c:v>
                </c:pt>
                <c:pt idx="379">
                  <c:v>6.0558624632901195</c:v>
                </c:pt>
                <c:pt idx="380">
                  <c:v>6.0058140131802862</c:v>
                </c:pt>
                <c:pt idx="381">
                  <c:v>5.9557655630704467</c:v>
                </c:pt>
                <c:pt idx="382">
                  <c:v>5.9057171129606099</c:v>
                </c:pt>
                <c:pt idx="383">
                  <c:v>5.8556686628507713</c:v>
                </c:pt>
                <c:pt idx="384">
                  <c:v>5.8056202127409406</c:v>
                </c:pt>
                <c:pt idx="385">
                  <c:v>5.7555717626311047</c:v>
                </c:pt>
                <c:pt idx="386">
                  <c:v>5.7055233125212679</c:v>
                </c:pt>
                <c:pt idx="387">
                  <c:v>5.6554748624114293</c:v>
                </c:pt>
                <c:pt idx="388">
                  <c:v>5.6054264123015987</c:v>
                </c:pt>
                <c:pt idx="389">
                  <c:v>5.5553779621917592</c:v>
                </c:pt>
                <c:pt idx="390">
                  <c:v>5.5053295120819268</c:v>
                </c:pt>
                <c:pt idx="391">
                  <c:v>5.4552810619720864</c:v>
                </c:pt>
                <c:pt idx="392">
                  <c:v>5.4052326118622531</c:v>
                </c:pt>
                <c:pt idx="393">
                  <c:v>5.3551841617524172</c:v>
                </c:pt>
                <c:pt idx="394">
                  <c:v>5.3051357116425804</c:v>
                </c:pt>
                <c:pt idx="395">
                  <c:v>5.2550872615327462</c:v>
                </c:pt>
                <c:pt idx="396">
                  <c:v>5.2050388114229111</c:v>
                </c:pt>
                <c:pt idx="397">
                  <c:v>5.1549903613130725</c:v>
                </c:pt>
                <c:pt idx="398">
                  <c:v>5.1049419112032384</c:v>
                </c:pt>
                <c:pt idx="399">
                  <c:v>5.0548934610934033</c:v>
                </c:pt>
                <c:pt idx="400">
                  <c:v>5.0048450109835692</c:v>
                </c:pt>
                <c:pt idx="401">
                  <c:v>4.9547965608737305</c:v>
                </c:pt>
                <c:pt idx="402">
                  <c:v>4.9047481107638964</c:v>
                </c:pt>
                <c:pt idx="403">
                  <c:v>4.8546996606540631</c:v>
                </c:pt>
                <c:pt idx="404">
                  <c:v>4.8046512105442245</c:v>
                </c:pt>
                <c:pt idx="405">
                  <c:v>4.7546027604343903</c:v>
                </c:pt>
                <c:pt idx="406">
                  <c:v>4.7045543103245517</c:v>
                </c:pt>
                <c:pt idx="407">
                  <c:v>4.6545058602147211</c:v>
                </c:pt>
                <c:pt idx="408">
                  <c:v>4.6044574101048825</c:v>
                </c:pt>
                <c:pt idx="409">
                  <c:v>4.5544089599950448</c:v>
                </c:pt>
                <c:pt idx="410">
                  <c:v>4.5043605098852098</c:v>
                </c:pt>
                <c:pt idx="411">
                  <c:v>4.4543120597753765</c:v>
                </c:pt>
                <c:pt idx="412">
                  <c:v>4.4042636096655405</c:v>
                </c:pt>
                <c:pt idx="413">
                  <c:v>4.3542151595557028</c:v>
                </c:pt>
                <c:pt idx="414">
                  <c:v>4.3041667094458651</c:v>
                </c:pt>
                <c:pt idx="415">
                  <c:v>4.2541182593360336</c:v>
                </c:pt>
                <c:pt idx="416">
                  <c:v>4.2040698092261986</c:v>
                </c:pt>
                <c:pt idx="417">
                  <c:v>4.1540213591163617</c:v>
                </c:pt>
                <c:pt idx="418">
                  <c:v>4.1039729090065231</c:v>
                </c:pt>
                <c:pt idx="419">
                  <c:v>4.0539244588966881</c:v>
                </c:pt>
                <c:pt idx="420">
                  <c:v>4.0038760087868539</c:v>
                </c:pt>
                <c:pt idx="421">
                  <c:v>3.9538275586770193</c:v>
                </c:pt>
                <c:pt idx="422">
                  <c:v>3.9037791085671807</c:v>
                </c:pt>
                <c:pt idx="423">
                  <c:v>3.853730658457347</c:v>
                </c:pt>
                <c:pt idx="424">
                  <c:v>3.8036822083475101</c:v>
                </c:pt>
                <c:pt idx="425">
                  <c:v>3.7536337582376742</c:v>
                </c:pt>
                <c:pt idx="426">
                  <c:v>3.7035853081278387</c:v>
                </c:pt>
                <c:pt idx="427">
                  <c:v>3.6535368580180037</c:v>
                </c:pt>
                <c:pt idx="428">
                  <c:v>3.6034884079081682</c:v>
                </c:pt>
                <c:pt idx="429">
                  <c:v>3.5534399577983291</c:v>
                </c:pt>
                <c:pt idx="430">
                  <c:v>3.5033915076884967</c:v>
                </c:pt>
                <c:pt idx="431">
                  <c:v>3.4533430575786617</c:v>
                </c:pt>
                <c:pt idx="432">
                  <c:v>3.4032946074688257</c:v>
                </c:pt>
                <c:pt idx="433">
                  <c:v>3.3532461573589871</c:v>
                </c:pt>
                <c:pt idx="434">
                  <c:v>3.3031977072491481</c:v>
                </c:pt>
                <c:pt idx="435">
                  <c:v>3.2531492571393228</c:v>
                </c:pt>
                <c:pt idx="436">
                  <c:v>3.2031008070294842</c:v>
                </c:pt>
                <c:pt idx="437">
                  <c:v>3.1530523569196451</c:v>
                </c:pt>
                <c:pt idx="438">
                  <c:v>3.1030039068098065</c:v>
                </c:pt>
                <c:pt idx="439">
                  <c:v>3.0529554566999706</c:v>
                </c:pt>
                <c:pt idx="440">
                  <c:v>3.0029070065901422</c:v>
                </c:pt>
                <c:pt idx="441">
                  <c:v>2.9528585564803036</c:v>
                </c:pt>
                <c:pt idx="442">
                  <c:v>2.9028101063704645</c:v>
                </c:pt>
                <c:pt idx="443">
                  <c:v>2.8527616562606286</c:v>
                </c:pt>
                <c:pt idx="444">
                  <c:v>2.802713206150794</c:v>
                </c:pt>
                <c:pt idx="445">
                  <c:v>2.7526647560409616</c:v>
                </c:pt>
                <c:pt idx="446">
                  <c:v>2.7026163059311226</c:v>
                </c:pt>
                <c:pt idx="447">
                  <c:v>2.6525678558212902</c:v>
                </c:pt>
                <c:pt idx="448">
                  <c:v>2.6025194057114516</c:v>
                </c:pt>
                <c:pt idx="449">
                  <c:v>2.5524709556016165</c:v>
                </c:pt>
                <c:pt idx="450">
                  <c:v>2.5024225054917806</c:v>
                </c:pt>
                <c:pt idx="451">
                  <c:v>2.4523740553819491</c:v>
                </c:pt>
                <c:pt idx="452">
                  <c:v>2.4023256052721096</c:v>
                </c:pt>
                <c:pt idx="453">
                  <c:v>2.352277155162271</c:v>
                </c:pt>
                <c:pt idx="454">
                  <c:v>2.3022287050524386</c:v>
                </c:pt>
                <c:pt idx="455">
                  <c:v>2.2521802549426071</c:v>
                </c:pt>
                <c:pt idx="456">
                  <c:v>2.202131804832768</c:v>
                </c:pt>
                <c:pt idx="457">
                  <c:v>2.152083354722929</c:v>
                </c:pt>
                <c:pt idx="458">
                  <c:v>2.1020349046130939</c:v>
                </c:pt>
                <c:pt idx="459">
                  <c:v>2.0519864545032616</c:v>
                </c:pt>
                <c:pt idx="460">
                  <c:v>2.0019380043934265</c:v>
                </c:pt>
                <c:pt idx="461">
                  <c:v>1.9518895542835868</c:v>
                </c:pt>
                <c:pt idx="462">
                  <c:v>1.9018411041737517</c:v>
                </c:pt>
                <c:pt idx="463">
                  <c:v>1.8517926540639194</c:v>
                </c:pt>
                <c:pt idx="464">
                  <c:v>1.8017442039540805</c:v>
                </c:pt>
                <c:pt idx="465">
                  <c:v>1.7516957538442457</c:v>
                </c:pt>
                <c:pt idx="466">
                  <c:v>1.7016473037344095</c:v>
                </c:pt>
                <c:pt idx="467">
                  <c:v>1.6515988536245745</c:v>
                </c:pt>
                <c:pt idx="468">
                  <c:v>1.6015504035147385</c:v>
                </c:pt>
                <c:pt idx="469">
                  <c:v>1.5515019534048999</c:v>
                </c:pt>
                <c:pt idx="470">
                  <c:v>1.5014535032950675</c:v>
                </c:pt>
                <c:pt idx="471">
                  <c:v>1.4514050531852323</c:v>
                </c:pt>
                <c:pt idx="472">
                  <c:v>1.4013566030753937</c:v>
                </c:pt>
                <c:pt idx="473">
                  <c:v>1.3513081529655577</c:v>
                </c:pt>
                <c:pt idx="474">
                  <c:v>1.3012597028557227</c:v>
                </c:pt>
                <c:pt idx="475">
                  <c:v>1.2512112527458903</c:v>
                </c:pt>
                <c:pt idx="476">
                  <c:v>1.2011628026360517</c:v>
                </c:pt>
                <c:pt idx="477">
                  <c:v>1.1511143525262131</c:v>
                </c:pt>
                <c:pt idx="478">
                  <c:v>1.1010659024163807</c:v>
                </c:pt>
                <c:pt idx="479">
                  <c:v>1.0510174523065454</c:v>
                </c:pt>
                <c:pt idx="480">
                  <c:v>1.0009690021967095</c:v>
                </c:pt>
                <c:pt idx="481">
                  <c:v>0.95092055208687098</c:v>
                </c:pt>
                <c:pt idx="482">
                  <c:v>0.90087210197704193</c:v>
                </c:pt>
                <c:pt idx="483">
                  <c:v>0.85082365186720332</c:v>
                </c:pt>
                <c:pt idx="484">
                  <c:v>0.80077520175736472</c:v>
                </c:pt>
                <c:pt idx="485">
                  <c:v>0.75072675164752878</c:v>
                </c:pt>
                <c:pt idx="486">
                  <c:v>0.70067830153769384</c:v>
                </c:pt>
                <c:pt idx="487">
                  <c:v>0.65062985142786134</c:v>
                </c:pt>
                <c:pt idx="488">
                  <c:v>0.60058140131802262</c:v>
                </c:pt>
                <c:pt idx="489">
                  <c:v>0.55053295120818413</c:v>
                </c:pt>
                <c:pt idx="490">
                  <c:v>0.50048450109835507</c:v>
                </c:pt>
                <c:pt idx="491">
                  <c:v>0.45043605098851652</c:v>
                </c:pt>
                <c:pt idx="492">
                  <c:v>0.40038760087868058</c:v>
                </c:pt>
                <c:pt idx="493">
                  <c:v>0.35033915076884187</c:v>
                </c:pt>
                <c:pt idx="494">
                  <c:v>0.30029070065901037</c:v>
                </c:pt>
                <c:pt idx="495">
                  <c:v>0.25024225054917448</c:v>
                </c:pt>
                <c:pt idx="496">
                  <c:v>0.20019380043933846</c:v>
                </c:pt>
                <c:pt idx="497">
                  <c:v>0.15014535032949991</c:v>
                </c:pt>
                <c:pt idx="498">
                  <c:v>0.1000969002196683</c:v>
                </c:pt>
                <c:pt idx="499">
                  <c:v>5.0048450109829688E-2</c:v>
                </c:pt>
                <c:pt idx="500">
                  <c:v>6.2803698347351005E-15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0-4D38-8856-6583C5FF7EEF}"/>
            </c:ext>
          </c:extLst>
        </c:ser>
        <c:ser>
          <c:idx val="1"/>
          <c:order val="1"/>
          <c:tx>
            <c:strRef>
              <c:f>'L1 Shaft Design-Moments'!$C$36</c:f>
              <c:strCache>
                <c:ptCount val="1"/>
                <c:pt idx="0">
                  <c:v>OA shoulder location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('L1 Shaft Design-Moments'!$D$36,'L1 Shaft Design-Moments'!$O$25)</c:f>
              <c:numCache>
                <c:formatCode>General</c:formatCode>
                <c:ptCount val="2"/>
                <c:pt idx="0">
                  <c:v>15</c:v>
                </c:pt>
              </c:numCache>
            </c:numRef>
          </c:xVal>
          <c:yVal>
            <c:numRef>
              <c:f>('L1 Shaft Design-Moments'!$D$37,'L1 Shaft Design-Moments'!$P$25)</c:f>
              <c:numCache>
                <c:formatCode>General</c:formatCode>
                <c:ptCount val="2"/>
                <c:pt idx="0" formatCode="0.000">
                  <c:v>7.6093780013392855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0-4D38-8856-6583C5FF7EEF}"/>
            </c:ext>
          </c:extLst>
        </c:ser>
        <c:ser>
          <c:idx val="2"/>
          <c:order val="2"/>
          <c:tx>
            <c:strRef>
              <c:f>'L1 Shaft Design-Moments'!$C$39</c:f>
              <c:strCache>
                <c:ptCount val="1"/>
                <c:pt idx="0">
                  <c:v>CB shoulder location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('L1 Shaft Design-Moments'!$D$39,'L1 Shaft Design-Moments'!$O$26)</c:f>
              <c:numCache>
                <c:formatCode>General</c:formatCode>
                <c:ptCount val="2"/>
                <c:pt idx="0">
                  <c:v>35</c:v>
                </c:pt>
              </c:numCache>
            </c:numRef>
          </c:xVal>
          <c:yVal>
            <c:numRef>
              <c:f>('L1 Shaft Design-Moments'!$D$40,'L1 Shaft Design-Moments'!$P$26)</c:f>
              <c:numCache>
                <c:formatCode>General</c:formatCode>
                <c:ptCount val="2"/>
                <c:pt idx="0" formatCode="0.000">
                  <c:v>7.019874184575265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C0-4D38-8856-6583C5FF7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49231"/>
        <c:axId val="943931647"/>
      </c:scatterChart>
      <c:valAx>
        <c:axId val="53384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Position, </a:t>
                </a:r>
                <a:r>
                  <a:rPr lang="en-US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en-US" i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3931647"/>
        <c:crosses val="autoZero"/>
        <c:crossBetween val="midCat"/>
      </c:valAx>
      <c:valAx>
        <c:axId val="943931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Net Moment,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i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  <a:r>
                  <a:rPr lang="en-US" i="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 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849231"/>
        <c:crossesAt val="-50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37</xdr:row>
      <xdr:rowOff>114300</xdr:rowOff>
    </xdr:from>
    <xdr:to>
      <xdr:col>4</xdr:col>
      <xdr:colOff>1324673</xdr:colOff>
      <xdr:row>49</xdr:row>
      <xdr:rowOff>181303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728F8E5-64AC-4E41-B797-2D7C51F0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899" y="7162800"/>
          <a:ext cx="5010849" cy="2353003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200024</xdr:colOff>
      <xdr:row>50</xdr:row>
      <xdr:rowOff>57150</xdr:rowOff>
    </xdr:from>
    <xdr:to>
      <xdr:col>6</xdr:col>
      <xdr:colOff>553337</xdr:colOff>
      <xdr:row>68</xdr:row>
      <xdr:rowOff>29050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69AFA54-02B7-4419-B987-F1B05773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4" y="9582150"/>
          <a:ext cx="6363588" cy="340090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257174</xdr:colOff>
      <xdr:row>26</xdr:row>
      <xdr:rowOff>0</xdr:rowOff>
    </xdr:from>
    <xdr:to>
      <xdr:col>18</xdr:col>
      <xdr:colOff>410793</xdr:colOff>
      <xdr:row>60</xdr:row>
      <xdr:rowOff>143799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4AC337-C723-4B9D-8770-DEC177653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6649" y="4953000"/>
          <a:ext cx="8735644" cy="662079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4</xdr:col>
      <xdr:colOff>981716</xdr:colOff>
      <xdr:row>37</xdr:row>
      <xdr:rowOff>28925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3A97F41-53B6-485A-B25A-FC9DD303793D}"/>
            </a:ext>
          </a:extLst>
        </xdr:cNvPr>
        <xdr:cNvGrpSpPr/>
      </xdr:nvGrpSpPr>
      <xdr:grpSpPr>
        <a:xfrm>
          <a:off x="609600" y="4572000"/>
          <a:ext cx="4782191" cy="2505425"/>
          <a:chOff x="428626" y="4572000"/>
          <a:chExt cx="4782191" cy="2505425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10561489-5365-4DD0-6AEA-0AC1AD6EA6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09600" y="4572000"/>
            <a:ext cx="4601217" cy="2505425"/>
          </a:xfrm>
          <a:prstGeom prst="rect">
            <a:avLst/>
          </a:prstGeom>
        </xdr:spPr>
      </xdr:pic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A742EF78-99E3-320D-2347-B017969DB359}"/>
              </a:ext>
            </a:extLst>
          </xdr:cNvPr>
          <xdr:cNvSpPr txBox="1"/>
        </xdr:nvSpPr>
        <xdr:spPr>
          <a:xfrm>
            <a:off x="428626" y="6172200"/>
            <a:ext cx="1552574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/>
              <a:t>TIMKEN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3199B64B-ADBD-31E3-4504-82492FA063D5}"/>
              </a:ext>
            </a:extLst>
          </xdr:cNvPr>
          <xdr:cNvSpPr txBox="1"/>
        </xdr:nvSpPr>
        <xdr:spPr>
          <a:xfrm>
            <a:off x="438150" y="6457950"/>
            <a:ext cx="15525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/>
              <a:t>SKF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37</xdr:row>
      <xdr:rowOff>114300</xdr:rowOff>
    </xdr:from>
    <xdr:to>
      <xdr:col>4</xdr:col>
      <xdr:colOff>1324673</xdr:colOff>
      <xdr:row>49</xdr:row>
      <xdr:rowOff>181303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26D9FC2-1EE6-484F-845B-CAE5E77C6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899" y="7162800"/>
          <a:ext cx="5010849" cy="2353003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200024</xdr:colOff>
      <xdr:row>50</xdr:row>
      <xdr:rowOff>57150</xdr:rowOff>
    </xdr:from>
    <xdr:to>
      <xdr:col>6</xdr:col>
      <xdr:colOff>553337</xdr:colOff>
      <xdr:row>68</xdr:row>
      <xdr:rowOff>29050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6C2BE9A-B40F-4A0C-A4FC-F44399B1C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4" y="9582150"/>
          <a:ext cx="6363588" cy="340090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257174</xdr:colOff>
      <xdr:row>26</xdr:row>
      <xdr:rowOff>0</xdr:rowOff>
    </xdr:from>
    <xdr:to>
      <xdr:col>18</xdr:col>
      <xdr:colOff>410793</xdr:colOff>
      <xdr:row>60</xdr:row>
      <xdr:rowOff>143799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66C554-15FD-45EB-927E-84651D6B5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6649" y="4953000"/>
          <a:ext cx="8735644" cy="662079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4</xdr:col>
      <xdr:colOff>981716</xdr:colOff>
      <xdr:row>37</xdr:row>
      <xdr:rowOff>28925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597EB00-DD8F-4373-B9C5-32A1E7AFD3EE}"/>
            </a:ext>
          </a:extLst>
        </xdr:cNvPr>
        <xdr:cNvGrpSpPr/>
      </xdr:nvGrpSpPr>
      <xdr:grpSpPr>
        <a:xfrm>
          <a:off x="609600" y="4572000"/>
          <a:ext cx="4782191" cy="2505425"/>
          <a:chOff x="428626" y="4572000"/>
          <a:chExt cx="4782191" cy="2505425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C6B85163-A766-0EEC-C495-8F69BACCEF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09600" y="4572000"/>
            <a:ext cx="4601217" cy="2505425"/>
          </a:xfrm>
          <a:prstGeom prst="rect">
            <a:avLst/>
          </a:prstGeom>
        </xdr:spPr>
      </xdr:pic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B530671-3663-1F1C-4C32-EBF70F0C850B}"/>
              </a:ext>
            </a:extLst>
          </xdr:cNvPr>
          <xdr:cNvSpPr txBox="1"/>
        </xdr:nvSpPr>
        <xdr:spPr>
          <a:xfrm>
            <a:off x="428626" y="6172200"/>
            <a:ext cx="1552574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/>
              <a:t>TIMKEN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53D48B7-30B2-FB9D-56A5-5CDFB3B82770}"/>
              </a:ext>
            </a:extLst>
          </xdr:cNvPr>
          <xdr:cNvSpPr txBox="1"/>
        </xdr:nvSpPr>
        <xdr:spPr>
          <a:xfrm>
            <a:off x="438150" y="6457950"/>
            <a:ext cx="15525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/>
              <a:t>SKF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66261</xdr:colOff>
      <xdr:row>42</xdr:row>
      <xdr:rowOff>0</xdr:rowOff>
    </xdr:from>
    <xdr:to>
      <xdr:col>6</xdr:col>
      <xdr:colOff>465426</xdr:colOff>
      <xdr:row>59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C2215-B6F3-497F-B5A2-B303CA0F2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23</xdr:col>
      <xdr:colOff>534570</xdr:colOff>
      <xdr:row>39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8820FF-FF3C-4AEA-ABFB-6C58DB7CE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0300" y="381000"/>
          <a:ext cx="6992520" cy="713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D8F1-5BDC-42E7-AECD-C56B8308B287}">
  <sheetPr>
    <tabColor rgb="FFC00000"/>
  </sheetPr>
  <dimension ref="B2:N56"/>
  <sheetViews>
    <sheetView tabSelected="1" zoomScaleNormal="100" workbookViewId="0">
      <selection activeCell="I19" sqref="I19"/>
    </sheetView>
  </sheetViews>
  <sheetFormatPr defaultRowHeight="15" customHeight="1" x14ac:dyDescent="0.25"/>
  <cols>
    <col min="2" max="2" width="33.85546875" style="11" bestFit="1" customWidth="1"/>
    <col min="3" max="3" width="13" style="11" customWidth="1"/>
    <col min="4" max="4" width="10.140625" style="11" customWidth="1"/>
    <col min="5" max="5" width="23" style="11" bestFit="1" customWidth="1"/>
    <col min="6" max="6" width="10.140625" style="11" customWidth="1"/>
    <col min="7" max="7" width="9.140625" style="11"/>
    <col min="8" max="8" width="30.42578125" style="11" bestFit="1" customWidth="1"/>
    <col min="9" max="9" width="15" style="11" bestFit="1" customWidth="1"/>
    <col min="10" max="10" width="10.140625" style="11" customWidth="1"/>
  </cols>
  <sheetData>
    <row r="2" spans="2:10" ht="15" customHeight="1" x14ac:dyDescent="0.25">
      <c r="B2" s="9" t="s">
        <v>32</v>
      </c>
      <c r="C2" s="10" t="s">
        <v>35</v>
      </c>
      <c r="D2" s="21" t="s">
        <v>31</v>
      </c>
      <c r="E2" s="17"/>
      <c r="F2" s="17"/>
      <c r="H2" s="12" t="s">
        <v>33</v>
      </c>
      <c r="I2" s="13"/>
      <c r="J2" s="13"/>
    </row>
    <row r="4" spans="2:10" ht="15" customHeight="1" x14ac:dyDescent="0.25">
      <c r="B4" s="14" t="s">
        <v>56</v>
      </c>
      <c r="C4" s="15"/>
      <c r="D4" s="15"/>
      <c r="H4" s="16" t="s">
        <v>68</v>
      </c>
      <c r="I4" s="16"/>
      <c r="J4" s="36">
        <v>0.9</v>
      </c>
    </row>
    <row r="5" spans="2:10" ht="15" customHeight="1" x14ac:dyDescent="0.25">
      <c r="B5" s="17" t="s">
        <v>48</v>
      </c>
      <c r="C5" s="22">
        <v>413</v>
      </c>
      <c r="D5" s="17" t="str">
        <f>IF($D$2="English","lbf", "N")</f>
        <v>lbf</v>
      </c>
      <c r="H5" s="13" t="s">
        <v>70</v>
      </c>
      <c r="I5" s="23">
        <f>C5*C6</f>
        <v>495.59999999999997</v>
      </c>
      <c r="J5" s="13" t="str">
        <f>IF($D$2="English","lbf", "N")</f>
        <v>lbf</v>
      </c>
    </row>
    <row r="6" spans="2:10" ht="15" customHeight="1" x14ac:dyDescent="0.25">
      <c r="B6" s="17" t="s">
        <v>67</v>
      </c>
      <c r="C6" s="33">
        <v>1.2</v>
      </c>
      <c r="D6" s="31" t="s">
        <v>30</v>
      </c>
      <c r="H6" s="13" t="s">
        <v>55</v>
      </c>
      <c r="I6" s="23">
        <f>I5*((C9/C11)^(1/C12))</f>
        <v>4035.7961123533078</v>
      </c>
      <c r="J6" s="13" t="str">
        <f>IF($D$2="English","lbf", "N")</f>
        <v>lbf</v>
      </c>
    </row>
    <row r="7" spans="2:10" ht="15" customHeight="1" x14ac:dyDescent="0.25">
      <c r="B7" s="17" t="s">
        <v>49</v>
      </c>
      <c r="C7" s="22">
        <f>30*10^3</f>
        <v>30000</v>
      </c>
      <c r="D7" s="17" t="s">
        <v>50</v>
      </c>
      <c r="H7" s="13" t="s">
        <v>73</v>
      </c>
      <c r="I7" s="23">
        <f>IF($D$2="English",I6*4.448, I6)</f>
        <v>17951.221107747515</v>
      </c>
      <c r="J7" s="13" t="s">
        <v>74</v>
      </c>
    </row>
    <row r="8" spans="2:10" ht="15" customHeight="1" x14ac:dyDescent="0.25">
      <c r="B8" s="17" t="s">
        <v>54</v>
      </c>
      <c r="C8" s="22">
        <v>300</v>
      </c>
      <c r="D8" s="17" t="s">
        <v>34</v>
      </c>
      <c r="H8" s="13"/>
      <c r="I8" s="39">
        <f>I7*10^-3</f>
        <v>17.951221107747514</v>
      </c>
      <c r="J8" s="13" t="s">
        <v>47</v>
      </c>
    </row>
    <row r="9" spans="2:10" ht="15" customHeight="1" x14ac:dyDescent="0.25">
      <c r="B9" s="13" t="s">
        <v>51</v>
      </c>
      <c r="C9" s="19">
        <f>IF(F10,C10,C7*C8*60)</f>
        <v>540000000</v>
      </c>
      <c r="D9" s="13" t="s">
        <v>52</v>
      </c>
      <c r="H9" s="13" t="s">
        <v>75</v>
      </c>
      <c r="I9" s="23">
        <f>IF($D$2="English",I6, I6/4.448)</f>
        <v>4035.7961123533078</v>
      </c>
      <c r="J9" s="13" t="s">
        <v>76</v>
      </c>
    </row>
    <row r="10" spans="2:10" ht="15" customHeight="1" x14ac:dyDescent="0.25">
      <c r="B10" s="17"/>
      <c r="C10" s="17"/>
      <c r="D10" s="17" t="s">
        <v>52</v>
      </c>
      <c r="E10" s="17" t="s">
        <v>53</v>
      </c>
      <c r="F10" s="20" t="b">
        <v>0</v>
      </c>
      <c r="H10" s="13"/>
      <c r="I10" s="39">
        <f>I9*10^-3</f>
        <v>4.0357961123533075</v>
      </c>
      <c r="J10" s="13" t="s">
        <v>77</v>
      </c>
    </row>
    <row r="11" spans="2:10" ht="15" customHeight="1" x14ac:dyDescent="0.25">
      <c r="B11" s="17" t="s">
        <v>71</v>
      </c>
      <c r="C11" s="18">
        <f>10^6</f>
        <v>1000000</v>
      </c>
      <c r="D11" s="17" t="s">
        <v>52</v>
      </c>
    </row>
    <row r="12" spans="2:10" ht="15" customHeight="1" x14ac:dyDescent="0.25">
      <c r="B12" s="13" t="s">
        <v>57</v>
      </c>
      <c r="C12" s="30">
        <f>IF(E12="Roller Bearings", 10/3, IF(E12="Ball Bearings", 3, F12))</f>
        <v>3</v>
      </c>
      <c r="D12" s="32" t="s">
        <v>30</v>
      </c>
      <c r="E12" s="17" t="s">
        <v>69</v>
      </c>
      <c r="F12" s="20" t="s">
        <v>72</v>
      </c>
    </row>
    <row r="14" spans="2:10" ht="15" customHeight="1" x14ac:dyDescent="0.25">
      <c r="B14" s="14" t="s">
        <v>58</v>
      </c>
      <c r="C14" s="15"/>
      <c r="D14" s="15"/>
      <c r="H14" s="16" t="s">
        <v>68</v>
      </c>
      <c r="I14" s="16"/>
      <c r="J14" s="36">
        <f>C15</f>
        <v>0.99</v>
      </c>
    </row>
    <row r="15" spans="2:10" ht="15" customHeight="1" x14ac:dyDescent="0.25">
      <c r="B15" s="17" t="s">
        <v>63</v>
      </c>
      <c r="C15" s="38">
        <v>0.99</v>
      </c>
      <c r="D15" s="31" t="s">
        <v>30</v>
      </c>
      <c r="H15" s="13" t="s">
        <v>64</v>
      </c>
      <c r="I15" s="30">
        <f>C16+(C18-C16)*(LN(C15^-1))^(1/C20)</f>
        <v>0.21958957759379855</v>
      </c>
      <c r="J15" s="32" t="s">
        <v>30</v>
      </c>
    </row>
    <row r="16" spans="2:10" ht="15" customHeight="1" x14ac:dyDescent="0.25">
      <c r="B16" s="17" t="s">
        <v>60</v>
      </c>
      <c r="C16" s="34">
        <v>0.02</v>
      </c>
      <c r="D16" s="31" t="s">
        <v>30</v>
      </c>
      <c r="H16" s="13" t="s">
        <v>55</v>
      </c>
      <c r="I16" s="23">
        <f>I5*(C21/I15)^(1/C12)</f>
        <v>6689.4740992459065</v>
      </c>
      <c r="J16" s="13" t="str">
        <f>IF($D$2="English","lbf", "N")</f>
        <v>lbf</v>
      </c>
    </row>
    <row r="17" spans="2:14" ht="15" customHeight="1" x14ac:dyDescent="0.25">
      <c r="B17" s="17" t="s">
        <v>65</v>
      </c>
      <c r="C17" s="35">
        <v>4.4390000000000001</v>
      </c>
      <c r="D17" s="31" t="s">
        <v>30</v>
      </c>
      <c r="H17" s="13" t="s">
        <v>73</v>
      </c>
      <c r="I17" s="23">
        <f>IF($D$2="English",I16*4.448, I16)</f>
        <v>29754.780793445796</v>
      </c>
      <c r="J17" s="13" t="s">
        <v>74</v>
      </c>
    </row>
    <row r="18" spans="2:14" ht="15" customHeight="1" x14ac:dyDescent="0.25">
      <c r="B18" s="13" t="s">
        <v>59</v>
      </c>
      <c r="C18" s="30">
        <f>IF(F19,C19,C17+C16)</f>
        <v>4.4589999999999996</v>
      </c>
      <c r="D18" s="32" t="s">
        <v>30</v>
      </c>
      <c r="H18" s="13"/>
      <c r="I18" s="39">
        <f>I17*10^-3</f>
        <v>29.754780793445796</v>
      </c>
      <c r="J18" s="13" t="s">
        <v>47</v>
      </c>
    </row>
    <row r="19" spans="2:14" ht="15" customHeight="1" x14ac:dyDescent="0.25">
      <c r="B19" s="17"/>
      <c r="C19" s="17"/>
      <c r="D19" s="17" t="s">
        <v>52</v>
      </c>
      <c r="E19" s="17" t="s">
        <v>66</v>
      </c>
      <c r="F19" s="20" t="b">
        <v>0</v>
      </c>
      <c r="H19" s="13" t="s">
        <v>75</v>
      </c>
      <c r="I19" s="23">
        <f>IF($D$2="English",I16, I16/4.448)</f>
        <v>6689.4740992459065</v>
      </c>
      <c r="J19" s="13" t="s">
        <v>76</v>
      </c>
    </row>
    <row r="20" spans="2:14" ht="15" customHeight="1" x14ac:dyDescent="0.25">
      <c r="B20" s="17" t="s">
        <v>36</v>
      </c>
      <c r="C20" s="35">
        <v>1.4830000000000001</v>
      </c>
      <c r="D20" s="31" t="s">
        <v>30</v>
      </c>
      <c r="H20" s="13"/>
      <c r="I20" s="39">
        <f>I19*10^-3</f>
        <v>6.6894740992459063</v>
      </c>
      <c r="J20" s="13" t="s">
        <v>77</v>
      </c>
    </row>
    <row r="21" spans="2:14" ht="15" customHeight="1" x14ac:dyDescent="0.25">
      <c r="B21" s="13" t="s">
        <v>62</v>
      </c>
      <c r="C21" s="25">
        <f>IF(F22,C22,C9/C11)</f>
        <v>540</v>
      </c>
      <c r="D21" s="13" t="s">
        <v>52</v>
      </c>
    </row>
    <row r="22" spans="2:14" ht="15" customHeight="1" x14ac:dyDescent="0.25">
      <c r="B22" s="17"/>
      <c r="C22" s="17"/>
      <c r="D22" s="17" t="s">
        <v>52</v>
      </c>
      <c r="E22" s="17" t="s">
        <v>61</v>
      </c>
      <c r="F22" s="20" t="b">
        <v>0</v>
      </c>
    </row>
    <row r="25" spans="2:14" ht="15" customHeight="1" x14ac:dyDescent="0.25">
      <c r="N25" s="11"/>
    </row>
    <row r="26" spans="2:14" ht="15" customHeight="1" x14ac:dyDescent="0.25">
      <c r="N26" s="11"/>
    </row>
    <row r="27" spans="2:14" ht="15" customHeight="1" x14ac:dyDescent="0.25">
      <c r="N27" s="11"/>
    </row>
    <row r="28" spans="2:14" ht="15" customHeight="1" x14ac:dyDescent="0.25">
      <c r="N28" s="11"/>
    </row>
    <row r="29" spans="2:14" ht="15" customHeight="1" x14ac:dyDescent="0.25">
      <c r="N29" s="11"/>
    </row>
    <row r="30" spans="2:14" ht="15" customHeight="1" x14ac:dyDescent="0.25">
      <c r="N30" s="11"/>
    </row>
    <row r="31" spans="2:14" ht="15" customHeight="1" x14ac:dyDescent="0.25">
      <c r="N31" s="11"/>
    </row>
    <row r="32" spans="2:14" ht="15" customHeight="1" x14ac:dyDescent="0.25">
      <c r="N32" s="11"/>
    </row>
    <row r="33" spans="14:14" ht="15" customHeight="1" x14ac:dyDescent="0.25">
      <c r="N33" s="11"/>
    </row>
    <row r="34" spans="14:14" ht="15" customHeight="1" x14ac:dyDescent="0.25">
      <c r="N34" s="11"/>
    </row>
    <row r="35" spans="14:14" ht="15" customHeight="1" x14ac:dyDescent="0.25">
      <c r="N35" s="11"/>
    </row>
    <row r="36" spans="14:14" ht="15" customHeight="1" x14ac:dyDescent="0.25">
      <c r="N36" s="11"/>
    </row>
    <row r="37" spans="14:14" ht="15" customHeight="1" x14ac:dyDescent="0.25">
      <c r="N37" s="11"/>
    </row>
    <row r="38" spans="14:14" ht="15" customHeight="1" x14ac:dyDescent="0.25">
      <c r="N38" s="11"/>
    </row>
    <row r="39" spans="14:14" ht="15" customHeight="1" x14ac:dyDescent="0.25">
      <c r="N39" s="11"/>
    </row>
    <row r="40" spans="14:14" ht="15" customHeight="1" x14ac:dyDescent="0.25">
      <c r="N40" s="11"/>
    </row>
    <row r="41" spans="14:14" ht="15" customHeight="1" x14ac:dyDescent="0.25">
      <c r="N41" s="11"/>
    </row>
    <row r="42" spans="14:14" ht="15" customHeight="1" x14ac:dyDescent="0.25">
      <c r="N42" s="11"/>
    </row>
    <row r="43" spans="14:14" ht="15" customHeight="1" x14ac:dyDescent="0.25">
      <c r="N43" s="11"/>
    </row>
    <row r="44" spans="14:14" ht="15" customHeight="1" x14ac:dyDescent="0.25">
      <c r="N44" s="11"/>
    </row>
    <row r="45" spans="14:14" ht="15" customHeight="1" x14ac:dyDescent="0.25">
      <c r="N45" s="11"/>
    </row>
    <row r="46" spans="14:14" ht="15" customHeight="1" x14ac:dyDescent="0.25">
      <c r="N46" s="11"/>
    </row>
    <row r="47" spans="14:14" ht="15" customHeight="1" x14ac:dyDescent="0.25">
      <c r="N47" s="11"/>
    </row>
    <row r="48" spans="14:14" ht="15" customHeight="1" x14ac:dyDescent="0.25">
      <c r="N48" s="11"/>
    </row>
    <row r="49" spans="14:14" ht="15" customHeight="1" x14ac:dyDescent="0.25">
      <c r="N49" s="11"/>
    </row>
    <row r="50" spans="14:14" ht="15" customHeight="1" x14ac:dyDescent="0.25">
      <c r="N50" s="11"/>
    </row>
    <row r="51" spans="14:14" ht="15" customHeight="1" x14ac:dyDescent="0.25">
      <c r="N51" s="11"/>
    </row>
    <row r="52" spans="14:14" ht="15" customHeight="1" x14ac:dyDescent="0.25">
      <c r="N52" s="11"/>
    </row>
    <row r="53" spans="14:14" ht="15" customHeight="1" x14ac:dyDescent="0.25">
      <c r="N53" s="11"/>
    </row>
    <row r="54" spans="14:14" ht="15" customHeight="1" x14ac:dyDescent="0.25">
      <c r="N54" s="11"/>
    </row>
    <row r="55" spans="14:14" ht="15" customHeight="1" x14ac:dyDescent="0.25">
      <c r="N55" s="11"/>
    </row>
    <row r="56" spans="14:14" ht="15" customHeight="1" x14ac:dyDescent="0.25">
      <c r="N56" s="11"/>
    </row>
  </sheetData>
  <phoneticPr fontId="6" type="noConversion"/>
  <conditionalFormatting sqref="B7:B8 D7:D8">
    <cfRule type="expression" dxfId="12" priority="3">
      <formula>$F$10</formula>
    </cfRule>
  </conditionalFormatting>
  <conditionalFormatting sqref="B10 D10 F10">
    <cfRule type="expression" dxfId="11" priority="9">
      <formula>NOT($F$10)</formula>
    </cfRule>
  </conditionalFormatting>
  <conditionalFormatting sqref="B17 D17">
    <cfRule type="expression" dxfId="10" priority="1">
      <formula>$F$19</formula>
    </cfRule>
  </conditionalFormatting>
  <conditionalFormatting sqref="B19 D19 F19">
    <cfRule type="expression" dxfId="9" priority="7">
      <formula>NOT($F$19)</formula>
    </cfRule>
  </conditionalFormatting>
  <conditionalFormatting sqref="B22 D22 F22">
    <cfRule type="expression" dxfId="8" priority="8">
      <formula>NOT($F$22)</formula>
    </cfRule>
  </conditionalFormatting>
  <conditionalFormatting sqref="F12">
    <cfRule type="expression" dxfId="7" priority="6">
      <formula>NOT($E$12="Override to:")</formula>
    </cfRule>
  </conditionalFormatting>
  <dataValidations count="2">
    <dataValidation type="list" allowBlank="1" showInputMessage="1" showErrorMessage="1" sqref="D2" xr:uid="{94C968D4-D199-4277-A2A3-291E60838BC4}">
      <formula1>"English, Metric"</formula1>
    </dataValidation>
    <dataValidation type="list" allowBlank="1" showInputMessage="1" showErrorMessage="1" sqref="E12" xr:uid="{A9CEF998-60D3-4EEF-98DA-4DF321358F5A}">
      <formula1>"Ball Bearings, Roller Bearings, Override to:"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7052-3350-4528-867E-D6487D231A4C}">
  <sheetPr>
    <tabColor rgb="FF00B050"/>
  </sheetPr>
  <dimension ref="B2:N56"/>
  <sheetViews>
    <sheetView zoomScaleNormal="100" workbookViewId="0">
      <selection activeCell="C15" sqref="C15"/>
    </sheetView>
  </sheetViews>
  <sheetFormatPr defaultRowHeight="15" customHeight="1" x14ac:dyDescent="0.25"/>
  <cols>
    <col min="2" max="2" width="33.85546875" style="11" bestFit="1" customWidth="1"/>
    <col min="3" max="3" width="13" style="11" customWidth="1"/>
    <col min="4" max="4" width="10.140625" style="11" customWidth="1"/>
    <col min="5" max="5" width="23" style="11" bestFit="1" customWidth="1"/>
    <col min="6" max="6" width="10.140625" style="11" customWidth="1"/>
    <col min="7" max="7" width="9.140625" style="11"/>
    <col min="8" max="8" width="30.42578125" style="11" bestFit="1" customWidth="1"/>
    <col min="9" max="9" width="15" style="11" bestFit="1" customWidth="1"/>
    <col min="10" max="10" width="10.140625" style="11" customWidth="1"/>
  </cols>
  <sheetData>
    <row r="2" spans="2:10" ht="15" customHeight="1" x14ac:dyDescent="0.25">
      <c r="B2" s="9" t="s">
        <v>32</v>
      </c>
      <c r="C2" s="10" t="s">
        <v>35</v>
      </c>
      <c r="D2" s="21" t="s">
        <v>31</v>
      </c>
      <c r="E2" s="17"/>
      <c r="F2" s="17"/>
      <c r="H2" s="12" t="s">
        <v>33</v>
      </c>
      <c r="I2" s="13"/>
      <c r="J2" s="13"/>
    </row>
    <row r="4" spans="2:10" ht="15" customHeight="1" x14ac:dyDescent="0.25">
      <c r="B4" s="14" t="s">
        <v>56</v>
      </c>
      <c r="C4" s="15"/>
      <c r="D4" s="15"/>
      <c r="H4" s="16" t="s">
        <v>68</v>
      </c>
      <c r="I4" s="16"/>
      <c r="J4" s="36">
        <v>0.9</v>
      </c>
    </row>
    <row r="5" spans="2:10" ht="15" customHeight="1" x14ac:dyDescent="0.25">
      <c r="B5" s="17" t="s">
        <v>79</v>
      </c>
      <c r="C5" s="22">
        <f>'L1 Shaft Design-Moments'!G29</f>
        <v>546.70351731049936</v>
      </c>
      <c r="D5" s="17" t="str">
        <f>IF($D$2="English","lbf", "N")</f>
        <v>lbf</v>
      </c>
      <c r="H5" s="13" t="s">
        <v>78</v>
      </c>
      <c r="I5" s="23">
        <f>C5*C6</f>
        <v>1640.1105519314981</v>
      </c>
      <c r="J5" s="13" t="str">
        <f>IF($D$2="English","lbf", "N")</f>
        <v>lbf</v>
      </c>
    </row>
    <row r="6" spans="2:10" ht="15" customHeight="1" x14ac:dyDescent="0.25">
      <c r="B6" s="17" t="s">
        <v>67</v>
      </c>
      <c r="C6" s="33">
        <v>3</v>
      </c>
      <c r="D6" s="31" t="s">
        <v>30</v>
      </c>
      <c r="H6" s="13" t="s">
        <v>55</v>
      </c>
      <c r="I6" s="40">
        <f>I5*((C9/C11)^(1/C12))</f>
        <v>9049.8813073231868</v>
      </c>
      <c r="J6" s="13" t="str">
        <f>IF($D$2="English","lbf", "N")</f>
        <v>lbf</v>
      </c>
    </row>
    <row r="7" spans="2:10" ht="15" customHeight="1" x14ac:dyDescent="0.25">
      <c r="B7" s="17" t="s">
        <v>49</v>
      </c>
      <c r="C7" s="22">
        <v>4000</v>
      </c>
      <c r="D7" s="17" t="s">
        <v>50</v>
      </c>
      <c r="H7" s="13" t="s">
        <v>73</v>
      </c>
      <c r="I7" s="23">
        <f>IF($D$2="English",I6*4.448, I6)</f>
        <v>40253.872054973537</v>
      </c>
      <c r="J7" s="13" t="s">
        <v>74</v>
      </c>
    </row>
    <row r="8" spans="2:10" ht="15" customHeight="1" x14ac:dyDescent="0.25">
      <c r="B8" s="17" t="s">
        <v>54</v>
      </c>
      <c r="C8" s="22">
        <v>700</v>
      </c>
      <c r="D8" s="17" t="s">
        <v>34</v>
      </c>
      <c r="H8" s="13"/>
      <c r="I8" s="39">
        <f>I7*10^-3</f>
        <v>40.253872054973534</v>
      </c>
      <c r="J8" s="13" t="s">
        <v>47</v>
      </c>
    </row>
    <row r="9" spans="2:10" ht="15" customHeight="1" x14ac:dyDescent="0.25">
      <c r="B9" s="13" t="s">
        <v>51</v>
      </c>
      <c r="C9" s="19">
        <f>IF(F10,C10,C7*C8*60)</f>
        <v>168000000</v>
      </c>
      <c r="D9" s="13" t="s">
        <v>52</v>
      </c>
      <c r="H9" s="13" t="s">
        <v>75</v>
      </c>
      <c r="I9" s="23">
        <f>IF($D$2="English",I6, I6/4.448)</f>
        <v>9049.8813073231868</v>
      </c>
      <c r="J9" s="13" t="s">
        <v>76</v>
      </c>
    </row>
    <row r="10" spans="2:10" ht="15" customHeight="1" x14ac:dyDescent="0.25">
      <c r="B10" s="17"/>
      <c r="C10" s="17"/>
      <c r="D10" s="17" t="s">
        <v>52</v>
      </c>
      <c r="E10" s="17" t="s">
        <v>53</v>
      </c>
      <c r="F10" s="20" t="b">
        <v>0</v>
      </c>
      <c r="H10" s="13"/>
      <c r="I10" s="39">
        <f>I9*10^-3</f>
        <v>9.0498813073231865</v>
      </c>
      <c r="J10" s="13" t="s">
        <v>77</v>
      </c>
    </row>
    <row r="11" spans="2:10" ht="15" customHeight="1" x14ac:dyDescent="0.25">
      <c r="B11" s="17" t="s">
        <v>71</v>
      </c>
      <c r="C11" s="18">
        <f>10^6</f>
        <v>1000000</v>
      </c>
      <c r="D11" s="17" t="s">
        <v>52</v>
      </c>
    </row>
    <row r="12" spans="2:10" ht="15" customHeight="1" x14ac:dyDescent="0.25">
      <c r="B12" s="13" t="s">
        <v>57</v>
      </c>
      <c r="C12" s="30">
        <f>IF(E12="Roller Bearings", 10/3, IF(E12="Ball Bearings", 3, F12))</f>
        <v>3</v>
      </c>
      <c r="D12" s="32" t="s">
        <v>30</v>
      </c>
      <c r="E12" s="17" t="s">
        <v>69</v>
      </c>
      <c r="F12" s="20" t="s">
        <v>72</v>
      </c>
    </row>
    <row r="14" spans="2:10" ht="15" customHeight="1" x14ac:dyDescent="0.25">
      <c r="B14" s="14" t="s">
        <v>58</v>
      </c>
      <c r="C14" s="15"/>
      <c r="D14" s="15"/>
      <c r="H14" s="16" t="s">
        <v>68</v>
      </c>
      <c r="I14" s="16"/>
      <c r="J14" s="36">
        <f>C15</f>
        <v>0.89903789999999995</v>
      </c>
    </row>
    <row r="15" spans="2:10" ht="15" customHeight="1" x14ac:dyDescent="0.25">
      <c r="B15" s="17" t="s">
        <v>63</v>
      </c>
      <c r="C15" s="38">
        <v>0.89903789999999995</v>
      </c>
      <c r="D15" s="31" t="s">
        <v>30</v>
      </c>
      <c r="H15" s="13" t="s">
        <v>64</v>
      </c>
      <c r="I15" s="30">
        <f>C16+(C18-C16)*(LN(C15^-1))^(1/C20)</f>
        <v>1.0000000286061013</v>
      </c>
      <c r="J15" s="32" t="s">
        <v>30</v>
      </c>
    </row>
    <row r="16" spans="2:10" ht="15" customHeight="1" x14ac:dyDescent="0.25">
      <c r="B16" s="17" t="s">
        <v>60</v>
      </c>
      <c r="C16" s="34">
        <v>0.02</v>
      </c>
      <c r="D16" s="31" t="s">
        <v>30</v>
      </c>
      <c r="H16" s="13" t="s">
        <v>55</v>
      </c>
      <c r="I16" s="40">
        <f>I5*(C21/I15)^(1/C12)</f>
        <v>9049.8812210292472</v>
      </c>
      <c r="J16" s="13" t="str">
        <f>IF($D$2="English","lbf", "N")</f>
        <v>lbf</v>
      </c>
    </row>
    <row r="17" spans="2:14" ht="15" customHeight="1" x14ac:dyDescent="0.25">
      <c r="B17" s="17" t="s">
        <v>65</v>
      </c>
      <c r="C17" s="35">
        <v>4.4390000000000001</v>
      </c>
      <c r="D17" s="31" t="s">
        <v>30</v>
      </c>
      <c r="H17" s="13" t="s">
        <v>73</v>
      </c>
      <c r="I17" s="23">
        <f>IF($D$2="English",I16*4.448, I16)</f>
        <v>40253.871671138098</v>
      </c>
      <c r="J17" s="13" t="s">
        <v>74</v>
      </c>
    </row>
    <row r="18" spans="2:14" ht="15" customHeight="1" x14ac:dyDescent="0.25">
      <c r="B18" s="13" t="s">
        <v>59</v>
      </c>
      <c r="C18" s="30">
        <f>IF(F19,C19,C17+C16)</f>
        <v>4.4589999999999996</v>
      </c>
      <c r="D18" s="32" t="s">
        <v>30</v>
      </c>
      <c r="H18" s="13"/>
      <c r="I18" s="39">
        <f>I17*10^-3</f>
        <v>40.2538716711381</v>
      </c>
      <c r="J18" s="13" t="s">
        <v>47</v>
      </c>
    </row>
    <row r="19" spans="2:14" ht="15" customHeight="1" x14ac:dyDescent="0.25">
      <c r="B19" s="17"/>
      <c r="C19" s="17"/>
      <c r="D19" s="17" t="s">
        <v>52</v>
      </c>
      <c r="E19" s="17" t="s">
        <v>66</v>
      </c>
      <c r="F19" s="20" t="b">
        <v>0</v>
      </c>
      <c r="H19" s="13" t="s">
        <v>75</v>
      </c>
      <c r="I19" s="23">
        <f>IF($D$2="English",I16, I16/4.448)</f>
        <v>9049.8812210292472</v>
      </c>
      <c r="J19" s="13" t="s">
        <v>76</v>
      </c>
    </row>
    <row r="20" spans="2:14" ht="15" customHeight="1" x14ac:dyDescent="0.25">
      <c r="B20" s="17" t="s">
        <v>36</v>
      </c>
      <c r="C20" s="35">
        <v>1.4830000000000001</v>
      </c>
      <c r="D20" s="31" t="s">
        <v>30</v>
      </c>
      <c r="H20" s="13"/>
      <c r="I20" s="39">
        <f>I19*10^-3</f>
        <v>9.0498812210292474</v>
      </c>
      <c r="J20" s="13" t="s">
        <v>77</v>
      </c>
    </row>
    <row r="21" spans="2:14" ht="15" customHeight="1" x14ac:dyDescent="0.25">
      <c r="B21" s="13" t="s">
        <v>62</v>
      </c>
      <c r="C21" s="25">
        <f>IF(F22,C22,C9/C11)</f>
        <v>168</v>
      </c>
      <c r="D21" s="13" t="s">
        <v>52</v>
      </c>
    </row>
    <row r="22" spans="2:14" ht="15" customHeight="1" x14ac:dyDescent="0.25">
      <c r="B22" s="17"/>
      <c r="C22" s="17"/>
      <c r="D22" s="17" t="s">
        <v>52</v>
      </c>
      <c r="E22" s="17" t="s">
        <v>61</v>
      </c>
      <c r="F22" s="20" t="b">
        <v>0</v>
      </c>
    </row>
    <row r="25" spans="2:14" ht="15" customHeight="1" x14ac:dyDescent="0.25">
      <c r="N25" s="11"/>
    </row>
    <row r="26" spans="2:14" ht="15" customHeight="1" x14ac:dyDescent="0.25">
      <c r="N26" s="11"/>
    </row>
    <row r="27" spans="2:14" ht="15" customHeight="1" x14ac:dyDescent="0.25">
      <c r="N27" s="11"/>
    </row>
    <row r="28" spans="2:14" ht="15" customHeight="1" x14ac:dyDescent="0.25">
      <c r="N28" s="11"/>
    </row>
    <row r="29" spans="2:14" ht="15" customHeight="1" x14ac:dyDescent="0.25">
      <c r="F29" s="37"/>
      <c r="N29" s="11"/>
    </row>
    <row r="30" spans="2:14" ht="15" customHeight="1" x14ac:dyDescent="0.25">
      <c r="N30" s="11"/>
    </row>
    <row r="31" spans="2:14" ht="15" customHeight="1" x14ac:dyDescent="0.25">
      <c r="N31" s="11"/>
    </row>
    <row r="32" spans="2:14" ht="15" customHeight="1" x14ac:dyDescent="0.25">
      <c r="N32" s="11"/>
    </row>
    <row r="33" spans="14:14" ht="15" customHeight="1" x14ac:dyDescent="0.25">
      <c r="N33" s="11"/>
    </row>
    <row r="34" spans="14:14" ht="15" customHeight="1" x14ac:dyDescent="0.25">
      <c r="N34" s="11"/>
    </row>
    <row r="35" spans="14:14" ht="15" customHeight="1" x14ac:dyDescent="0.25">
      <c r="N35" s="11"/>
    </row>
    <row r="36" spans="14:14" ht="15" customHeight="1" x14ac:dyDescent="0.25">
      <c r="N36" s="11"/>
    </row>
    <row r="37" spans="14:14" ht="15" customHeight="1" x14ac:dyDescent="0.25">
      <c r="N37" s="11"/>
    </row>
    <row r="38" spans="14:14" ht="15" customHeight="1" x14ac:dyDescent="0.25">
      <c r="N38" s="11"/>
    </row>
    <row r="39" spans="14:14" ht="15" customHeight="1" x14ac:dyDescent="0.25">
      <c r="N39" s="11"/>
    </row>
    <row r="40" spans="14:14" ht="15" customHeight="1" x14ac:dyDescent="0.25">
      <c r="N40" s="11"/>
    </row>
    <row r="41" spans="14:14" ht="15" customHeight="1" x14ac:dyDescent="0.25">
      <c r="N41" s="11"/>
    </row>
    <row r="42" spans="14:14" ht="15" customHeight="1" x14ac:dyDescent="0.25">
      <c r="N42" s="11"/>
    </row>
    <row r="43" spans="14:14" ht="15" customHeight="1" x14ac:dyDescent="0.25">
      <c r="N43" s="11"/>
    </row>
    <row r="44" spans="14:14" ht="15" customHeight="1" x14ac:dyDescent="0.25">
      <c r="N44" s="11"/>
    </row>
    <row r="45" spans="14:14" ht="15" customHeight="1" x14ac:dyDescent="0.25">
      <c r="N45" s="11"/>
    </row>
    <row r="46" spans="14:14" ht="15" customHeight="1" x14ac:dyDescent="0.25">
      <c r="N46" s="11"/>
    </row>
    <row r="47" spans="14:14" ht="15" customHeight="1" x14ac:dyDescent="0.25">
      <c r="N47" s="11"/>
    </row>
    <row r="48" spans="14:14" ht="15" customHeight="1" x14ac:dyDescent="0.25">
      <c r="N48" s="11"/>
    </row>
    <row r="49" spans="14:14" ht="15" customHeight="1" x14ac:dyDescent="0.25">
      <c r="N49" s="11"/>
    </row>
    <row r="50" spans="14:14" ht="15" customHeight="1" x14ac:dyDescent="0.25">
      <c r="N50" s="11"/>
    </row>
    <row r="51" spans="14:14" ht="15" customHeight="1" x14ac:dyDescent="0.25">
      <c r="N51" s="11"/>
    </row>
    <row r="52" spans="14:14" ht="15" customHeight="1" x14ac:dyDescent="0.25">
      <c r="N52" s="11"/>
    </row>
    <row r="53" spans="14:14" ht="15" customHeight="1" x14ac:dyDescent="0.25">
      <c r="N53" s="11"/>
    </row>
    <row r="54" spans="14:14" ht="15" customHeight="1" x14ac:dyDescent="0.25">
      <c r="N54" s="11"/>
    </row>
    <row r="55" spans="14:14" ht="15" customHeight="1" x14ac:dyDescent="0.25">
      <c r="N55" s="11"/>
    </row>
    <row r="56" spans="14:14" ht="15" customHeight="1" x14ac:dyDescent="0.25">
      <c r="N56" s="11"/>
    </row>
  </sheetData>
  <conditionalFormatting sqref="B7:B8 D7:D8">
    <cfRule type="expression" dxfId="6" priority="4">
      <formula>$F$10</formula>
    </cfRule>
  </conditionalFormatting>
  <conditionalFormatting sqref="B10 D10 F10">
    <cfRule type="expression" dxfId="5" priority="8">
      <formula>NOT($F$10)</formula>
    </cfRule>
  </conditionalFormatting>
  <conditionalFormatting sqref="B17 D17">
    <cfRule type="expression" dxfId="4" priority="3">
      <formula>$F$19</formula>
    </cfRule>
  </conditionalFormatting>
  <conditionalFormatting sqref="B19 D19 F19">
    <cfRule type="expression" dxfId="3" priority="6">
      <formula>NOT($F$19)</formula>
    </cfRule>
  </conditionalFormatting>
  <conditionalFormatting sqref="B22 D22">
    <cfRule type="expression" dxfId="2" priority="7">
      <formula>NOT($F$22)</formula>
    </cfRule>
  </conditionalFormatting>
  <conditionalFormatting sqref="F12">
    <cfRule type="expression" dxfId="1" priority="1">
      <formula>NOT($E$12="Override to:")</formula>
    </cfRule>
  </conditionalFormatting>
  <conditionalFormatting sqref="F22">
    <cfRule type="expression" dxfId="0" priority="2">
      <formula>NOT($F$22)</formula>
    </cfRule>
  </conditionalFormatting>
  <dataValidations count="2">
    <dataValidation type="list" allowBlank="1" showInputMessage="1" showErrorMessage="1" sqref="E12" xr:uid="{3970EDE2-C76B-4BE9-8EB9-2F8D9D5E6D93}">
      <formula1>"Ball Bearings, Roller Bearings, Override to:"</formula1>
    </dataValidation>
    <dataValidation type="list" allowBlank="1" showInputMessage="1" showErrorMessage="1" sqref="D2" xr:uid="{9CCD1DDE-4D6C-4958-AC64-DD95D77AD6AC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C292-0CC2-41B5-BEBB-1071F1CE7B9A}">
  <sheetPr>
    <tabColor rgb="FF00B050"/>
  </sheetPr>
  <dimension ref="B1:M1000"/>
  <sheetViews>
    <sheetView zoomScale="115" zoomScaleNormal="115" workbookViewId="0">
      <selection activeCell="F34" sqref="F34"/>
    </sheetView>
  </sheetViews>
  <sheetFormatPr defaultRowHeight="15" x14ac:dyDescent="0.25"/>
  <cols>
    <col min="2" max="2" width="9.140625" customWidth="1"/>
    <col min="3" max="3" width="26.5703125" customWidth="1"/>
    <col min="4" max="4" width="10.42578125" customWidth="1"/>
    <col min="5" max="5" width="11.5703125" bestFit="1" customWidth="1"/>
    <col min="6" max="7" width="10.28515625" customWidth="1"/>
    <col min="9" max="9" width="6.85546875" bestFit="1" customWidth="1"/>
    <col min="10" max="11" width="35.42578125" bestFit="1" customWidth="1"/>
    <col min="12" max="12" width="24" bestFit="1" customWidth="1"/>
    <col min="18" max="18" width="14.5703125" bestFit="1" customWidth="1"/>
  </cols>
  <sheetData>
    <row r="1" spans="2:13" x14ac:dyDescent="0.25">
      <c r="I1" t="str">
        <f>_xlfn.CONCAT("x"," [",G2,"]")</f>
        <v>x [in]</v>
      </c>
      <c r="J1" t="str">
        <f>_xlfn.CONCAT("moment about the z-axis"," [*10^3 ", E25,"]")</f>
        <v>moment about the z-axis [*10^3 in-lbf]</v>
      </c>
      <c r="K1" t="str">
        <f>_xlfn.CONCAT("moment about the y-axis"," [*10^3 ", E25,"]")</f>
        <v>moment about the y-axis [*10^3 in-lbf]</v>
      </c>
      <c r="L1" t="str">
        <f>_xlfn.CONCAT("Net Moment"," [*10^3 ", E25,"]")</f>
        <v>Net Moment [*10^3 in-lbf]</v>
      </c>
      <c r="M1" s="1" t="s">
        <v>1</v>
      </c>
    </row>
    <row r="2" spans="2:13" x14ac:dyDescent="0.25">
      <c r="C2" t="s">
        <v>2</v>
      </c>
      <c r="E2" s="3" t="s">
        <v>0</v>
      </c>
      <c r="F2" s="3">
        <v>0.1</v>
      </c>
      <c r="G2" s="17" t="str">
        <f>IF($D$4="English","in", "mm")</f>
        <v>in</v>
      </c>
      <c r="I2" s="24">
        <v>0</v>
      </c>
      <c r="J2">
        <f t="shared" ref="J2:K65" si="0">D$29*($I2/1000)+D$18*(($I2/1000)-($D$8/1000))*(($I2/1000)&gt;($D$8/1000))+D$19*(($I2/1000)-($D$9/1000))*(($I2/1000)&gt;($D$9/1000))+D$20*(($I2/1000)-($D$10/1000))*(($I2/1000)&gt;($D$10/1000))+D$21*(($I2/1000)-($D$11/1000))*(($I2/1000)&gt;($D$11/1000))</f>
        <v>0</v>
      </c>
      <c r="K2">
        <f t="shared" si="0"/>
        <v>0</v>
      </c>
      <c r="L2" s="2">
        <f t="shared" ref="L2:L65" si="1">SQRT((J2^2)+(K2^2))</f>
        <v>0</v>
      </c>
    </row>
    <row r="3" spans="2:13" x14ac:dyDescent="0.25">
      <c r="I3" s="24">
        <f t="shared" ref="I3:I66" si="2">IF((ROW(A1)*$F$2)&lt;=$D$5, ROW(A1)*$F$2,NA())</f>
        <v>0.1</v>
      </c>
      <c r="J3">
        <f t="shared" si="0"/>
        <v>9.9869881851095271E-3</v>
      </c>
      <c r="K3" s="27">
        <f t="shared" si="0"/>
        <v>-5.3750417908953955E-2</v>
      </c>
      <c r="L3" s="27">
        <f t="shared" si="1"/>
        <v>5.4670351731049942E-2</v>
      </c>
    </row>
    <row r="4" spans="2:13" x14ac:dyDescent="0.25">
      <c r="C4" t="s">
        <v>3</v>
      </c>
      <c r="D4" s="7" t="s">
        <v>31</v>
      </c>
      <c r="I4" s="24">
        <f t="shared" si="2"/>
        <v>0.2</v>
      </c>
      <c r="J4">
        <f t="shared" si="0"/>
        <v>1.9973976370219054E-2</v>
      </c>
      <c r="K4">
        <f t="shared" si="0"/>
        <v>-0.10750083581790791</v>
      </c>
      <c r="L4" s="27">
        <f t="shared" si="1"/>
        <v>0.10934070346209988</v>
      </c>
    </row>
    <row r="5" spans="2:13" x14ac:dyDescent="0.25">
      <c r="C5" s="3" t="s">
        <v>4</v>
      </c>
      <c r="D5" s="3">
        <v>50</v>
      </c>
      <c r="E5" s="17" t="str">
        <f>IF($D$4="English","in", "mm")</f>
        <v>in</v>
      </c>
      <c r="I5" s="24">
        <f t="shared" si="2"/>
        <v>0.30000000000000004</v>
      </c>
      <c r="J5">
        <f t="shared" si="0"/>
        <v>2.9960964555328585E-2</v>
      </c>
      <c r="K5">
        <f t="shared" si="0"/>
        <v>-0.16125125372686189</v>
      </c>
      <c r="L5" s="27">
        <f t="shared" si="1"/>
        <v>0.16401105519314985</v>
      </c>
    </row>
    <row r="6" spans="2:13" x14ac:dyDescent="0.25">
      <c r="I6" s="24">
        <f t="shared" si="2"/>
        <v>0.4</v>
      </c>
      <c r="J6">
        <f t="shared" si="0"/>
        <v>3.9947952740438109E-2</v>
      </c>
      <c r="K6">
        <f t="shared" si="0"/>
        <v>-0.21500167163581582</v>
      </c>
      <c r="L6" s="27">
        <f t="shared" si="1"/>
        <v>0.21868140692419977</v>
      </c>
    </row>
    <row r="7" spans="2:13" x14ac:dyDescent="0.25">
      <c r="C7" s="14" t="s">
        <v>5</v>
      </c>
      <c r="D7" s="15"/>
      <c r="E7" s="15"/>
      <c r="I7" s="24">
        <f t="shared" si="2"/>
        <v>0.5</v>
      </c>
      <c r="J7">
        <f t="shared" si="0"/>
        <v>4.9934940925547636E-2</v>
      </c>
      <c r="K7">
        <f t="shared" si="0"/>
        <v>-0.26875208954476976</v>
      </c>
      <c r="L7" s="27">
        <f t="shared" si="1"/>
        <v>0.27335175865524969</v>
      </c>
    </row>
    <row r="8" spans="2:13" x14ac:dyDescent="0.25">
      <c r="B8" t="s">
        <v>6</v>
      </c>
      <c r="C8" s="3" t="s">
        <v>7</v>
      </c>
      <c r="D8" s="3">
        <v>14</v>
      </c>
      <c r="E8" s="17" t="str">
        <f>IF($D$4="English","in", "mm")</f>
        <v>in</v>
      </c>
      <c r="I8" s="24">
        <f t="shared" si="2"/>
        <v>0.60000000000000009</v>
      </c>
      <c r="J8">
        <f t="shared" si="0"/>
        <v>5.992192911065717E-2</v>
      </c>
      <c r="K8">
        <f t="shared" si="0"/>
        <v>-0.32250250745372377</v>
      </c>
      <c r="L8" s="27">
        <f t="shared" si="1"/>
        <v>0.32802211038629969</v>
      </c>
    </row>
    <row r="9" spans="2:13" x14ac:dyDescent="0.25">
      <c r="B9" t="s">
        <v>8</v>
      </c>
      <c r="C9" s="3" t="s">
        <v>9</v>
      </c>
      <c r="D9" s="3">
        <v>36</v>
      </c>
      <c r="E9" s="17" t="str">
        <f>IF($D$4="English","in", "mm")</f>
        <v>in</v>
      </c>
      <c r="I9" s="24">
        <f t="shared" si="2"/>
        <v>0.70000000000000007</v>
      </c>
      <c r="J9">
        <f t="shared" si="0"/>
        <v>6.9908917295766704E-2</v>
      </c>
      <c r="K9">
        <f t="shared" si="0"/>
        <v>-0.37625292536267774</v>
      </c>
      <c r="L9" s="27">
        <f t="shared" si="1"/>
        <v>0.38269246211734964</v>
      </c>
    </row>
    <row r="10" spans="2:13" x14ac:dyDescent="0.25">
      <c r="B10" t="s">
        <v>10</v>
      </c>
      <c r="C10" s="3" t="s">
        <v>11</v>
      </c>
      <c r="D10" s="3"/>
      <c r="E10" s="17" t="str">
        <f>IF($D$4="English","in", "mm")</f>
        <v>in</v>
      </c>
      <c r="I10" s="24">
        <f t="shared" si="2"/>
        <v>0.8</v>
      </c>
      <c r="J10">
        <f t="shared" si="0"/>
        <v>7.9895905480876217E-2</v>
      </c>
      <c r="K10">
        <f t="shared" si="0"/>
        <v>-0.43000334327163164</v>
      </c>
      <c r="L10" s="27">
        <f t="shared" si="1"/>
        <v>0.43736281384839953</v>
      </c>
    </row>
    <row r="11" spans="2:13" x14ac:dyDescent="0.25">
      <c r="B11" t="s">
        <v>12</v>
      </c>
      <c r="C11" s="3" t="s">
        <v>13</v>
      </c>
      <c r="D11" s="3"/>
      <c r="E11" s="17" t="str">
        <f>IF($D$4="English","in", "mm")</f>
        <v>in</v>
      </c>
      <c r="I11" s="24">
        <f t="shared" si="2"/>
        <v>0.9</v>
      </c>
      <c r="J11">
        <f t="shared" si="0"/>
        <v>8.9882893665985744E-2</v>
      </c>
      <c r="K11">
        <f t="shared" si="0"/>
        <v>-0.48375376118058561</v>
      </c>
      <c r="L11" s="27">
        <f t="shared" si="1"/>
        <v>0.49203316557944948</v>
      </c>
    </row>
    <row r="12" spans="2:13" x14ac:dyDescent="0.25">
      <c r="I12" s="24">
        <f t="shared" si="2"/>
        <v>1</v>
      </c>
      <c r="J12">
        <f t="shared" si="0"/>
        <v>9.9869881851095271E-2</v>
      </c>
      <c r="K12">
        <f t="shared" si="0"/>
        <v>-0.53750417908953951</v>
      </c>
      <c r="L12" s="27">
        <f t="shared" si="1"/>
        <v>0.54670351731049938</v>
      </c>
    </row>
    <row r="13" spans="2:13" x14ac:dyDescent="0.25">
      <c r="C13" s="14" t="s">
        <v>14</v>
      </c>
      <c r="D13" s="15"/>
      <c r="E13" s="15"/>
      <c r="I13" s="24">
        <f t="shared" si="2"/>
        <v>1.1000000000000001</v>
      </c>
      <c r="J13">
        <f t="shared" si="0"/>
        <v>0.10985687003620481</v>
      </c>
      <c r="K13">
        <f t="shared" si="0"/>
        <v>-0.59125459699849359</v>
      </c>
      <c r="L13" s="27">
        <f t="shared" si="1"/>
        <v>0.60137386904154944</v>
      </c>
    </row>
    <row r="14" spans="2:13" x14ac:dyDescent="0.25">
      <c r="B14" t="s">
        <v>40</v>
      </c>
      <c r="C14" s="3" t="s">
        <v>42</v>
      </c>
      <c r="D14" s="3">
        <v>5</v>
      </c>
      <c r="E14" s="17" t="str">
        <f>IF($D$4="English","in", "mm")</f>
        <v>in</v>
      </c>
      <c r="I14" s="24">
        <f t="shared" si="2"/>
        <v>1.2000000000000002</v>
      </c>
      <c r="J14">
        <f t="shared" si="0"/>
        <v>0.11984385822131434</v>
      </c>
      <c r="K14">
        <f t="shared" si="0"/>
        <v>-0.64500501490744755</v>
      </c>
      <c r="L14" s="27">
        <f t="shared" si="1"/>
        <v>0.65604422077259938</v>
      </c>
    </row>
    <row r="15" spans="2:13" x14ac:dyDescent="0.25">
      <c r="B15" t="s">
        <v>41</v>
      </c>
      <c r="C15" s="3" t="s">
        <v>43</v>
      </c>
      <c r="D15" s="3">
        <v>6</v>
      </c>
      <c r="E15" s="17" t="str">
        <f>IF($D$4="English","in", "mm")</f>
        <v>in</v>
      </c>
      <c r="I15" s="24">
        <f t="shared" si="2"/>
        <v>1.3</v>
      </c>
      <c r="J15">
        <f t="shared" si="0"/>
        <v>0.12983084640642384</v>
      </c>
      <c r="K15">
        <f t="shared" si="0"/>
        <v>-0.6987554328164014</v>
      </c>
      <c r="L15" s="27">
        <f t="shared" si="1"/>
        <v>0.71071457250364922</v>
      </c>
    </row>
    <row r="16" spans="2:13" x14ac:dyDescent="0.25">
      <c r="I16" s="24">
        <f t="shared" si="2"/>
        <v>1.4000000000000001</v>
      </c>
      <c r="J16">
        <f t="shared" si="0"/>
        <v>0.13981783459153341</v>
      </c>
      <c r="K16">
        <f t="shared" si="0"/>
        <v>-0.75250585072535547</v>
      </c>
      <c r="L16" s="27">
        <f t="shared" si="1"/>
        <v>0.76538492423469928</v>
      </c>
    </row>
    <row r="17" spans="2:12" x14ac:dyDescent="0.25">
      <c r="C17" s="14" t="s">
        <v>15</v>
      </c>
      <c r="D17" s="14" t="s">
        <v>16</v>
      </c>
      <c r="E17" s="14" t="s">
        <v>17</v>
      </c>
      <c r="F17" s="14" t="s">
        <v>18</v>
      </c>
      <c r="G17" s="14"/>
      <c r="I17" s="24">
        <f t="shared" si="2"/>
        <v>1.5</v>
      </c>
      <c r="J17">
        <f t="shared" si="0"/>
        <v>0.14980482277664292</v>
      </c>
      <c r="K17">
        <f t="shared" si="0"/>
        <v>-0.80625626863430933</v>
      </c>
      <c r="L17" s="27">
        <f t="shared" si="1"/>
        <v>0.82005527596574912</v>
      </c>
    </row>
    <row r="18" spans="2:12" x14ac:dyDescent="0.25">
      <c r="B18" t="s">
        <v>6</v>
      </c>
      <c r="C18" s="3" t="s">
        <v>7</v>
      </c>
      <c r="D18" s="4">
        <f>-F18*SIN(RADIANS(20))</f>
        <v>-205.21208599540122</v>
      </c>
      <c r="E18" s="4">
        <f>F18*COS(RADIANS(20))</f>
        <v>563.81557247154501</v>
      </c>
      <c r="F18" s="4">
        <v>600</v>
      </c>
      <c r="G18" s="17" t="str">
        <f>IF($D$4="English","lbf", "N")</f>
        <v>lbf</v>
      </c>
      <c r="I18" s="24">
        <f t="shared" si="2"/>
        <v>1.6</v>
      </c>
      <c r="J18">
        <f t="shared" si="0"/>
        <v>0.15979181096175243</v>
      </c>
      <c r="K18">
        <f t="shared" si="0"/>
        <v>-0.86000668654326329</v>
      </c>
      <c r="L18" s="27">
        <f t="shared" si="1"/>
        <v>0.87472562769679907</v>
      </c>
    </row>
    <row r="19" spans="2:12" x14ac:dyDescent="0.25">
      <c r="B19" t="s">
        <v>8</v>
      </c>
      <c r="C19" s="3" t="s">
        <v>9</v>
      </c>
      <c r="D19" s="4">
        <f>F19*SIN(RADIANS(20))</f>
        <v>171.01007166283435</v>
      </c>
      <c r="E19" s="4">
        <f>F19*COS(RADIANS(20))</f>
        <v>469.84631039295419</v>
      </c>
      <c r="F19" s="4">
        <f>D25/(D15/2)</f>
        <v>500</v>
      </c>
      <c r="G19" s="17" t="str">
        <f t="shared" ref="G19:G21" si="3">IF($D$4="English","lbf", "N")</f>
        <v>lbf</v>
      </c>
      <c r="I19" s="24">
        <f t="shared" si="2"/>
        <v>1.7000000000000002</v>
      </c>
      <c r="J19">
        <f t="shared" si="0"/>
        <v>0.16977879914686198</v>
      </c>
      <c r="K19">
        <f t="shared" si="0"/>
        <v>-0.91375710445221725</v>
      </c>
      <c r="L19" s="27">
        <f t="shared" si="1"/>
        <v>0.92939597942784913</v>
      </c>
    </row>
    <row r="20" spans="2:12" x14ac:dyDescent="0.25">
      <c r="B20" t="s">
        <v>10</v>
      </c>
      <c r="C20" s="3" t="s">
        <v>11</v>
      </c>
      <c r="D20" s="4"/>
      <c r="E20" s="4"/>
      <c r="F20" s="26"/>
      <c r="G20" s="17" t="str">
        <f t="shared" si="3"/>
        <v>lbf</v>
      </c>
      <c r="I20" s="24">
        <f t="shared" si="2"/>
        <v>1.8</v>
      </c>
      <c r="J20">
        <f t="shared" si="0"/>
        <v>0.17976578733197149</v>
      </c>
      <c r="K20">
        <f t="shared" si="0"/>
        <v>-0.96750752236117121</v>
      </c>
      <c r="L20" s="27">
        <f t="shared" si="1"/>
        <v>0.98406633115889897</v>
      </c>
    </row>
    <row r="21" spans="2:12" x14ac:dyDescent="0.25">
      <c r="B21" t="s">
        <v>12</v>
      </c>
      <c r="C21" s="3" t="s">
        <v>13</v>
      </c>
      <c r="D21" s="3"/>
      <c r="E21" s="3"/>
      <c r="F21" s="26"/>
      <c r="G21" s="17" t="str">
        <f t="shared" si="3"/>
        <v>lbf</v>
      </c>
      <c r="I21" s="24">
        <f t="shared" si="2"/>
        <v>1.9000000000000001</v>
      </c>
      <c r="J21">
        <f t="shared" si="0"/>
        <v>0.18975277551708103</v>
      </c>
      <c r="K21">
        <f t="shared" si="0"/>
        <v>-1.0212579402701252</v>
      </c>
      <c r="L21" s="27">
        <f t="shared" si="1"/>
        <v>1.0387366828899489</v>
      </c>
    </row>
    <row r="22" spans="2:12" x14ac:dyDescent="0.25">
      <c r="I22" s="24">
        <f t="shared" si="2"/>
        <v>2</v>
      </c>
      <c r="J22">
        <f t="shared" si="0"/>
        <v>0.19973976370219054</v>
      </c>
      <c r="K22">
        <f t="shared" si="0"/>
        <v>-1.075008358179079</v>
      </c>
      <c r="L22" s="27">
        <f t="shared" si="1"/>
        <v>1.0934070346209988</v>
      </c>
    </row>
    <row r="23" spans="2:12" x14ac:dyDescent="0.25">
      <c r="I23" s="24">
        <f t="shared" si="2"/>
        <v>2.1</v>
      </c>
      <c r="J23">
        <f t="shared" si="0"/>
        <v>0.20972675188730011</v>
      </c>
      <c r="K23">
        <f t="shared" si="0"/>
        <v>-1.1287587760880333</v>
      </c>
      <c r="L23" s="27">
        <f t="shared" si="1"/>
        <v>1.148077386352049</v>
      </c>
    </row>
    <row r="24" spans="2:12" x14ac:dyDescent="0.25">
      <c r="C24" s="16" t="s">
        <v>38</v>
      </c>
      <c r="D24" s="16" t="s">
        <v>19</v>
      </c>
      <c r="E24" s="16"/>
      <c r="I24" s="24">
        <f t="shared" si="2"/>
        <v>2.2000000000000002</v>
      </c>
      <c r="J24">
        <f t="shared" si="0"/>
        <v>0.21971374007240962</v>
      </c>
      <c r="K24">
        <f t="shared" si="0"/>
        <v>-1.1825091939969872</v>
      </c>
      <c r="L24" s="27">
        <f t="shared" si="1"/>
        <v>1.2027477380830989</v>
      </c>
    </row>
    <row r="25" spans="2:12" x14ac:dyDescent="0.25">
      <c r="B25" t="s">
        <v>20</v>
      </c>
      <c r="C25" s="5" t="s">
        <v>21</v>
      </c>
      <c r="D25" s="5">
        <f>F18*(D14/2)</f>
        <v>1500</v>
      </c>
      <c r="E25" s="13" t="str">
        <f>IF($D$4="English","in-lbf", "Nmm")</f>
        <v>in-lbf</v>
      </c>
      <c r="I25" s="24">
        <f t="shared" si="2"/>
        <v>2.3000000000000003</v>
      </c>
      <c r="J25">
        <f t="shared" si="0"/>
        <v>0.22970072825751917</v>
      </c>
      <c r="K25">
        <f t="shared" si="0"/>
        <v>-1.2362596119059412</v>
      </c>
      <c r="L25" s="27">
        <f t="shared" si="1"/>
        <v>1.2574180898141489</v>
      </c>
    </row>
    <row r="26" spans="2:12" x14ac:dyDescent="0.25">
      <c r="B26" t="s">
        <v>22</v>
      </c>
      <c r="C26" s="5" t="s">
        <v>23</v>
      </c>
      <c r="D26" s="5">
        <f>-F19*(D15/2)</f>
        <v>-1500</v>
      </c>
      <c r="E26" s="13" t="str">
        <f>IF($D$4="English","in-lbf", "Nmm")</f>
        <v>in-lbf</v>
      </c>
      <c r="I26" s="24">
        <f t="shared" si="2"/>
        <v>2.4000000000000004</v>
      </c>
      <c r="J26">
        <f t="shared" si="0"/>
        <v>0.23968771644262868</v>
      </c>
      <c r="K26">
        <f t="shared" si="0"/>
        <v>-1.2900100298148951</v>
      </c>
      <c r="L26" s="27">
        <f t="shared" si="1"/>
        <v>1.3120884415451988</v>
      </c>
    </row>
    <row r="27" spans="2:12" x14ac:dyDescent="0.25">
      <c r="I27" s="24">
        <f t="shared" si="2"/>
        <v>2.5</v>
      </c>
      <c r="J27">
        <f t="shared" si="0"/>
        <v>0.24967470462773819</v>
      </c>
      <c r="K27">
        <f t="shared" si="0"/>
        <v>-1.3437604477238489</v>
      </c>
      <c r="L27" s="27">
        <f t="shared" si="1"/>
        <v>1.3667587932762486</v>
      </c>
    </row>
    <row r="28" spans="2:12" x14ac:dyDescent="0.25">
      <c r="C28" s="16" t="s">
        <v>37</v>
      </c>
      <c r="D28" s="16" t="s">
        <v>16</v>
      </c>
      <c r="E28" s="16" t="s">
        <v>17</v>
      </c>
      <c r="F28" s="16"/>
      <c r="G28" s="28" t="s">
        <v>46</v>
      </c>
      <c r="H28" s="16"/>
      <c r="I28" s="24">
        <f t="shared" si="2"/>
        <v>2.6</v>
      </c>
      <c r="J28">
        <f t="shared" si="0"/>
        <v>0.25966169281284768</v>
      </c>
      <c r="K28">
        <f t="shared" si="0"/>
        <v>-1.3975108656328028</v>
      </c>
      <c r="L28" s="27">
        <f t="shared" si="1"/>
        <v>1.4214291450072984</v>
      </c>
    </row>
    <row r="29" spans="2:12" x14ac:dyDescent="0.25">
      <c r="B29" t="s">
        <v>24</v>
      </c>
      <c r="C29" s="5" t="s">
        <v>25</v>
      </c>
      <c r="D29" s="6">
        <f>-(D18+D19+D20+D21+D30)</f>
        <v>99.869881851095272</v>
      </c>
      <c r="E29" s="6">
        <f>-(E18+E19+E20+E21+E30)</f>
        <v>-537.50417908953955</v>
      </c>
      <c r="F29" s="13" t="str">
        <f t="shared" ref="F29" si="4">IF($D$4="English","lbf", "N")</f>
        <v>lbf</v>
      </c>
      <c r="G29" s="6" cm="1">
        <f t="array" ref="G29">SQRT(SUM(D29:E29^2))</f>
        <v>546.70351731049936</v>
      </c>
      <c r="H29" s="13" t="str">
        <f t="shared" ref="F29:H30" si="5">IF($D$4="English","lbf", "N")</f>
        <v>lbf</v>
      </c>
      <c r="I29" s="24">
        <f t="shared" si="2"/>
        <v>2.7</v>
      </c>
      <c r="J29">
        <f t="shared" si="0"/>
        <v>0.26964868099795725</v>
      </c>
      <c r="K29">
        <f t="shared" si="0"/>
        <v>-1.4512612835417569</v>
      </c>
      <c r="L29" s="27">
        <f t="shared" si="1"/>
        <v>1.4760994967383485</v>
      </c>
    </row>
    <row r="30" spans="2:12" x14ac:dyDescent="0.25">
      <c r="B30" t="s">
        <v>39</v>
      </c>
      <c r="C30" s="5" t="s">
        <v>26</v>
      </c>
      <c r="D30" s="6">
        <f>(D18*($D8)+D19*($D9)+D20*($D10)+D21*($D11))/-$D5</f>
        <v>-65.667867518528396</v>
      </c>
      <c r="E30" s="6">
        <f>(E18*($D8)+E19*($D9)+E20*($D10)+E21*($D11))/-$D5</f>
        <v>-496.1577037749596</v>
      </c>
      <c r="F30" s="13" t="str">
        <f t="shared" si="5"/>
        <v>lbf</v>
      </c>
      <c r="G30" s="6" cm="1">
        <f t="array" ref="G30">SQRT(SUM(D30:E30^2))</f>
        <v>500.48450109835727</v>
      </c>
      <c r="H30" s="13" t="str">
        <f t="shared" si="5"/>
        <v>lbf</v>
      </c>
      <c r="I30" s="24">
        <f t="shared" si="2"/>
        <v>2.8000000000000003</v>
      </c>
      <c r="J30">
        <f t="shared" si="0"/>
        <v>0.27963566918306682</v>
      </c>
      <c r="K30">
        <f t="shared" si="0"/>
        <v>-1.5050117014507109</v>
      </c>
      <c r="L30" s="27">
        <f t="shared" si="1"/>
        <v>1.5307698484693986</v>
      </c>
    </row>
    <row r="31" spans="2:12" x14ac:dyDescent="0.25">
      <c r="I31" s="24">
        <f t="shared" si="2"/>
        <v>2.9000000000000004</v>
      </c>
      <c r="J31">
        <f t="shared" si="0"/>
        <v>0.28962265736817633</v>
      </c>
      <c r="K31">
        <f t="shared" si="0"/>
        <v>-1.5587621193596648</v>
      </c>
      <c r="L31" s="27">
        <f t="shared" si="1"/>
        <v>1.5854402002004484</v>
      </c>
    </row>
    <row r="32" spans="2:12" x14ac:dyDescent="0.25">
      <c r="I32" s="24">
        <f t="shared" si="2"/>
        <v>3</v>
      </c>
      <c r="J32">
        <f t="shared" si="0"/>
        <v>0.29960964555328584</v>
      </c>
      <c r="K32">
        <f t="shared" si="0"/>
        <v>-1.6125125372686187</v>
      </c>
      <c r="L32" s="27">
        <f t="shared" si="1"/>
        <v>1.6401105519314982</v>
      </c>
    </row>
    <row r="33" spans="3:12" x14ac:dyDescent="0.25">
      <c r="C33" s="5" t="s">
        <v>27</v>
      </c>
      <c r="D33" s="6">
        <f>_xlfn.AGGREGATE(4, 6, L:L)</f>
        <v>7.6538492423469915</v>
      </c>
      <c r="E33" s="13" t="str">
        <f>IF($D$4="English","*10^3 in-lbf", "*10^3 Nmm")</f>
        <v>*10^3 in-lbf</v>
      </c>
      <c r="G33" s="29">
        <f>G29*4.448*((200*10^6)/(10^6))^(1/3)*10^-3</f>
        <v>14.220885678088818</v>
      </c>
      <c r="H33" t="s">
        <v>47</v>
      </c>
      <c r="I33" s="24">
        <f t="shared" si="2"/>
        <v>3.1</v>
      </c>
      <c r="J33">
        <f t="shared" si="0"/>
        <v>0.30959663373839535</v>
      </c>
      <c r="K33">
        <f t="shared" si="0"/>
        <v>-1.6662629551775725</v>
      </c>
      <c r="L33" s="27">
        <f t="shared" si="1"/>
        <v>1.6947809036625483</v>
      </c>
    </row>
    <row r="34" spans="3:12" x14ac:dyDescent="0.25">
      <c r="C34" s="5" t="s">
        <v>28</v>
      </c>
      <c r="D34" s="5">
        <f>INDEX(I:I,MATCH(D33,L:L,0))</f>
        <v>14</v>
      </c>
      <c r="E34" s="13" t="str">
        <f>IF($D$4="English","in", "mm")</f>
        <v>in</v>
      </c>
      <c r="I34" s="24">
        <f t="shared" si="2"/>
        <v>3.2</v>
      </c>
      <c r="J34">
        <f t="shared" si="0"/>
        <v>0.31958362192350487</v>
      </c>
      <c r="K34">
        <f t="shared" si="0"/>
        <v>-1.7200133730865266</v>
      </c>
      <c r="L34" s="27">
        <f t="shared" si="1"/>
        <v>1.7494512553935981</v>
      </c>
    </row>
    <row r="35" spans="3:12" x14ac:dyDescent="0.25">
      <c r="I35" s="24">
        <f t="shared" si="2"/>
        <v>3.3000000000000003</v>
      </c>
      <c r="J35">
        <f t="shared" si="0"/>
        <v>0.32957061010861444</v>
      </c>
      <c r="K35">
        <f t="shared" si="0"/>
        <v>-1.7737637909954806</v>
      </c>
      <c r="L35" s="27">
        <f t="shared" si="1"/>
        <v>1.8041216071246482</v>
      </c>
    </row>
    <row r="36" spans="3:12" x14ac:dyDescent="0.25">
      <c r="C36" s="3" t="s">
        <v>44</v>
      </c>
      <c r="D36" s="3">
        <v>15</v>
      </c>
      <c r="E36" s="17" t="str">
        <f>IF($D$4="English","in", "mm")</f>
        <v>in</v>
      </c>
      <c r="I36" s="24">
        <f t="shared" si="2"/>
        <v>3.4000000000000004</v>
      </c>
      <c r="J36">
        <f t="shared" si="0"/>
        <v>0.33955759829372395</v>
      </c>
      <c r="K36">
        <f t="shared" si="0"/>
        <v>-1.8275142089044345</v>
      </c>
      <c r="L36" s="27">
        <f t="shared" si="1"/>
        <v>1.8587919588556983</v>
      </c>
    </row>
    <row r="37" spans="3:12" x14ac:dyDescent="0.25">
      <c r="C37" s="5" t="s">
        <v>29</v>
      </c>
      <c r="D37" s="8">
        <f>INDEX(L:L,MATCH(D36,I:I,0))</f>
        <v>7.6093780013392855</v>
      </c>
      <c r="E37" s="13" t="str">
        <f>IF($D$4="English","*10^3 in-lbf", "*10^3 Nmm")</f>
        <v>*10^3 in-lbf</v>
      </c>
      <c r="I37" s="24">
        <f t="shared" si="2"/>
        <v>3.5</v>
      </c>
      <c r="J37">
        <f t="shared" si="0"/>
        <v>0.34954458647883346</v>
      </c>
      <c r="K37">
        <f t="shared" si="0"/>
        <v>-1.8812646268133884</v>
      </c>
      <c r="L37" s="27">
        <f t="shared" si="1"/>
        <v>1.9134623105867479</v>
      </c>
    </row>
    <row r="38" spans="3:12" x14ac:dyDescent="0.25">
      <c r="I38" s="24">
        <f t="shared" si="2"/>
        <v>3.6</v>
      </c>
      <c r="J38">
        <f t="shared" si="0"/>
        <v>0.35953157466394298</v>
      </c>
      <c r="K38">
        <f t="shared" si="0"/>
        <v>-1.9350150447223424</v>
      </c>
      <c r="L38" s="27">
        <f t="shared" si="1"/>
        <v>1.9681326623177979</v>
      </c>
    </row>
    <row r="39" spans="3:12" x14ac:dyDescent="0.25">
      <c r="C39" s="3" t="s">
        <v>45</v>
      </c>
      <c r="D39" s="3">
        <v>35</v>
      </c>
      <c r="E39" s="17" t="str">
        <f>IF($D$4="English","in", "mm")</f>
        <v>in</v>
      </c>
      <c r="I39" s="24">
        <f t="shared" si="2"/>
        <v>3.7</v>
      </c>
      <c r="J39">
        <f t="shared" si="0"/>
        <v>0.36951856284905255</v>
      </c>
      <c r="K39">
        <f t="shared" si="0"/>
        <v>-1.9887654626312965</v>
      </c>
      <c r="L39" s="27">
        <f t="shared" si="1"/>
        <v>2.022803014048848</v>
      </c>
    </row>
    <row r="40" spans="3:12" x14ac:dyDescent="0.25">
      <c r="C40" s="5" t="s">
        <v>29</v>
      </c>
      <c r="D40" s="8">
        <f>INDEX(L:L,MATCH(D39,I:I,0))</f>
        <v>7.019874184575265</v>
      </c>
      <c r="E40" s="13" t="str">
        <f>IF($D$4="English","*10^3 in-lbf", "*10^3 Nmm")</f>
        <v>*10^3 in-lbf</v>
      </c>
      <c r="I40" s="24">
        <f t="shared" si="2"/>
        <v>3.8000000000000003</v>
      </c>
      <c r="J40">
        <f t="shared" si="0"/>
        <v>0.37950555103416206</v>
      </c>
      <c r="K40">
        <f t="shared" si="0"/>
        <v>-2.0425158805402504</v>
      </c>
      <c r="L40" s="27">
        <f t="shared" si="1"/>
        <v>2.0774733657798978</v>
      </c>
    </row>
    <row r="41" spans="3:12" x14ac:dyDescent="0.25">
      <c r="I41" s="24">
        <f t="shared" si="2"/>
        <v>3.9000000000000004</v>
      </c>
      <c r="J41">
        <f t="shared" si="0"/>
        <v>0.38949253921927157</v>
      </c>
      <c r="K41">
        <f t="shared" si="0"/>
        <v>-2.0962662984492044</v>
      </c>
      <c r="L41" s="27">
        <f t="shared" si="1"/>
        <v>2.1321437175109481</v>
      </c>
    </row>
    <row r="42" spans="3:12" x14ac:dyDescent="0.25">
      <c r="I42" s="24">
        <f t="shared" si="2"/>
        <v>4</v>
      </c>
      <c r="J42">
        <f t="shared" si="0"/>
        <v>0.39947952740438109</v>
      </c>
      <c r="K42">
        <f t="shared" si="0"/>
        <v>-2.1500167163581581</v>
      </c>
      <c r="L42" s="27">
        <f t="shared" si="1"/>
        <v>2.1868140692419975</v>
      </c>
    </row>
    <row r="43" spans="3:12" x14ac:dyDescent="0.25">
      <c r="I43" s="24">
        <f t="shared" si="2"/>
        <v>4.1000000000000005</v>
      </c>
      <c r="J43">
        <f t="shared" si="0"/>
        <v>0.40946651558949065</v>
      </c>
      <c r="K43">
        <f t="shared" si="0"/>
        <v>-2.2037671342671121</v>
      </c>
      <c r="L43" s="27">
        <f t="shared" si="1"/>
        <v>2.2414844209730473</v>
      </c>
    </row>
    <row r="44" spans="3:12" x14ac:dyDescent="0.25">
      <c r="I44" s="24">
        <f t="shared" si="2"/>
        <v>4.2</v>
      </c>
      <c r="J44">
        <f t="shared" si="0"/>
        <v>0.41945350377460022</v>
      </c>
      <c r="K44">
        <f t="shared" si="0"/>
        <v>-2.2575175521760666</v>
      </c>
      <c r="L44" s="27">
        <f t="shared" si="1"/>
        <v>2.2961547727040981</v>
      </c>
    </row>
    <row r="45" spans="3:12" x14ac:dyDescent="0.25">
      <c r="I45" s="24">
        <f t="shared" si="2"/>
        <v>4.3</v>
      </c>
      <c r="J45">
        <f t="shared" si="0"/>
        <v>0.42944049195970968</v>
      </c>
      <c r="K45">
        <f t="shared" si="0"/>
        <v>-2.3112679700850203</v>
      </c>
      <c r="L45" s="27">
        <f t="shared" si="1"/>
        <v>2.3508251244351479</v>
      </c>
    </row>
    <row r="46" spans="3:12" x14ac:dyDescent="0.25">
      <c r="I46" s="24">
        <f t="shared" si="2"/>
        <v>4.4000000000000004</v>
      </c>
      <c r="J46">
        <f t="shared" si="0"/>
        <v>0.43942748014481925</v>
      </c>
      <c r="K46">
        <f t="shared" si="0"/>
        <v>-2.3650183879939743</v>
      </c>
      <c r="L46" s="27">
        <f t="shared" si="1"/>
        <v>2.4054954761661977</v>
      </c>
    </row>
    <row r="47" spans="3:12" x14ac:dyDescent="0.25">
      <c r="I47" s="24">
        <f t="shared" si="2"/>
        <v>4.5</v>
      </c>
      <c r="J47">
        <f t="shared" si="0"/>
        <v>0.44941446832992871</v>
      </c>
      <c r="K47">
        <f t="shared" si="0"/>
        <v>-2.418768805902928</v>
      </c>
      <c r="L47" s="27">
        <f t="shared" si="1"/>
        <v>2.4601658278972476</v>
      </c>
    </row>
    <row r="48" spans="3:12" x14ac:dyDescent="0.25">
      <c r="I48" s="24">
        <f t="shared" si="2"/>
        <v>4.6000000000000005</v>
      </c>
      <c r="J48">
        <f t="shared" si="0"/>
        <v>0.45940145651503833</v>
      </c>
      <c r="K48">
        <f t="shared" si="0"/>
        <v>-2.4725192238118825</v>
      </c>
      <c r="L48" s="27">
        <f t="shared" si="1"/>
        <v>2.5148361796282979</v>
      </c>
    </row>
    <row r="49" spans="9:12" x14ac:dyDescent="0.25">
      <c r="I49" s="24">
        <f t="shared" si="2"/>
        <v>4.7</v>
      </c>
      <c r="J49">
        <f t="shared" si="0"/>
        <v>0.46938844470014779</v>
      </c>
      <c r="K49">
        <f t="shared" si="0"/>
        <v>-2.5262696417208361</v>
      </c>
      <c r="L49" s="27">
        <f t="shared" si="1"/>
        <v>2.5695065313593473</v>
      </c>
    </row>
    <row r="50" spans="9:12" x14ac:dyDescent="0.25">
      <c r="I50" s="24">
        <f t="shared" si="2"/>
        <v>4.8000000000000007</v>
      </c>
      <c r="J50">
        <f t="shared" si="0"/>
        <v>0.47937543288525736</v>
      </c>
      <c r="K50">
        <f t="shared" si="0"/>
        <v>-2.5800200596297902</v>
      </c>
      <c r="L50" s="27">
        <f t="shared" si="1"/>
        <v>2.6241768830903975</v>
      </c>
    </row>
    <row r="51" spans="9:12" x14ac:dyDescent="0.25">
      <c r="I51" s="24">
        <f t="shared" si="2"/>
        <v>4.9000000000000004</v>
      </c>
      <c r="J51">
        <f t="shared" si="0"/>
        <v>0.48936242107036693</v>
      </c>
      <c r="K51">
        <f t="shared" si="0"/>
        <v>-2.6337704775387443</v>
      </c>
      <c r="L51" s="27">
        <f t="shared" si="1"/>
        <v>2.6788472348214478</v>
      </c>
    </row>
    <row r="52" spans="9:12" x14ac:dyDescent="0.25">
      <c r="I52" s="24">
        <f t="shared" si="2"/>
        <v>5</v>
      </c>
      <c r="J52">
        <f t="shared" si="0"/>
        <v>0.49934940925547638</v>
      </c>
      <c r="K52">
        <f t="shared" si="0"/>
        <v>-2.6875208954476979</v>
      </c>
      <c r="L52" s="27">
        <f t="shared" si="1"/>
        <v>2.7335175865524972</v>
      </c>
    </row>
    <row r="53" spans="9:12" x14ac:dyDescent="0.25">
      <c r="I53" s="24">
        <f t="shared" si="2"/>
        <v>5.1000000000000005</v>
      </c>
      <c r="J53">
        <f t="shared" si="0"/>
        <v>0.5093363974405859</v>
      </c>
      <c r="K53">
        <f t="shared" si="0"/>
        <v>-2.741271313356652</v>
      </c>
      <c r="L53" s="27">
        <f t="shared" si="1"/>
        <v>2.7881879382835471</v>
      </c>
    </row>
    <row r="54" spans="9:12" x14ac:dyDescent="0.25">
      <c r="I54" s="24">
        <f t="shared" si="2"/>
        <v>5.2</v>
      </c>
      <c r="J54">
        <f t="shared" si="0"/>
        <v>0.51932338562569536</v>
      </c>
      <c r="K54">
        <f t="shared" si="0"/>
        <v>-2.7950217312656056</v>
      </c>
      <c r="L54" s="27">
        <f t="shared" si="1"/>
        <v>2.8428582900145969</v>
      </c>
    </row>
    <row r="55" spans="9:12" x14ac:dyDescent="0.25">
      <c r="I55" s="24">
        <f t="shared" si="2"/>
        <v>5.3000000000000007</v>
      </c>
      <c r="J55">
        <f t="shared" si="0"/>
        <v>0.52931037381080503</v>
      </c>
      <c r="K55">
        <f t="shared" si="0"/>
        <v>-2.8487721491745601</v>
      </c>
      <c r="L55" s="27">
        <f t="shared" si="1"/>
        <v>2.8975286417456476</v>
      </c>
    </row>
    <row r="56" spans="9:12" x14ac:dyDescent="0.25">
      <c r="I56" s="24">
        <f t="shared" si="2"/>
        <v>5.4</v>
      </c>
      <c r="J56">
        <f t="shared" si="0"/>
        <v>0.53929736199591449</v>
      </c>
      <c r="K56">
        <f t="shared" si="0"/>
        <v>-2.9025225670835137</v>
      </c>
      <c r="L56" s="27">
        <f t="shared" si="1"/>
        <v>2.952198993476697</v>
      </c>
    </row>
    <row r="57" spans="9:12" x14ac:dyDescent="0.25">
      <c r="I57" s="24">
        <f t="shared" si="2"/>
        <v>5.5</v>
      </c>
      <c r="J57">
        <f t="shared" si="0"/>
        <v>0.54928435018102395</v>
      </c>
      <c r="K57">
        <f t="shared" si="0"/>
        <v>-2.9562729849924674</v>
      </c>
      <c r="L57" s="27">
        <f t="shared" si="1"/>
        <v>3.0068693452077464</v>
      </c>
    </row>
    <row r="58" spans="9:12" x14ac:dyDescent="0.25">
      <c r="I58" s="24">
        <f t="shared" si="2"/>
        <v>5.6000000000000005</v>
      </c>
      <c r="J58">
        <f t="shared" si="0"/>
        <v>0.55927133836613363</v>
      </c>
      <c r="K58">
        <f t="shared" si="0"/>
        <v>-3.0100234029014219</v>
      </c>
      <c r="L58" s="27">
        <f t="shared" si="1"/>
        <v>3.0615396969387971</v>
      </c>
    </row>
    <row r="59" spans="9:12" x14ac:dyDescent="0.25">
      <c r="I59" s="24">
        <f t="shared" si="2"/>
        <v>5.7</v>
      </c>
      <c r="J59">
        <f t="shared" si="0"/>
        <v>0.56925832655124309</v>
      </c>
      <c r="K59">
        <f t="shared" si="0"/>
        <v>-3.0637738208103755</v>
      </c>
      <c r="L59" s="27">
        <f t="shared" si="1"/>
        <v>3.116210048669847</v>
      </c>
    </row>
    <row r="60" spans="9:12" x14ac:dyDescent="0.25">
      <c r="I60" s="24">
        <f t="shared" si="2"/>
        <v>5.8000000000000007</v>
      </c>
      <c r="J60">
        <f t="shared" si="0"/>
        <v>0.57924531473635266</v>
      </c>
      <c r="K60">
        <f t="shared" si="0"/>
        <v>-3.1175242387193296</v>
      </c>
      <c r="L60" s="27">
        <f t="shared" si="1"/>
        <v>3.1708804004008968</v>
      </c>
    </row>
    <row r="61" spans="9:12" x14ac:dyDescent="0.25">
      <c r="I61" s="24">
        <f t="shared" si="2"/>
        <v>5.9</v>
      </c>
      <c r="J61">
        <f t="shared" si="0"/>
        <v>0.58923230292146223</v>
      </c>
      <c r="K61">
        <f t="shared" si="0"/>
        <v>-3.1712746566282837</v>
      </c>
      <c r="L61" s="27">
        <f t="shared" si="1"/>
        <v>3.2255507521319466</v>
      </c>
    </row>
    <row r="62" spans="9:12" x14ac:dyDescent="0.25">
      <c r="I62" s="24">
        <f t="shared" si="2"/>
        <v>6</v>
      </c>
      <c r="J62">
        <f t="shared" si="0"/>
        <v>0.59921929110657168</v>
      </c>
      <c r="K62">
        <f t="shared" si="0"/>
        <v>-3.2250250745372373</v>
      </c>
      <c r="L62" s="27">
        <f t="shared" si="1"/>
        <v>3.2802211038629965</v>
      </c>
    </row>
    <row r="63" spans="9:12" x14ac:dyDescent="0.25">
      <c r="I63" s="24">
        <f t="shared" si="2"/>
        <v>6.1000000000000005</v>
      </c>
      <c r="J63">
        <f t="shared" si="0"/>
        <v>0.60920627929168125</v>
      </c>
      <c r="K63">
        <f t="shared" si="0"/>
        <v>-3.2787754924461914</v>
      </c>
      <c r="L63" s="27">
        <f t="shared" si="1"/>
        <v>3.3348914555940463</v>
      </c>
    </row>
    <row r="64" spans="9:12" x14ac:dyDescent="0.25">
      <c r="I64" s="24">
        <f t="shared" si="2"/>
        <v>6.2</v>
      </c>
      <c r="J64">
        <f t="shared" si="0"/>
        <v>0.61919326747679071</v>
      </c>
      <c r="K64">
        <f t="shared" si="0"/>
        <v>-3.332525910355145</v>
      </c>
      <c r="L64" s="27">
        <f t="shared" si="1"/>
        <v>3.3895618073250966</v>
      </c>
    </row>
    <row r="65" spans="9:12" x14ac:dyDescent="0.25">
      <c r="I65" s="24">
        <f t="shared" si="2"/>
        <v>6.3000000000000007</v>
      </c>
      <c r="J65">
        <f t="shared" si="0"/>
        <v>0.62918025566190028</v>
      </c>
      <c r="K65">
        <f t="shared" si="0"/>
        <v>-3.3862763282640995</v>
      </c>
      <c r="L65" s="27">
        <f t="shared" si="1"/>
        <v>3.4442321590561469</v>
      </c>
    </row>
    <row r="66" spans="9:12" x14ac:dyDescent="0.25">
      <c r="I66" s="24">
        <f t="shared" si="2"/>
        <v>6.4</v>
      </c>
      <c r="J66">
        <f t="shared" ref="J66:K129" si="6">D$29*($I66/1000)+D$18*(($I66/1000)-($D$8/1000))*(($I66/1000)&gt;($D$8/1000))+D$19*(($I66/1000)-($D$9/1000))*(($I66/1000)&gt;($D$9/1000))+D$20*(($I66/1000)-($D$10/1000))*(($I66/1000)&gt;($D$10/1000))+D$21*(($I66/1000)-($D$11/1000))*(($I66/1000)&gt;($D$11/1000))</f>
        <v>0.63916724384700974</v>
      </c>
      <c r="K66">
        <f t="shared" si="6"/>
        <v>-3.4400267461730532</v>
      </c>
      <c r="L66" s="27">
        <f t="shared" ref="L66:L129" si="7">SQRT((J66^2)+(K66^2))</f>
        <v>3.4989025107871963</v>
      </c>
    </row>
    <row r="67" spans="9:12" x14ac:dyDescent="0.25">
      <c r="I67" s="24">
        <f t="shared" ref="I67:I130" si="8">IF((ROW(A65)*$F$2)&lt;=$D$5, ROW(A65)*$F$2,NA())</f>
        <v>6.5</v>
      </c>
      <c r="J67">
        <f t="shared" si="6"/>
        <v>0.64915423203211919</v>
      </c>
      <c r="K67">
        <f t="shared" si="6"/>
        <v>-3.4937771640820068</v>
      </c>
      <c r="L67" s="27">
        <f t="shared" si="7"/>
        <v>3.5535728625182457</v>
      </c>
    </row>
    <row r="68" spans="9:12" x14ac:dyDescent="0.25">
      <c r="I68" s="24">
        <f t="shared" si="8"/>
        <v>6.6000000000000005</v>
      </c>
      <c r="J68">
        <f t="shared" si="6"/>
        <v>0.65914122021722887</v>
      </c>
      <c r="K68">
        <f t="shared" si="6"/>
        <v>-3.5475275819909613</v>
      </c>
      <c r="L68" s="27">
        <f t="shared" si="7"/>
        <v>3.6082432142492964</v>
      </c>
    </row>
    <row r="69" spans="9:12" x14ac:dyDescent="0.25">
      <c r="I69" s="24">
        <f t="shared" si="8"/>
        <v>6.7</v>
      </c>
      <c r="J69">
        <f t="shared" si="6"/>
        <v>0.66912820840233833</v>
      </c>
      <c r="K69">
        <f t="shared" si="6"/>
        <v>-3.6012779998999149</v>
      </c>
      <c r="L69" s="27">
        <f t="shared" si="7"/>
        <v>3.6629135659803462</v>
      </c>
    </row>
    <row r="70" spans="9:12" x14ac:dyDescent="0.25">
      <c r="I70" s="24">
        <f t="shared" si="8"/>
        <v>6.8000000000000007</v>
      </c>
      <c r="J70">
        <f t="shared" si="6"/>
        <v>0.6791151965874479</v>
      </c>
      <c r="K70">
        <f t="shared" si="6"/>
        <v>-3.655028417808869</v>
      </c>
      <c r="L70" s="27">
        <f t="shared" si="7"/>
        <v>3.7175839177113965</v>
      </c>
    </row>
    <row r="71" spans="9:12" x14ac:dyDescent="0.25">
      <c r="I71" s="24">
        <f t="shared" si="8"/>
        <v>6.9</v>
      </c>
      <c r="J71">
        <f t="shared" si="6"/>
        <v>0.68910218477255747</v>
      </c>
      <c r="K71">
        <f t="shared" si="6"/>
        <v>-3.7087788357178231</v>
      </c>
      <c r="L71" s="27">
        <f t="shared" si="7"/>
        <v>3.7722542694424464</v>
      </c>
    </row>
    <row r="72" spans="9:12" x14ac:dyDescent="0.25">
      <c r="I72" s="24">
        <f t="shared" si="8"/>
        <v>7</v>
      </c>
      <c r="J72">
        <f t="shared" si="6"/>
        <v>0.69908917295766693</v>
      </c>
      <c r="K72">
        <f t="shared" si="6"/>
        <v>-3.7625292536267767</v>
      </c>
      <c r="L72" s="27">
        <f t="shared" si="7"/>
        <v>3.8269246211734957</v>
      </c>
    </row>
    <row r="73" spans="9:12" x14ac:dyDescent="0.25">
      <c r="I73" s="24">
        <f t="shared" si="8"/>
        <v>7.1000000000000005</v>
      </c>
      <c r="J73">
        <f t="shared" si="6"/>
        <v>0.7090761611427765</v>
      </c>
      <c r="K73">
        <f t="shared" si="6"/>
        <v>-3.8162796715357312</v>
      </c>
      <c r="L73" s="27">
        <f t="shared" si="7"/>
        <v>3.8815949729045465</v>
      </c>
    </row>
    <row r="74" spans="9:12" x14ac:dyDescent="0.25">
      <c r="I74" s="24">
        <f t="shared" si="8"/>
        <v>7.2</v>
      </c>
      <c r="J74">
        <f t="shared" si="6"/>
        <v>0.71906314932788595</v>
      </c>
      <c r="K74">
        <f t="shared" si="6"/>
        <v>-3.8700300894446849</v>
      </c>
      <c r="L74" s="27">
        <f t="shared" si="7"/>
        <v>3.9362653246355959</v>
      </c>
    </row>
    <row r="75" spans="9:12" x14ac:dyDescent="0.25">
      <c r="I75" s="24">
        <f t="shared" si="8"/>
        <v>7.3000000000000007</v>
      </c>
      <c r="J75">
        <f t="shared" si="6"/>
        <v>0.72905013751299563</v>
      </c>
      <c r="K75">
        <f t="shared" si="6"/>
        <v>-3.9237805073536394</v>
      </c>
      <c r="L75" s="27">
        <f t="shared" si="7"/>
        <v>3.9909356763666466</v>
      </c>
    </row>
    <row r="76" spans="9:12" x14ac:dyDescent="0.25">
      <c r="I76" s="24">
        <f t="shared" si="8"/>
        <v>7.4</v>
      </c>
      <c r="J76">
        <f t="shared" si="6"/>
        <v>0.73903712569810509</v>
      </c>
      <c r="K76">
        <f t="shared" si="6"/>
        <v>-3.977530925262593</v>
      </c>
      <c r="L76" s="27">
        <f t="shared" si="7"/>
        <v>4.045606028097696</v>
      </c>
    </row>
    <row r="77" spans="9:12" x14ac:dyDescent="0.25">
      <c r="I77" s="24">
        <f t="shared" si="8"/>
        <v>7.5</v>
      </c>
      <c r="J77">
        <f t="shared" si="6"/>
        <v>0.74902411388321455</v>
      </c>
      <c r="K77">
        <f t="shared" si="6"/>
        <v>-4.0312813431715462</v>
      </c>
      <c r="L77" s="27">
        <f t="shared" si="7"/>
        <v>4.1002763798287454</v>
      </c>
    </row>
    <row r="78" spans="9:12" x14ac:dyDescent="0.25">
      <c r="I78" s="24">
        <f t="shared" si="8"/>
        <v>7.6000000000000005</v>
      </c>
      <c r="J78">
        <f t="shared" si="6"/>
        <v>0.75901110206832412</v>
      </c>
      <c r="K78">
        <f t="shared" si="6"/>
        <v>-4.0850317610805007</v>
      </c>
      <c r="L78" s="27">
        <f t="shared" si="7"/>
        <v>4.1549467315597957</v>
      </c>
    </row>
    <row r="79" spans="9:12" x14ac:dyDescent="0.25">
      <c r="I79" s="24">
        <f t="shared" si="8"/>
        <v>7.7</v>
      </c>
      <c r="J79">
        <f t="shared" si="6"/>
        <v>0.76899809025343357</v>
      </c>
      <c r="K79">
        <f t="shared" si="6"/>
        <v>-4.1387821789894543</v>
      </c>
      <c r="L79" s="27">
        <f t="shared" si="7"/>
        <v>4.2096170832908451</v>
      </c>
    </row>
    <row r="80" spans="9:12" x14ac:dyDescent="0.25">
      <c r="I80" s="24">
        <f t="shared" si="8"/>
        <v>7.8000000000000007</v>
      </c>
      <c r="J80">
        <f t="shared" si="6"/>
        <v>0.77898507843854314</v>
      </c>
      <c r="K80">
        <f t="shared" si="6"/>
        <v>-4.1925325968984088</v>
      </c>
      <c r="L80" s="27">
        <f t="shared" si="7"/>
        <v>4.2642874350218962</v>
      </c>
    </row>
    <row r="81" spans="7:12" x14ac:dyDescent="0.25">
      <c r="I81" s="24">
        <f t="shared" si="8"/>
        <v>7.9</v>
      </c>
      <c r="J81">
        <f t="shared" si="6"/>
        <v>0.78897206662365271</v>
      </c>
      <c r="K81">
        <f t="shared" si="6"/>
        <v>-4.2462830148073625</v>
      </c>
      <c r="L81" s="27">
        <f t="shared" si="7"/>
        <v>4.3189577867529456</v>
      </c>
    </row>
    <row r="82" spans="7:12" x14ac:dyDescent="0.25">
      <c r="I82" s="24">
        <f t="shared" si="8"/>
        <v>8</v>
      </c>
      <c r="J82">
        <f t="shared" si="6"/>
        <v>0.79895905480876217</v>
      </c>
      <c r="K82">
        <f t="shared" si="6"/>
        <v>-4.3000334327163161</v>
      </c>
      <c r="L82" s="27">
        <f t="shared" si="7"/>
        <v>4.373628138483995</v>
      </c>
    </row>
    <row r="83" spans="7:12" x14ac:dyDescent="0.25">
      <c r="I83" s="24">
        <f t="shared" si="8"/>
        <v>8.1</v>
      </c>
      <c r="J83">
        <f t="shared" si="6"/>
        <v>0.80894604299387163</v>
      </c>
      <c r="K83">
        <f t="shared" si="6"/>
        <v>-4.3537838506252697</v>
      </c>
      <c r="L83" s="27">
        <f t="shared" si="7"/>
        <v>4.4282984902150444</v>
      </c>
    </row>
    <row r="84" spans="7:12" x14ac:dyDescent="0.25">
      <c r="I84" s="24">
        <f t="shared" si="8"/>
        <v>8.2000000000000011</v>
      </c>
      <c r="J84">
        <f t="shared" si="6"/>
        <v>0.81893303117898131</v>
      </c>
      <c r="K84">
        <f t="shared" si="6"/>
        <v>-4.4075342685342243</v>
      </c>
      <c r="L84" s="27">
        <f t="shared" si="7"/>
        <v>4.4829688419460947</v>
      </c>
    </row>
    <row r="85" spans="7:12" x14ac:dyDescent="0.25">
      <c r="I85" s="24">
        <f t="shared" si="8"/>
        <v>8.3000000000000007</v>
      </c>
      <c r="J85">
        <f t="shared" si="6"/>
        <v>0.82892001936409077</v>
      </c>
      <c r="K85">
        <f t="shared" si="6"/>
        <v>-4.4612846864431779</v>
      </c>
      <c r="L85" s="27">
        <f t="shared" si="7"/>
        <v>4.537639193677145</v>
      </c>
    </row>
    <row r="86" spans="7:12" x14ac:dyDescent="0.25">
      <c r="I86" s="24">
        <f t="shared" si="8"/>
        <v>8.4</v>
      </c>
      <c r="J86">
        <f t="shared" si="6"/>
        <v>0.83890700754920045</v>
      </c>
      <c r="K86">
        <f t="shared" si="6"/>
        <v>-4.5150351043521333</v>
      </c>
      <c r="L86" s="27">
        <f t="shared" si="7"/>
        <v>4.5923095454081961</v>
      </c>
    </row>
    <row r="87" spans="7:12" x14ac:dyDescent="0.25">
      <c r="G87" t="s">
        <v>30</v>
      </c>
      <c r="I87" s="24">
        <f t="shared" si="8"/>
        <v>8.5</v>
      </c>
      <c r="J87">
        <f t="shared" si="6"/>
        <v>0.8488939957343099</v>
      </c>
      <c r="K87">
        <f t="shared" si="6"/>
        <v>-4.5687855222610869</v>
      </c>
      <c r="L87" s="27">
        <f t="shared" si="7"/>
        <v>4.6469798971392455</v>
      </c>
    </row>
    <row r="88" spans="7:12" x14ac:dyDescent="0.25">
      <c r="I88" s="24">
        <f t="shared" si="8"/>
        <v>8.6</v>
      </c>
      <c r="J88">
        <f t="shared" si="6"/>
        <v>0.85888098391941936</v>
      </c>
      <c r="K88">
        <f t="shared" si="6"/>
        <v>-4.6225359401700405</v>
      </c>
      <c r="L88" s="27">
        <f t="shared" si="7"/>
        <v>4.7016502488702958</v>
      </c>
    </row>
    <row r="89" spans="7:12" x14ac:dyDescent="0.25">
      <c r="I89" s="24">
        <f t="shared" si="8"/>
        <v>8.7000000000000011</v>
      </c>
      <c r="J89">
        <f t="shared" si="6"/>
        <v>0.86886797210452893</v>
      </c>
      <c r="K89">
        <f t="shared" si="6"/>
        <v>-4.6762863580789951</v>
      </c>
      <c r="L89" s="27">
        <f t="shared" si="7"/>
        <v>4.7563206006013461</v>
      </c>
    </row>
    <row r="90" spans="7:12" x14ac:dyDescent="0.25">
      <c r="I90" s="24">
        <f t="shared" si="8"/>
        <v>8.8000000000000007</v>
      </c>
      <c r="J90">
        <f t="shared" si="6"/>
        <v>0.8788549602896385</v>
      </c>
      <c r="K90">
        <f t="shared" si="6"/>
        <v>-4.7300367759879487</v>
      </c>
      <c r="L90" s="27">
        <f t="shared" si="7"/>
        <v>4.8109909523323955</v>
      </c>
    </row>
    <row r="91" spans="7:12" x14ac:dyDescent="0.25">
      <c r="I91" s="24">
        <f t="shared" si="8"/>
        <v>8.9</v>
      </c>
      <c r="J91">
        <f t="shared" si="6"/>
        <v>0.88884194847474796</v>
      </c>
      <c r="K91">
        <f t="shared" si="6"/>
        <v>-4.7837871938969023</v>
      </c>
      <c r="L91" s="27">
        <f t="shared" si="7"/>
        <v>4.8656613040634449</v>
      </c>
    </row>
    <row r="92" spans="7:12" x14ac:dyDescent="0.25">
      <c r="I92" s="24">
        <f t="shared" si="8"/>
        <v>9</v>
      </c>
      <c r="J92">
        <f t="shared" si="6"/>
        <v>0.89882893665985741</v>
      </c>
      <c r="K92">
        <f t="shared" si="6"/>
        <v>-4.837537611805856</v>
      </c>
      <c r="L92" s="27">
        <f t="shared" si="7"/>
        <v>4.9203316557944952</v>
      </c>
    </row>
    <row r="93" spans="7:12" x14ac:dyDescent="0.25">
      <c r="I93" s="24">
        <f t="shared" si="8"/>
        <v>9.1</v>
      </c>
      <c r="J93">
        <f t="shared" si="6"/>
        <v>0.90881592484496698</v>
      </c>
      <c r="K93">
        <f t="shared" si="6"/>
        <v>-4.8912880297148105</v>
      </c>
      <c r="L93" s="27">
        <f t="shared" si="7"/>
        <v>4.9750020075255454</v>
      </c>
    </row>
    <row r="94" spans="7:12" x14ac:dyDescent="0.25">
      <c r="I94" s="24">
        <f t="shared" si="8"/>
        <v>9.2000000000000011</v>
      </c>
      <c r="J94">
        <f t="shared" si="6"/>
        <v>0.91880291303007666</v>
      </c>
      <c r="K94">
        <f t="shared" si="6"/>
        <v>-4.945038447623765</v>
      </c>
      <c r="L94" s="27">
        <f t="shared" si="7"/>
        <v>5.0296723592565957</v>
      </c>
    </row>
    <row r="95" spans="7:12" x14ac:dyDescent="0.25">
      <c r="I95" s="24">
        <f t="shared" si="8"/>
        <v>9.3000000000000007</v>
      </c>
      <c r="J95">
        <f t="shared" si="6"/>
        <v>0.92878990121518612</v>
      </c>
      <c r="K95">
        <f t="shared" si="6"/>
        <v>-4.9987888655327186</v>
      </c>
      <c r="L95" s="27">
        <f t="shared" si="7"/>
        <v>5.0843427109876451</v>
      </c>
    </row>
    <row r="96" spans="7:12" x14ac:dyDescent="0.25">
      <c r="I96" s="24">
        <f t="shared" si="8"/>
        <v>9.4</v>
      </c>
      <c r="J96">
        <f t="shared" si="6"/>
        <v>0.93877688940029558</v>
      </c>
      <c r="K96">
        <f t="shared" si="6"/>
        <v>-5.0525392834416722</v>
      </c>
      <c r="L96" s="27">
        <f t="shared" si="7"/>
        <v>5.1390130627186945</v>
      </c>
    </row>
    <row r="97" spans="9:12" x14ac:dyDescent="0.25">
      <c r="I97" s="24">
        <f t="shared" si="8"/>
        <v>9.5</v>
      </c>
      <c r="J97">
        <f t="shared" si="6"/>
        <v>0.94876387758540504</v>
      </c>
      <c r="K97">
        <f t="shared" si="6"/>
        <v>-5.1062897013506259</v>
      </c>
      <c r="L97" s="27">
        <f t="shared" si="7"/>
        <v>5.1936834144497448</v>
      </c>
    </row>
    <row r="98" spans="9:12" x14ac:dyDescent="0.25">
      <c r="I98" s="24">
        <f t="shared" si="8"/>
        <v>9.6000000000000014</v>
      </c>
      <c r="J98">
        <f t="shared" si="6"/>
        <v>0.95875086577051472</v>
      </c>
      <c r="K98">
        <f t="shared" si="6"/>
        <v>-5.1600401192595804</v>
      </c>
      <c r="L98" s="27">
        <f t="shared" si="7"/>
        <v>5.2483537661807951</v>
      </c>
    </row>
    <row r="99" spans="9:12" x14ac:dyDescent="0.25">
      <c r="I99" s="24">
        <f t="shared" si="8"/>
        <v>9.7000000000000011</v>
      </c>
      <c r="J99">
        <f t="shared" si="6"/>
        <v>0.96873785395562417</v>
      </c>
      <c r="K99">
        <f t="shared" si="6"/>
        <v>-5.213790537168534</v>
      </c>
      <c r="L99" s="27">
        <f t="shared" si="7"/>
        <v>5.3030241179118445</v>
      </c>
    </row>
    <row r="100" spans="9:12" x14ac:dyDescent="0.25">
      <c r="I100" s="24">
        <f t="shared" si="8"/>
        <v>9.8000000000000007</v>
      </c>
      <c r="J100">
        <f t="shared" si="6"/>
        <v>0.97872484214073385</v>
      </c>
      <c r="K100">
        <f t="shared" si="6"/>
        <v>-5.2675409550774885</v>
      </c>
      <c r="L100" s="27">
        <f t="shared" si="7"/>
        <v>5.3576944696428956</v>
      </c>
    </row>
    <row r="101" spans="9:12" x14ac:dyDescent="0.25">
      <c r="I101" s="24">
        <f t="shared" si="8"/>
        <v>9.9</v>
      </c>
      <c r="J101">
        <f t="shared" si="6"/>
        <v>0.98871183032584331</v>
      </c>
      <c r="K101">
        <f t="shared" si="6"/>
        <v>-5.3212913729864422</v>
      </c>
      <c r="L101" s="27">
        <f t="shared" si="7"/>
        <v>5.412364821373945</v>
      </c>
    </row>
    <row r="102" spans="9:12" x14ac:dyDescent="0.25">
      <c r="I102" s="24">
        <f t="shared" si="8"/>
        <v>10</v>
      </c>
      <c r="J102">
        <f t="shared" si="6"/>
        <v>0.99869881851095277</v>
      </c>
      <c r="K102">
        <f t="shared" si="6"/>
        <v>-5.3750417908953958</v>
      </c>
      <c r="L102" s="27">
        <f t="shared" si="7"/>
        <v>5.4670351731049944</v>
      </c>
    </row>
    <row r="103" spans="9:12" x14ac:dyDescent="0.25">
      <c r="I103" s="24">
        <f t="shared" si="8"/>
        <v>10.100000000000001</v>
      </c>
      <c r="J103">
        <f t="shared" si="6"/>
        <v>1.0086858066960624</v>
      </c>
      <c r="K103">
        <f t="shared" si="6"/>
        <v>-5.4287922088043503</v>
      </c>
      <c r="L103" s="27">
        <f t="shared" si="7"/>
        <v>5.5217055248360447</v>
      </c>
    </row>
    <row r="104" spans="9:12" x14ac:dyDescent="0.25">
      <c r="I104" s="24">
        <f t="shared" si="8"/>
        <v>10.200000000000001</v>
      </c>
      <c r="J104">
        <f t="shared" si="6"/>
        <v>1.0186727948811718</v>
      </c>
      <c r="K104">
        <f t="shared" si="6"/>
        <v>-5.4825426267133039</v>
      </c>
      <c r="L104" s="27">
        <f t="shared" si="7"/>
        <v>5.5763758765670941</v>
      </c>
    </row>
    <row r="105" spans="9:12" x14ac:dyDescent="0.25">
      <c r="I105" s="24">
        <f t="shared" si="8"/>
        <v>10.3</v>
      </c>
      <c r="J105">
        <f t="shared" si="6"/>
        <v>1.0286597830662814</v>
      </c>
      <c r="K105">
        <f t="shared" si="6"/>
        <v>-5.5362930446222576</v>
      </c>
      <c r="L105" s="27">
        <f t="shared" si="7"/>
        <v>5.6310462282981444</v>
      </c>
    </row>
    <row r="106" spans="9:12" x14ac:dyDescent="0.25">
      <c r="I106" s="24">
        <f t="shared" si="8"/>
        <v>10.4</v>
      </c>
      <c r="J106">
        <f t="shared" si="6"/>
        <v>1.0386467712513907</v>
      </c>
      <c r="K106">
        <f t="shared" si="6"/>
        <v>-5.5900434625312112</v>
      </c>
      <c r="L106" s="27">
        <f t="shared" si="7"/>
        <v>5.6857165800291938</v>
      </c>
    </row>
    <row r="107" spans="9:12" x14ac:dyDescent="0.25">
      <c r="I107" s="24">
        <f t="shared" si="8"/>
        <v>10.5</v>
      </c>
      <c r="J107">
        <f t="shared" si="6"/>
        <v>1.0486337594365005</v>
      </c>
      <c r="K107">
        <f t="shared" si="6"/>
        <v>-5.6437938804401657</v>
      </c>
      <c r="L107" s="27">
        <f t="shared" si="7"/>
        <v>5.7403869317602441</v>
      </c>
    </row>
    <row r="108" spans="9:12" x14ac:dyDescent="0.25">
      <c r="I108" s="24">
        <f t="shared" si="8"/>
        <v>10.600000000000001</v>
      </c>
      <c r="J108">
        <f t="shared" si="6"/>
        <v>1.0586207476216101</v>
      </c>
      <c r="K108">
        <f t="shared" si="6"/>
        <v>-5.6975442983491202</v>
      </c>
      <c r="L108" s="27">
        <f t="shared" si="7"/>
        <v>5.7950572834912952</v>
      </c>
    </row>
    <row r="109" spans="9:12" x14ac:dyDescent="0.25">
      <c r="I109" s="24">
        <f t="shared" si="8"/>
        <v>10.700000000000001</v>
      </c>
      <c r="J109">
        <f t="shared" si="6"/>
        <v>1.0686077358067194</v>
      </c>
      <c r="K109">
        <f t="shared" si="6"/>
        <v>-5.7512947162580739</v>
      </c>
      <c r="L109" s="27">
        <f t="shared" si="7"/>
        <v>5.8497276352223446</v>
      </c>
    </row>
    <row r="110" spans="9:12" x14ac:dyDescent="0.25">
      <c r="I110" s="24">
        <f t="shared" si="8"/>
        <v>10.8</v>
      </c>
      <c r="J110">
        <f t="shared" si="6"/>
        <v>1.078594723991829</v>
      </c>
      <c r="K110">
        <f t="shared" si="6"/>
        <v>-5.8050451341670275</v>
      </c>
      <c r="L110" s="27">
        <f t="shared" si="7"/>
        <v>5.904397986953394</v>
      </c>
    </row>
    <row r="111" spans="9:12" x14ac:dyDescent="0.25">
      <c r="I111" s="24">
        <f t="shared" si="8"/>
        <v>10.9</v>
      </c>
      <c r="J111">
        <f t="shared" si="6"/>
        <v>1.0885817121769386</v>
      </c>
      <c r="K111">
        <f t="shared" si="6"/>
        <v>-5.8587955520759811</v>
      </c>
      <c r="L111" s="27">
        <f t="shared" si="7"/>
        <v>5.9590683386844434</v>
      </c>
    </row>
    <row r="112" spans="9:12" x14ac:dyDescent="0.25">
      <c r="I112" s="24">
        <f t="shared" si="8"/>
        <v>11</v>
      </c>
      <c r="J112">
        <f t="shared" si="6"/>
        <v>1.0985687003620479</v>
      </c>
      <c r="K112">
        <f t="shared" si="6"/>
        <v>-5.9125459699849348</v>
      </c>
      <c r="L112" s="27">
        <f t="shared" si="7"/>
        <v>6.0137386904154928</v>
      </c>
    </row>
    <row r="113" spans="9:12" x14ac:dyDescent="0.25">
      <c r="I113" s="24">
        <f t="shared" si="8"/>
        <v>11.100000000000001</v>
      </c>
      <c r="J113">
        <f t="shared" si="6"/>
        <v>1.1085556885471577</v>
      </c>
      <c r="K113">
        <f t="shared" si="6"/>
        <v>-5.9662963878938902</v>
      </c>
      <c r="L113" s="27">
        <f t="shared" si="7"/>
        <v>6.068409042146544</v>
      </c>
    </row>
    <row r="114" spans="9:12" x14ac:dyDescent="0.25">
      <c r="I114" s="24">
        <f t="shared" si="8"/>
        <v>11.200000000000001</v>
      </c>
      <c r="J114">
        <f t="shared" si="6"/>
        <v>1.1185426767322673</v>
      </c>
      <c r="K114">
        <f t="shared" si="6"/>
        <v>-6.0200468058028438</v>
      </c>
      <c r="L114" s="27">
        <f t="shared" si="7"/>
        <v>6.1230793938775943</v>
      </c>
    </row>
    <row r="115" spans="9:12" x14ac:dyDescent="0.25">
      <c r="I115" s="24">
        <f t="shared" si="8"/>
        <v>11.3</v>
      </c>
      <c r="J115">
        <f t="shared" si="6"/>
        <v>1.1285296649173766</v>
      </c>
      <c r="K115">
        <f t="shared" si="6"/>
        <v>-6.0737972237117974</v>
      </c>
      <c r="L115" s="27">
        <f t="shared" si="7"/>
        <v>6.1777497456086437</v>
      </c>
    </row>
    <row r="116" spans="9:12" x14ac:dyDescent="0.25">
      <c r="I116" s="24">
        <f t="shared" si="8"/>
        <v>11.4</v>
      </c>
      <c r="J116">
        <f t="shared" si="6"/>
        <v>1.1385166531024862</v>
      </c>
      <c r="K116">
        <f t="shared" si="6"/>
        <v>-6.1275476416207511</v>
      </c>
      <c r="L116" s="27">
        <f t="shared" si="7"/>
        <v>6.2324200973396939</v>
      </c>
    </row>
    <row r="117" spans="9:12" x14ac:dyDescent="0.25">
      <c r="I117" s="24">
        <f t="shared" si="8"/>
        <v>11.5</v>
      </c>
      <c r="J117">
        <f t="shared" si="6"/>
        <v>1.1485036412875955</v>
      </c>
      <c r="K117">
        <f t="shared" si="6"/>
        <v>-6.1812980595297047</v>
      </c>
      <c r="L117" s="27">
        <f t="shared" si="7"/>
        <v>6.2870904490707433</v>
      </c>
    </row>
    <row r="118" spans="9:12" x14ac:dyDescent="0.25">
      <c r="I118" s="24">
        <f t="shared" si="8"/>
        <v>11.600000000000001</v>
      </c>
      <c r="J118">
        <f t="shared" si="6"/>
        <v>1.1584906294727053</v>
      </c>
      <c r="K118">
        <f t="shared" si="6"/>
        <v>-6.2350484774386592</v>
      </c>
      <c r="L118" s="27">
        <f t="shared" si="7"/>
        <v>6.3417608008017936</v>
      </c>
    </row>
    <row r="119" spans="9:12" x14ac:dyDescent="0.25">
      <c r="I119" s="24">
        <f t="shared" si="8"/>
        <v>11.700000000000001</v>
      </c>
      <c r="J119">
        <f t="shared" si="6"/>
        <v>1.1684776176578147</v>
      </c>
      <c r="K119">
        <f t="shared" si="6"/>
        <v>-6.2887988953476128</v>
      </c>
      <c r="L119" s="27">
        <f t="shared" si="7"/>
        <v>6.396431152532843</v>
      </c>
    </row>
    <row r="120" spans="9:12" x14ac:dyDescent="0.25">
      <c r="I120" s="24">
        <f t="shared" si="8"/>
        <v>11.8</v>
      </c>
      <c r="J120">
        <f t="shared" si="6"/>
        <v>1.1784646058429245</v>
      </c>
      <c r="K120">
        <f t="shared" si="6"/>
        <v>-6.3425493132565673</v>
      </c>
      <c r="L120" s="27">
        <f t="shared" si="7"/>
        <v>6.4511015042638933</v>
      </c>
    </row>
    <row r="121" spans="9:12" x14ac:dyDescent="0.25">
      <c r="I121" s="24">
        <f t="shared" si="8"/>
        <v>11.9</v>
      </c>
      <c r="J121">
        <f t="shared" si="6"/>
        <v>1.1884515940280338</v>
      </c>
      <c r="K121">
        <f t="shared" si="6"/>
        <v>-6.396299731165521</v>
      </c>
      <c r="L121" s="27">
        <f t="shared" si="7"/>
        <v>6.5057718559949427</v>
      </c>
    </row>
    <row r="122" spans="9:12" x14ac:dyDescent="0.25">
      <c r="I122" s="24">
        <f t="shared" si="8"/>
        <v>12</v>
      </c>
      <c r="J122">
        <f t="shared" si="6"/>
        <v>1.1984385822131434</v>
      </c>
      <c r="K122">
        <f t="shared" si="6"/>
        <v>-6.4500501490744746</v>
      </c>
      <c r="L122" s="27">
        <f t="shared" si="7"/>
        <v>6.560442207725993</v>
      </c>
    </row>
    <row r="123" spans="9:12" x14ac:dyDescent="0.25">
      <c r="I123" s="24">
        <f t="shared" si="8"/>
        <v>12.100000000000001</v>
      </c>
      <c r="J123">
        <f t="shared" si="6"/>
        <v>1.2084255703982529</v>
      </c>
      <c r="K123">
        <f t="shared" si="6"/>
        <v>-6.5038005669834291</v>
      </c>
      <c r="L123" s="27">
        <f t="shared" si="7"/>
        <v>6.6151125594570432</v>
      </c>
    </row>
    <row r="124" spans="9:12" x14ac:dyDescent="0.25">
      <c r="I124" s="24">
        <f t="shared" si="8"/>
        <v>12.200000000000001</v>
      </c>
      <c r="J124">
        <f t="shared" si="6"/>
        <v>1.2184125585833625</v>
      </c>
      <c r="K124">
        <f t="shared" si="6"/>
        <v>-6.5575509848923828</v>
      </c>
      <c r="L124" s="27">
        <f t="shared" si="7"/>
        <v>6.6697829111880926</v>
      </c>
    </row>
    <row r="125" spans="9:12" x14ac:dyDescent="0.25">
      <c r="I125" s="24">
        <f t="shared" si="8"/>
        <v>12.3</v>
      </c>
      <c r="J125">
        <f t="shared" si="6"/>
        <v>1.2283995467684719</v>
      </c>
      <c r="K125">
        <f t="shared" si="6"/>
        <v>-6.6113014028013364</v>
      </c>
      <c r="L125" s="27">
        <f t="shared" si="7"/>
        <v>6.7244532629191429</v>
      </c>
    </row>
    <row r="126" spans="9:12" x14ac:dyDescent="0.25">
      <c r="I126" s="24">
        <f t="shared" si="8"/>
        <v>12.4</v>
      </c>
      <c r="J126">
        <f t="shared" si="6"/>
        <v>1.2383865349535814</v>
      </c>
      <c r="K126">
        <f t="shared" si="6"/>
        <v>-6.66505182071029</v>
      </c>
      <c r="L126" s="27">
        <f t="shared" si="7"/>
        <v>6.7791236146501932</v>
      </c>
    </row>
    <row r="127" spans="9:12" x14ac:dyDescent="0.25">
      <c r="I127" s="24">
        <f t="shared" si="8"/>
        <v>12.5</v>
      </c>
      <c r="J127">
        <f t="shared" si="6"/>
        <v>1.248373523138691</v>
      </c>
      <c r="K127">
        <f t="shared" si="6"/>
        <v>-6.7188022386192445</v>
      </c>
      <c r="L127" s="27">
        <f t="shared" si="7"/>
        <v>6.8337939663812426</v>
      </c>
    </row>
    <row r="128" spans="9:12" x14ac:dyDescent="0.25">
      <c r="I128" s="24">
        <f t="shared" si="8"/>
        <v>12.600000000000001</v>
      </c>
      <c r="J128">
        <f t="shared" si="6"/>
        <v>1.2583605113238006</v>
      </c>
      <c r="K128">
        <f t="shared" si="6"/>
        <v>-6.772552656528199</v>
      </c>
      <c r="L128" s="27">
        <f t="shared" si="7"/>
        <v>6.8884643181122938</v>
      </c>
    </row>
    <row r="129" spans="9:12" x14ac:dyDescent="0.25">
      <c r="I129" s="24">
        <f t="shared" si="8"/>
        <v>12.700000000000001</v>
      </c>
      <c r="J129">
        <f t="shared" si="6"/>
        <v>1.2683474995089101</v>
      </c>
      <c r="K129">
        <f t="shared" si="6"/>
        <v>-6.8263030744371527</v>
      </c>
      <c r="L129" s="27">
        <f t="shared" si="7"/>
        <v>6.9431346698433432</v>
      </c>
    </row>
    <row r="130" spans="9:12" x14ac:dyDescent="0.25">
      <c r="I130" s="24">
        <f t="shared" si="8"/>
        <v>12.8</v>
      </c>
      <c r="J130">
        <f t="shared" ref="J130:K193" si="9">D$29*($I130/1000)+D$18*(($I130/1000)-($D$8/1000))*(($I130/1000)&gt;($D$8/1000))+D$19*(($I130/1000)-($D$9/1000))*(($I130/1000)&gt;($D$9/1000))+D$20*(($I130/1000)-($D$10/1000))*(($I130/1000)&gt;($D$10/1000))+D$21*(($I130/1000)-($D$11/1000))*(($I130/1000)&gt;($D$11/1000))</f>
        <v>1.2783344876940195</v>
      </c>
      <c r="K130">
        <f t="shared" si="9"/>
        <v>-6.8800534923461063</v>
      </c>
      <c r="L130" s="27">
        <f t="shared" ref="L130:L193" si="10">SQRT((J130^2)+(K130^2))</f>
        <v>6.9978050215743925</v>
      </c>
    </row>
    <row r="131" spans="9:12" x14ac:dyDescent="0.25">
      <c r="I131" s="24">
        <f t="shared" ref="I131:I194" si="11">IF((ROW(A129)*$F$2)&lt;=$D$5, ROW(A129)*$F$2,NA())</f>
        <v>12.9</v>
      </c>
      <c r="J131">
        <f t="shared" si="9"/>
        <v>1.288321475879129</v>
      </c>
      <c r="K131">
        <f t="shared" si="9"/>
        <v>-6.9338039102550599</v>
      </c>
      <c r="L131" s="27">
        <f t="shared" si="10"/>
        <v>7.0524753733054419</v>
      </c>
    </row>
    <row r="132" spans="9:12" x14ac:dyDescent="0.25">
      <c r="I132" s="24">
        <f t="shared" si="11"/>
        <v>13</v>
      </c>
      <c r="J132">
        <f t="shared" si="9"/>
        <v>1.2983084640642384</v>
      </c>
      <c r="K132">
        <f t="shared" si="9"/>
        <v>-6.9875543281640136</v>
      </c>
      <c r="L132" s="27">
        <f t="shared" si="10"/>
        <v>7.1071457250364913</v>
      </c>
    </row>
    <row r="133" spans="9:12" x14ac:dyDescent="0.25">
      <c r="I133" s="24">
        <f t="shared" si="11"/>
        <v>13.100000000000001</v>
      </c>
      <c r="J133">
        <f t="shared" si="9"/>
        <v>1.3082954522493482</v>
      </c>
      <c r="K133">
        <f t="shared" si="9"/>
        <v>-7.041304746072969</v>
      </c>
      <c r="L133" s="27">
        <f t="shared" si="10"/>
        <v>7.1618160767675434</v>
      </c>
    </row>
    <row r="134" spans="9:12" x14ac:dyDescent="0.25">
      <c r="I134" s="24">
        <f t="shared" si="11"/>
        <v>13.200000000000001</v>
      </c>
      <c r="J134">
        <f t="shared" si="9"/>
        <v>1.3182824404344577</v>
      </c>
      <c r="K134">
        <f t="shared" si="9"/>
        <v>-7.0950551639819226</v>
      </c>
      <c r="L134" s="27">
        <f t="shared" si="10"/>
        <v>7.2164864284985928</v>
      </c>
    </row>
    <row r="135" spans="9:12" x14ac:dyDescent="0.25">
      <c r="I135" s="24">
        <f t="shared" si="11"/>
        <v>13.3</v>
      </c>
      <c r="J135">
        <f t="shared" si="9"/>
        <v>1.3282694286195673</v>
      </c>
      <c r="K135">
        <f t="shared" si="9"/>
        <v>-7.1488055818908762</v>
      </c>
      <c r="L135" s="27">
        <f t="shared" si="10"/>
        <v>7.2711567802296431</v>
      </c>
    </row>
    <row r="136" spans="9:12" x14ac:dyDescent="0.25">
      <c r="I136" s="24">
        <f t="shared" si="11"/>
        <v>13.4</v>
      </c>
      <c r="J136">
        <f t="shared" si="9"/>
        <v>1.3382564168046767</v>
      </c>
      <c r="K136">
        <f t="shared" si="9"/>
        <v>-7.2025559997998299</v>
      </c>
      <c r="L136" s="27">
        <f t="shared" si="10"/>
        <v>7.3258271319606925</v>
      </c>
    </row>
    <row r="137" spans="9:12" x14ac:dyDescent="0.25">
      <c r="I137" s="24">
        <f t="shared" si="11"/>
        <v>13.5</v>
      </c>
      <c r="J137">
        <f t="shared" si="9"/>
        <v>1.3482434049897862</v>
      </c>
      <c r="K137">
        <f t="shared" si="9"/>
        <v>-7.2563064177087835</v>
      </c>
      <c r="L137" s="27">
        <f t="shared" si="10"/>
        <v>7.3804974836917419</v>
      </c>
    </row>
    <row r="138" spans="9:12" x14ac:dyDescent="0.25">
      <c r="I138" s="24">
        <f t="shared" si="11"/>
        <v>13.600000000000001</v>
      </c>
      <c r="J138">
        <f t="shared" si="9"/>
        <v>1.3582303931748958</v>
      </c>
      <c r="K138">
        <f t="shared" si="9"/>
        <v>-7.310056835617738</v>
      </c>
      <c r="L138" s="27">
        <f t="shared" si="10"/>
        <v>7.435167835422793</v>
      </c>
    </row>
    <row r="139" spans="9:12" x14ac:dyDescent="0.25">
      <c r="I139" s="24">
        <f t="shared" si="11"/>
        <v>13.700000000000001</v>
      </c>
      <c r="J139">
        <f t="shared" si="9"/>
        <v>1.3682173813600054</v>
      </c>
      <c r="K139">
        <f t="shared" si="9"/>
        <v>-7.3638072535266916</v>
      </c>
      <c r="L139" s="27">
        <f t="shared" si="10"/>
        <v>7.4898381871538415</v>
      </c>
    </row>
    <row r="140" spans="9:12" x14ac:dyDescent="0.25">
      <c r="I140" s="24">
        <f t="shared" si="11"/>
        <v>13.8</v>
      </c>
      <c r="J140">
        <f t="shared" si="9"/>
        <v>1.3782043695451149</v>
      </c>
      <c r="K140">
        <f t="shared" si="9"/>
        <v>-7.4175576714356461</v>
      </c>
      <c r="L140" s="27">
        <f t="shared" si="10"/>
        <v>7.5445085388848927</v>
      </c>
    </row>
    <row r="141" spans="9:12" x14ac:dyDescent="0.25">
      <c r="I141" s="24">
        <f t="shared" si="11"/>
        <v>13.9</v>
      </c>
      <c r="J141">
        <f t="shared" si="9"/>
        <v>1.3881913577302243</v>
      </c>
      <c r="K141">
        <f t="shared" si="9"/>
        <v>-7.4713080893445998</v>
      </c>
      <c r="L141" s="27">
        <f t="shared" si="10"/>
        <v>7.5991788906159412</v>
      </c>
    </row>
    <row r="142" spans="9:12" x14ac:dyDescent="0.25">
      <c r="I142" s="24">
        <f t="shared" si="11"/>
        <v>14</v>
      </c>
      <c r="J142">
        <f t="shared" si="9"/>
        <v>1.3981783459153339</v>
      </c>
      <c r="K142">
        <f t="shared" si="9"/>
        <v>-7.5250585072535534</v>
      </c>
      <c r="L142" s="27">
        <f t="shared" si="10"/>
        <v>7.6538492423469915</v>
      </c>
    </row>
    <row r="143" spans="9:12" x14ac:dyDescent="0.25">
      <c r="I143" s="24">
        <f t="shared" si="11"/>
        <v>14.100000000000001</v>
      </c>
      <c r="J143">
        <f t="shared" si="9"/>
        <v>1.3876441255009031</v>
      </c>
      <c r="K143">
        <f t="shared" si="9"/>
        <v>-7.5224273679153537</v>
      </c>
      <c r="L143" s="27">
        <f t="shared" si="10"/>
        <v>7.6493443983519978</v>
      </c>
    </row>
    <row r="144" spans="9:12" x14ac:dyDescent="0.25">
      <c r="I144" s="24">
        <f t="shared" si="11"/>
        <v>14.200000000000001</v>
      </c>
      <c r="J144">
        <f t="shared" si="9"/>
        <v>1.3771099050864726</v>
      </c>
      <c r="K144">
        <f t="shared" si="9"/>
        <v>-7.5197962285771531</v>
      </c>
      <c r="L144" s="27">
        <f t="shared" si="10"/>
        <v>7.6448523210072832</v>
      </c>
    </row>
    <row r="145" spans="9:12" x14ac:dyDescent="0.25">
      <c r="I145" s="24">
        <f t="shared" si="11"/>
        <v>14.3</v>
      </c>
      <c r="J145">
        <f t="shared" si="9"/>
        <v>1.366575684672042</v>
      </c>
      <c r="K145">
        <f t="shared" si="9"/>
        <v>-7.5171650892389525</v>
      </c>
      <c r="L145" s="27">
        <f t="shared" si="10"/>
        <v>7.6403730328309054</v>
      </c>
    </row>
    <row r="146" spans="9:12" x14ac:dyDescent="0.25">
      <c r="I146" s="24">
        <f t="shared" si="11"/>
        <v>14.4</v>
      </c>
      <c r="J146">
        <f t="shared" si="9"/>
        <v>1.3560414642576115</v>
      </c>
      <c r="K146">
        <f t="shared" si="9"/>
        <v>-7.514533949900752</v>
      </c>
      <c r="L146" s="27">
        <f t="shared" si="10"/>
        <v>7.6359065563295703</v>
      </c>
    </row>
    <row r="147" spans="9:12" x14ac:dyDescent="0.25">
      <c r="I147" s="24">
        <f t="shared" si="11"/>
        <v>14.5</v>
      </c>
      <c r="J147">
        <f t="shared" si="9"/>
        <v>1.3455072438431808</v>
      </c>
      <c r="K147">
        <f t="shared" si="9"/>
        <v>-7.5119028105625514</v>
      </c>
      <c r="L147" s="27">
        <f t="shared" si="10"/>
        <v>7.6314529139982268</v>
      </c>
    </row>
    <row r="148" spans="9:12" x14ac:dyDescent="0.25">
      <c r="I148" s="24">
        <f t="shared" si="11"/>
        <v>14.600000000000001</v>
      </c>
      <c r="J148">
        <f t="shared" si="9"/>
        <v>1.3349730234287502</v>
      </c>
      <c r="K148">
        <f t="shared" si="9"/>
        <v>-7.5092716712243508</v>
      </c>
      <c r="L148" s="27">
        <f t="shared" si="10"/>
        <v>7.6270121283196506</v>
      </c>
    </row>
    <row r="149" spans="9:12" x14ac:dyDescent="0.25">
      <c r="I149" s="24">
        <f t="shared" si="11"/>
        <v>14.700000000000001</v>
      </c>
      <c r="J149">
        <f t="shared" si="9"/>
        <v>1.3244388030143195</v>
      </c>
      <c r="K149">
        <f t="shared" si="9"/>
        <v>-7.5066405318861502</v>
      </c>
      <c r="L149" s="27">
        <f t="shared" si="10"/>
        <v>7.6225842217640327</v>
      </c>
    </row>
    <row r="150" spans="9:12" x14ac:dyDescent="0.25">
      <c r="I150" s="24">
        <f t="shared" si="11"/>
        <v>14.8</v>
      </c>
      <c r="J150">
        <f t="shared" si="9"/>
        <v>1.3139045825998892</v>
      </c>
      <c r="K150">
        <f t="shared" si="9"/>
        <v>-7.5040093925479496</v>
      </c>
      <c r="L150" s="27">
        <f t="shared" si="10"/>
        <v>7.6181692167885613</v>
      </c>
    </row>
    <row r="151" spans="9:12" x14ac:dyDescent="0.25">
      <c r="I151" s="24">
        <f t="shared" si="11"/>
        <v>14.9</v>
      </c>
      <c r="J151">
        <f t="shared" si="9"/>
        <v>1.3033703621854584</v>
      </c>
      <c r="K151">
        <f t="shared" si="9"/>
        <v>-7.501378253209749</v>
      </c>
      <c r="L151" s="27">
        <f t="shared" si="10"/>
        <v>7.6137671358370032</v>
      </c>
    </row>
    <row r="152" spans="9:12" x14ac:dyDescent="0.25">
      <c r="I152" s="24">
        <f t="shared" si="11"/>
        <v>15</v>
      </c>
      <c r="J152">
        <f t="shared" si="9"/>
        <v>1.2928361417710281</v>
      </c>
      <c r="K152">
        <f t="shared" si="9"/>
        <v>-7.4987471138715476</v>
      </c>
      <c r="L152" s="27">
        <f t="shared" si="10"/>
        <v>7.6093780013392855</v>
      </c>
    </row>
    <row r="153" spans="9:12" x14ac:dyDescent="0.25">
      <c r="I153" s="24">
        <f t="shared" si="11"/>
        <v>15.100000000000001</v>
      </c>
      <c r="J153">
        <f t="shared" si="9"/>
        <v>1.2823019213565972</v>
      </c>
      <c r="K153">
        <f t="shared" si="9"/>
        <v>-7.496115974533347</v>
      </c>
      <c r="L153" s="27">
        <f t="shared" si="10"/>
        <v>7.6050018357110769</v>
      </c>
    </row>
    <row r="154" spans="9:12" x14ac:dyDescent="0.25">
      <c r="I154" s="24">
        <f t="shared" si="11"/>
        <v>15.200000000000001</v>
      </c>
      <c r="J154">
        <f t="shared" si="9"/>
        <v>1.2717677009421664</v>
      </c>
      <c r="K154">
        <f t="shared" si="9"/>
        <v>-7.4934848351951464</v>
      </c>
      <c r="L154" s="27">
        <f t="shared" si="10"/>
        <v>7.6006386613533579</v>
      </c>
    </row>
    <row r="155" spans="9:12" x14ac:dyDescent="0.25">
      <c r="I155" s="24">
        <f t="shared" si="11"/>
        <v>15.3</v>
      </c>
      <c r="J155">
        <f t="shared" si="9"/>
        <v>1.2612334805277361</v>
      </c>
      <c r="K155">
        <f t="shared" si="9"/>
        <v>-7.4908536958569467</v>
      </c>
      <c r="L155" s="27">
        <f t="shared" si="10"/>
        <v>7.5962885006519985</v>
      </c>
    </row>
    <row r="156" spans="9:12" x14ac:dyDescent="0.25">
      <c r="I156" s="24">
        <f t="shared" si="11"/>
        <v>15.4</v>
      </c>
      <c r="J156">
        <f t="shared" si="9"/>
        <v>1.2506992601133053</v>
      </c>
      <c r="K156">
        <f t="shared" si="9"/>
        <v>-7.4882225565187452</v>
      </c>
      <c r="L156" s="27">
        <f t="shared" si="10"/>
        <v>7.5919513759773318</v>
      </c>
    </row>
    <row r="157" spans="9:12" x14ac:dyDescent="0.25">
      <c r="I157" s="24">
        <f t="shared" si="11"/>
        <v>15.5</v>
      </c>
      <c r="J157">
        <f t="shared" si="9"/>
        <v>1.240165039698875</v>
      </c>
      <c r="K157">
        <f t="shared" si="9"/>
        <v>-7.4855914171805455</v>
      </c>
      <c r="L157" s="27">
        <f t="shared" si="10"/>
        <v>7.5876273096837306</v>
      </c>
    </row>
    <row r="158" spans="9:12" x14ac:dyDescent="0.25">
      <c r="I158" s="24">
        <f t="shared" si="11"/>
        <v>15.600000000000001</v>
      </c>
      <c r="J158">
        <f t="shared" si="9"/>
        <v>1.2296308192844441</v>
      </c>
      <c r="K158">
        <f t="shared" si="9"/>
        <v>-7.482960277842345</v>
      </c>
      <c r="L158" s="27">
        <f t="shared" si="10"/>
        <v>7.5833163241091635</v>
      </c>
    </row>
    <row r="159" spans="9:12" x14ac:dyDescent="0.25">
      <c r="I159" s="24">
        <f t="shared" si="11"/>
        <v>15.700000000000001</v>
      </c>
      <c r="J159">
        <f t="shared" si="9"/>
        <v>1.2190965988700135</v>
      </c>
      <c r="K159">
        <f t="shared" si="9"/>
        <v>-7.4803291385041444</v>
      </c>
      <c r="L159" s="27">
        <f t="shared" si="10"/>
        <v>7.579018441574779</v>
      </c>
    </row>
    <row r="160" spans="9:12" x14ac:dyDescent="0.25">
      <c r="I160" s="24">
        <f t="shared" si="11"/>
        <v>15.8</v>
      </c>
      <c r="J160">
        <f t="shared" si="9"/>
        <v>1.208562378455583</v>
      </c>
      <c r="K160">
        <f t="shared" si="9"/>
        <v>-7.4776979991659429</v>
      </c>
      <c r="L160" s="27">
        <f t="shared" si="10"/>
        <v>7.5747336843844595</v>
      </c>
    </row>
    <row r="161" spans="9:12" x14ac:dyDescent="0.25">
      <c r="I161" s="24">
        <f t="shared" si="11"/>
        <v>15.9</v>
      </c>
      <c r="J161">
        <f t="shared" si="9"/>
        <v>1.1980281580411525</v>
      </c>
      <c r="K161">
        <f t="shared" si="9"/>
        <v>-7.4750668598277432</v>
      </c>
      <c r="L161" s="27">
        <f t="shared" si="10"/>
        <v>7.5704620748243947</v>
      </c>
    </row>
    <row r="162" spans="9:12" x14ac:dyDescent="0.25">
      <c r="I162" s="24">
        <f t="shared" si="11"/>
        <v>16</v>
      </c>
      <c r="J162">
        <f t="shared" si="9"/>
        <v>1.187493937626722</v>
      </c>
      <c r="K162">
        <f t="shared" si="9"/>
        <v>-7.4724357204895426</v>
      </c>
      <c r="L162" s="27">
        <f t="shared" si="10"/>
        <v>7.5662036351626361</v>
      </c>
    </row>
    <row r="163" spans="9:12" x14ac:dyDescent="0.25">
      <c r="I163" s="24">
        <f t="shared" si="11"/>
        <v>16.100000000000001</v>
      </c>
      <c r="J163">
        <f t="shared" si="9"/>
        <v>1.1769597172122914</v>
      </c>
      <c r="K163">
        <f t="shared" si="9"/>
        <v>-7.469804581151342</v>
      </c>
      <c r="L163" s="27">
        <f t="shared" si="10"/>
        <v>7.5619583876486667</v>
      </c>
    </row>
    <row r="164" spans="9:12" x14ac:dyDescent="0.25">
      <c r="I164" s="24">
        <f t="shared" si="11"/>
        <v>16.2</v>
      </c>
      <c r="J164">
        <f t="shared" si="9"/>
        <v>1.1664254967978609</v>
      </c>
      <c r="K164">
        <f t="shared" si="9"/>
        <v>-7.4671734418131415</v>
      </c>
      <c r="L164" s="27">
        <f t="shared" si="10"/>
        <v>7.5577263545129529</v>
      </c>
    </row>
    <row r="165" spans="9:12" x14ac:dyDescent="0.25">
      <c r="I165" s="24">
        <f t="shared" si="11"/>
        <v>16.3</v>
      </c>
      <c r="J165">
        <f t="shared" si="9"/>
        <v>1.1558912763834299</v>
      </c>
      <c r="K165">
        <f t="shared" si="9"/>
        <v>-7.4645423024749409</v>
      </c>
      <c r="L165" s="27">
        <f t="shared" si="10"/>
        <v>7.553507557966511</v>
      </c>
    </row>
    <row r="166" spans="9:12" x14ac:dyDescent="0.25">
      <c r="I166" s="24">
        <f t="shared" si="11"/>
        <v>16.400000000000002</v>
      </c>
      <c r="J166">
        <f t="shared" si="9"/>
        <v>1.1453570559689994</v>
      </c>
      <c r="K166">
        <f t="shared" si="9"/>
        <v>-7.4619111631367403</v>
      </c>
      <c r="L166" s="27">
        <f t="shared" si="10"/>
        <v>7.5493020202004546</v>
      </c>
    </row>
    <row r="167" spans="9:12" x14ac:dyDescent="0.25">
      <c r="I167" s="24">
        <f t="shared" si="11"/>
        <v>16.5</v>
      </c>
      <c r="J167">
        <f t="shared" si="9"/>
        <v>1.1348228355545689</v>
      </c>
      <c r="K167">
        <f t="shared" si="9"/>
        <v>-7.4592800237985397</v>
      </c>
      <c r="L167" s="27">
        <f t="shared" si="10"/>
        <v>7.5451097633855566</v>
      </c>
    </row>
    <row r="168" spans="9:12" x14ac:dyDescent="0.25">
      <c r="I168" s="24">
        <f t="shared" si="11"/>
        <v>16.600000000000001</v>
      </c>
      <c r="J168">
        <f t="shared" si="9"/>
        <v>1.1242886151401383</v>
      </c>
      <c r="K168">
        <f t="shared" si="9"/>
        <v>-7.4566488844603391</v>
      </c>
      <c r="L168" s="27">
        <f t="shared" si="10"/>
        <v>7.5409308096717975</v>
      </c>
    </row>
    <row r="169" spans="9:12" x14ac:dyDescent="0.25">
      <c r="I169" s="24">
        <f t="shared" si="11"/>
        <v>16.7</v>
      </c>
      <c r="J169">
        <f t="shared" si="9"/>
        <v>1.1137543947257078</v>
      </c>
      <c r="K169">
        <f t="shared" si="9"/>
        <v>-7.4540177451221394</v>
      </c>
      <c r="L169" s="27">
        <f t="shared" si="10"/>
        <v>7.5367651811879197</v>
      </c>
    </row>
    <row r="170" spans="9:12" x14ac:dyDescent="0.25">
      <c r="I170" s="24">
        <f t="shared" si="11"/>
        <v>16.8</v>
      </c>
      <c r="J170">
        <f t="shared" si="9"/>
        <v>1.1032201743112771</v>
      </c>
      <c r="K170">
        <f t="shared" si="9"/>
        <v>-7.4513866057839397</v>
      </c>
      <c r="L170" s="27">
        <f t="shared" si="10"/>
        <v>7.5326129000409745</v>
      </c>
    </row>
    <row r="171" spans="9:12" x14ac:dyDescent="0.25">
      <c r="I171" s="24">
        <f t="shared" si="11"/>
        <v>16.900000000000002</v>
      </c>
      <c r="J171">
        <f t="shared" si="9"/>
        <v>1.0926859538968463</v>
      </c>
      <c r="K171">
        <f t="shared" si="9"/>
        <v>-7.4487554664457374</v>
      </c>
      <c r="L171" s="27">
        <f t="shared" si="10"/>
        <v>7.5284739883158736</v>
      </c>
    </row>
    <row r="172" spans="9:12" x14ac:dyDescent="0.25">
      <c r="I172" s="24">
        <f t="shared" si="11"/>
        <v>17</v>
      </c>
      <c r="J172">
        <f t="shared" si="9"/>
        <v>1.0821517334824158</v>
      </c>
      <c r="K172">
        <f t="shared" si="9"/>
        <v>-7.4461243271075386</v>
      </c>
      <c r="L172" s="27">
        <f t="shared" si="10"/>
        <v>7.5243484680749395</v>
      </c>
    </row>
    <row r="173" spans="9:12" x14ac:dyDescent="0.25">
      <c r="I173" s="24">
        <f t="shared" si="11"/>
        <v>17.100000000000001</v>
      </c>
      <c r="J173">
        <f t="shared" si="9"/>
        <v>1.0716175130679853</v>
      </c>
      <c r="K173">
        <f t="shared" si="9"/>
        <v>-7.4434931877693371</v>
      </c>
      <c r="L173" s="27">
        <f t="shared" si="10"/>
        <v>7.5202363613574361</v>
      </c>
    </row>
    <row r="174" spans="9:12" x14ac:dyDescent="0.25">
      <c r="I174" s="24">
        <f t="shared" si="11"/>
        <v>17.2</v>
      </c>
      <c r="J174">
        <f t="shared" si="9"/>
        <v>1.0610832926535547</v>
      </c>
      <c r="K174">
        <f t="shared" si="9"/>
        <v>-7.4408620484311374</v>
      </c>
      <c r="L174" s="27">
        <f t="shared" si="10"/>
        <v>7.5161376901791339</v>
      </c>
    </row>
    <row r="175" spans="9:12" x14ac:dyDescent="0.25">
      <c r="I175" s="24">
        <f t="shared" si="11"/>
        <v>17.3</v>
      </c>
      <c r="J175">
        <f t="shared" si="9"/>
        <v>1.0505490722391242</v>
      </c>
      <c r="K175">
        <f t="shared" si="9"/>
        <v>-7.4382309090929359</v>
      </c>
      <c r="L175" s="27">
        <f t="shared" si="10"/>
        <v>7.5120524765318306</v>
      </c>
    </row>
    <row r="176" spans="9:12" x14ac:dyDescent="0.25">
      <c r="I176" s="24">
        <f t="shared" si="11"/>
        <v>17.400000000000002</v>
      </c>
      <c r="J176">
        <f t="shared" si="9"/>
        <v>1.0400148518246932</v>
      </c>
      <c r="K176">
        <f t="shared" si="9"/>
        <v>-7.4355997697547362</v>
      </c>
      <c r="L176" s="27">
        <f t="shared" si="10"/>
        <v>7.5079807423829097</v>
      </c>
    </row>
    <row r="177" spans="9:12" x14ac:dyDescent="0.25">
      <c r="I177" s="24">
        <f t="shared" si="11"/>
        <v>17.5</v>
      </c>
      <c r="J177">
        <f t="shared" si="9"/>
        <v>1.0294806314102629</v>
      </c>
      <c r="K177">
        <f t="shared" si="9"/>
        <v>-7.4329686304165348</v>
      </c>
      <c r="L177" s="27">
        <f t="shared" si="10"/>
        <v>7.5039225096748652</v>
      </c>
    </row>
    <row r="178" spans="9:12" x14ac:dyDescent="0.25">
      <c r="I178" s="24">
        <f t="shared" si="11"/>
        <v>17.600000000000001</v>
      </c>
      <c r="J178">
        <f t="shared" si="9"/>
        <v>1.0189464109958324</v>
      </c>
      <c r="K178">
        <f t="shared" si="9"/>
        <v>-7.4303374910783351</v>
      </c>
      <c r="L178" s="27">
        <f t="shared" si="10"/>
        <v>7.4998778003248541</v>
      </c>
    </row>
    <row r="179" spans="9:12" x14ac:dyDescent="0.25">
      <c r="I179" s="24">
        <f t="shared" si="11"/>
        <v>17.7</v>
      </c>
      <c r="J179">
        <f t="shared" si="9"/>
        <v>1.0084121905814016</v>
      </c>
      <c r="K179">
        <f t="shared" si="9"/>
        <v>-7.4277063517401336</v>
      </c>
      <c r="L179" s="27">
        <f t="shared" si="10"/>
        <v>7.4958466362242167</v>
      </c>
    </row>
    <row r="180" spans="9:12" x14ac:dyDescent="0.25">
      <c r="I180" s="24">
        <f t="shared" si="11"/>
        <v>17.8</v>
      </c>
      <c r="J180">
        <f t="shared" si="9"/>
        <v>0.99787797016697133</v>
      </c>
      <c r="K180">
        <f t="shared" si="9"/>
        <v>-7.4250752124019339</v>
      </c>
      <c r="L180" s="27">
        <f t="shared" si="10"/>
        <v>7.4918290392380271</v>
      </c>
    </row>
    <row r="181" spans="9:12" x14ac:dyDescent="0.25">
      <c r="I181" s="24">
        <f t="shared" si="11"/>
        <v>17.900000000000002</v>
      </c>
      <c r="J181">
        <f t="shared" si="9"/>
        <v>0.98734374975254047</v>
      </c>
      <c r="K181">
        <f t="shared" si="9"/>
        <v>-7.4224440730637324</v>
      </c>
      <c r="L181" s="27">
        <f t="shared" si="10"/>
        <v>7.4878250312046113</v>
      </c>
    </row>
    <row r="182" spans="9:12" x14ac:dyDescent="0.25">
      <c r="I182" s="24">
        <f t="shared" si="11"/>
        <v>18</v>
      </c>
      <c r="J182">
        <f t="shared" si="9"/>
        <v>0.97680952933811027</v>
      </c>
      <c r="K182">
        <f t="shared" si="9"/>
        <v>-7.4198129337255327</v>
      </c>
      <c r="L182" s="27">
        <f t="shared" si="10"/>
        <v>7.4838346339350954</v>
      </c>
    </row>
    <row r="183" spans="9:12" x14ac:dyDescent="0.25">
      <c r="I183" s="24">
        <f t="shared" si="11"/>
        <v>18.100000000000001</v>
      </c>
      <c r="J183">
        <f t="shared" si="9"/>
        <v>0.9662753089236793</v>
      </c>
      <c r="K183">
        <f t="shared" si="9"/>
        <v>-7.4171817943873313</v>
      </c>
      <c r="L183" s="27">
        <f t="shared" si="10"/>
        <v>7.4798578692129185</v>
      </c>
    </row>
    <row r="184" spans="9:12" x14ac:dyDescent="0.25">
      <c r="I184" s="24">
        <f t="shared" si="11"/>
        <v>18.2</v>
      </c>
      <c r="J184">
        <f t="shared" si="9"/>
        <v>0.95574108850924866</v>
      </c>
      <c r="K184">
        <f t="shared" si="9"/>
        <v>-7.4145506550491316</v>
      </c>
      <c r="L184" s="27">
        <f t="shared" si="10"/>
        <v>7.4758947587933813</v>
      </c>
    </row>
    <row r="185" spans="9:12" x14ac:dyDescent="0.25">
      <c r="I185" s="24">
        <f t="shared" si="11"/>
        <v>18.3</v>
      </c>
      <c r="J185">
        <f t="shared" si="9"/>
        <v>0.94520686809481824</v>
      </c>
      <c r="K185">
        <f t="shared" si="9"/>
        <v>-7.4119195157109301</v>
      </c>
      <c r="L185" s="27">
        <f t="shared" si="10"/>
        <v>7.4719453244031548</v>
      </c>
    </row>
    <row r="186" spans="9:12" x14ac:dyDescent="0.25">
      <c r="I186" s="24">
        <f t="shared" si="11"/>
        <v>18.400000000000002</v>
      </c>
      <c r="J186">
        <f t="shared" si="9"/>
        <v>0.93467264768038738</v>
      </c>
      <c r="K186">
        <f t="shared" si="9"/>
        <v>-7.4092883763727304</v>
      </c>
      <c r="L186" s="27">
        <f t="shared" si="10"/>
        <v>7.4680095877398225</v>
      </c>
    </row>
    <row r="187" spans="9:12" x14ac:dyDescent="0.25">
      <c r="I187" s="24">
        <f t="shared" si="11"/>
        <v>18.5</v>
      </c>
      <c r="J187">
        <f t="shared" si="9"/>
        <v>0.92413842726595719</v>
      </c>
      <c r="K187">
        <f t="shared" si="9"/>
        <v>-7.4066572370345289</v>
      </c>
      <c r="L187" s="27">
        <f t="shared" si="10"/>
        <v>7.4640875704713947</v>
      </c>
    </row>
    <row r="188" spans="9:12" x14ac:dyDescent="0.25">
      <c r="I188" s="24">
        <f t="shared" si="11"/>
        <v>18.600000000000001</v>
      </c>
      <c r="J188">
        <f t="shared" si="9"/>
        <v>0.91360420685152621</v>
      </c>
      <c r="K188">
        <f t="shared" si="9"/>
        <v>-7.4040260976963292</v>
      </c>
      <c r="L188" s="27">
        <f t="shared" si="10"/>
        <v>7.4601792942358394</v>
      </c>
    </row>
    <row r="189" spans="9:12" x14ac:dyDescent="0.25">
      <c r="I189" s="24">
        <f t="shared" si="11"/>
        <v>18.7</v>
      </c>
      <c r="J189">
        <f t="shared" si="9"/>
        <v>0.90306998643709613</v>
      </c>
      <c r="K189">
        <f t="shared" si="9"/>
        <v>-7.4013949583581287</v>
      </c>
      <c r="L189" s="27">
        <f t="shared" si="10"/>
        <v>7.4562847806405985</v>
      </c>
    </row>
    <row r="190" spans="9:12" x14ac:dyDescent="0.25">
      <c r="I190" s="24">
        <f t="shared" si="11"/>
        <v>18.8</v>
      </c>
      <c r="J190">
        <f t="shared" si="9"/>
        <v>0.89253576602266516</v>
      </c>
      <c r="K190">
        <f t="shared" si="9"/>
        <v>-7.3987638190199281</v>
      </c>
      <c r="L190" s="27">
        <f t="shared" si="10"/>
        <v>7.4524040512621168</v>
      </c>
    </row>
    <row r="191" spans="9:12" x14ac:dyDescent="0.25">
      <c r="I191" s="24">
        <f t="shared" si="11"/>
        <v>18.900000000000002</v>
      </c>
      <c r="J191">
        <f t="shared" si="9"/>
        <v>0.88200154560823418</v>
      </c>
      <c r="K191">
        <f t="shared" si="9"/>
        <v>-7.3961326796817266</v>
      </c>
      <c r="L191" s="27">
        <f t="shared" si="10"/>
        <v>7.4485371276453547</v>
      </c>
    </row>
    <row r="192" spans="9:12" x14ac:dyDescent="0.25">
      <c r="I192" s="24">
        <f t="shared" si="11"/>
        <v>19</v>
      </c>
      <c r="J192">
        <f t="shared" si="9"/>
        <v>0.8714673251938041</v>
      </c>
      <c r="K192">
        <f t="shared" si="9"/>
        <v>-7.3935015403435269</v>
      </c>
      <c r="L192" s="27">
        <f t="shared" si="10"/>
        <v>7.4446840313033134</v>
      </c>
    </row>
    <row r="193" spans="9:12" x14ac:dyDescent="0.25">
      <c r="I193" s="24">
        <f t="shared" si="11"/>
        <v>19.100000000000001</v>
      </c>
      <c r="J193">
        <f t="shared" si="9"/>
        <v>0.86093310477937313</v>
      </c>
      <c r="K193">
        <f t="shared" si="9"/>
        <v>-7.3908704010053254</v>
      </c>
      <c r="L193" s="27">
        <f t="shared" si="10"/>
        <v>7.4408447837165417</v>
      </c>
    </row>
    <row r="194" spans="9:12" x14ac:dyDescent="0.25">
      <c r="I194" s="24">
        <f t="shared" si="11"/>
        <v>19.200000000000003</v>
      </c>
      <c r="J194">
        <f t="shared" ref="J194:K257" si="12">D$29*($I194/1000)+D$18*(($I194/1000)-($D$8/1000))*(($I194/1000)&gt;($D$8/1000))+D$19*(($I194/1000)-($D$9/1000))*(($I194/1000)&gt;($D$9/1000))+D$20*(($I194/1000)-($D$10/1000))*(($I194/1000)&gt;($D$10/1000))+D$21*(($I194/1000)-($D$11/1000))*(($I194/1000)&gt;($D$11/1000))</f>
        <v>0.85039888436494282</v>
      </c>
      <c r="K194">
        <f t="shared" si="12"/>
        <v>-7.3882392616671257</v>
      </c>
      <c r="L194" s="27">
        <f t="shared" ref="L194:L257" si="13">SQRT((J194^2)+(K194^2))</f>
        <v>7.4370194063326691</v>
      </c>
    </row>
    <row r="195" spans="9:12" x14ac:dyDescent="0.25">
      <c r="I195" s="24">
        <f t="shared" ref="I195:I258" si="14">IF((ROW(A193)*$F$2)&lt;=$D$5, ROW(A193)*$F$2,NA())</f>
        <v>19.3</v>
      </c>
      <c r="J195">
        <f t="shared" si="12"/>
        <v>0.83986466395051207</v>
      </c>
      <c r="K195">
        <f t="shared" si="12"/>
        <v>-7.3856081223289243</v>
      </c>
      <c r="L195" s="27">
        <f t="shared" si="13"/>
        <v>7.4332079205659038</v>
      </c>
    </row>
    <row r="196" spans="9:12" x14ac:dyDescent="0.25">
      <c r="I196" s="24">
        <f t="shared" si="14"/>
        <v>19.400000000000002</v>
      </c>
      <c r="J196">
        <f t="shared" si="12"/>
        <v>0.82933044353608176</v>
      </c>
      <c r="K196">
        <f t="shared" si="12"/>
        <v>-7.3829769829907246</v>
      </c>
      <c r="L196" s="27">
        <f t="shared" si="13"/>
        <v>7.4294103477965585</v>
      </c>
    </row>
    <row r="197" spans="9:12" x14ac:dyDescent="0.25">
      <c r="I197" s="24">
        <f t="shared" si="14"/>
        <v>19.5</v>
      </c>
      <c r="J197">
        <f t="shared" si="12"/>
        <v>0.81879622312165101</v>
      </c>
      <c r="K197">
        <f t="shared" si="12"/>
        <v>-7.380345843652524</v>
      </c>
      <c r="L197" s="27">
        <f t="shared" si="13"/>
        <v>7.4256267093705546</v>
      </c>
    </row>
    <row r="198" spans="9:12" x14ac:dyDescent="0.25">
      <c r="I198" s="24">
        <f t="shared" si="14"/>
        <v>19.600000000000001</v>
      </c>
      <c r="J198">
        <f t="shared" si="12"/>
        <v>0.80826200270722026</v>
      </c>
      <c r="K198">
        <f t="shared" si="12"/>
        <v>-7.3777147043143234</v>
      </c>
      <c r="L198" s="27">
        <f t="shared" si="13"/>
        <v>7.421857026598941</v>
      </c>
    </row>
    <row r="199" spans="9:12" x14ac:dyDescent="0.25">
      <c r="I199" s="24">
        <f t="shared" si="14"/>
        <v>19.700000000000003</v>
      </c>
      <c r="J199">
        <f t="shared" si="12"/>
        <v>0.79772778229278973</v>
      </c>
      <c r="K199">
        <f t="shared" si="12"/>
        <v>-7.3750835649761228</v>
      </c>
      <c r="L199" s="27">
        <f t="shared" si="13"/>
        <v>7.4181013207574003</v>
      </c>
    </row>
    <row r="200" spans="9:12" x14ac:dyDescent="0.25">
      <c r="I200" s="24">
        <f t="shared" si="14"/>
        <v>19.8</v>
      </c>
      <c r="J200">
        <f t="shared" si="12"/>
        <v>0.7871935618783592</v>
      </c>
      <c r="K200">
        <f t="shared" si="12"/>
        <v>-7.3724524256379222</v>
      </c>
      <c r="L200" s="27">
        <f t="shared" si="13"/>
        <v>7.4143596130857601</v>
      </c>
    </row>
    <row r="201" spans="9:12" x14ac:dyDescent="0.25">
      <c r="I201" s="24">
        <f t="shared" si="14"/>
        <v>19.900000000000002</v>
      </c>
      <c r="J201">
        <f t="shared" si="12"/>
        <v>0.77665934146392868</v>
      </c>
      <c r="K201">
        <f t="shared" si="12"/>
        <v>-7.3698212862997217</v>
      </c>
      <c r="L201" s="27">
        <f t="shared" si="13"/>
        <v>7.4106319247874985</v>
      </c>
    </row>
    <row r="202" spans="9:12" x14ac:dyDescent="0.25">
      <c r="I202" s="24">
        <f t="shared" si="14"/>
        <v>20</v>
      </c>
      <c r="J202">
        <f t="shared" si="12"/>
        <v>0.76612512104949815</v>
      </c>
      <c r="K202">
        <f t="shared" si="12"/>
        <v>-7.3671901469615211</v>
      </c>
      <c r="L202" s="27">
        <f t="shared" si="13"/>
        <v>7.4069182770292548</v>
      </c>
    </row>
    <row r="203" spans="9:12" x14ac:dyDescent="0.25">
      <c r="I203" s="24">
        <f t="shared" si="14"/>
        <v>20.100000000000001</v>
      </c>
      <c r="J203">
        <f t="shared" si="12"/>
        <v>0.75559090063506784</v>
      </c>
      <c r="K203">
        <f t="shared" si="12"/>
        <v>-7.3645590076233205</v>
      </c>
      <c r="L203" s="27">
        <f t="shared" si="13"/>
        <v>7.4032186909403332</v>
      </c>
    </row>
    <row r="204" spans="9:12" x14ac:dyDescent="0.25">
      <c r="I204" s="24">
        <f t="shared" si="14"/>
        <v>20.200000000000003</v>
      </c>
      <c r="J204">
        <f t="shared" si="12"/>
        <v>0.74505668022063687</v>
      </c>
      <c r="K204">
        <f t="shared" si="12"/>
        <v>-7.3619278682851199</v>
      </c>
      <c r="L204" s="27">
        <f t="shared" si="13"/>
        <v>7.3995331876122084</v>
      </c>
    </row>
    <row r="205" spans="9:12" x14ac:dyDescent="0.25">
      <c r="I205" s="24">
        <f t="shared" si="14"/>
        <v>20.3</v>
      </c>
      <c r="J205">
        <f t="shared" si="12"/>
        <v>0.73452245980620612</v>
      </c>
      <c r="K205">
        <f t="shared" si="12"/>
        <v>-7.3592967289469193</v>
      </c>
      <c r="L205" s="27">
        <f t="shared" si="13"/>
        <v>7.3958617880980295</v>
      </c>
    </row>
    <row r="206" spans="9:12" x14ac:dyDescent="0.25">
      <c r="I206" s="24">
        <f t="shared" si="14"/>
        <v>20.400000000000002</v>
      </c>
      <c r="J206">
        <f t="shared" si="12"/>
        <v>0.72398823939177559</v>
      </c>
      <c r="K206">
        <f t="shared" si="12"/>
        <v>-7.3566655896087187</v>
      </c>
      <c r="L206" s="27">
        <f t="shared" si="13"/>
        <v>7.3922045134121257</v>
      </c>
    </row>
    <row r="207" spans="9:12" x14ac:dyDescent="0.25">
      <c r="I207" s="24">
        <f t="shared" si="14"/>
        <v>20.5</v>
      </c>
      <c r="J207">
        <f t="shared" si="12"/>
        <v>0.71345401897734528</v>
      </c>
      <c r="K207">
        <f t="shared" si="12"/>
        <v>-7.3540344502705182</v>
      </c>
      <c r="L207" s="27">
        <f t="shared" si="13"/>
        <v>7.3885613845295035</v>
      </c>
    </row>
    <row r="208" spans="9:12" x14ac:dyDescent="0.25">
      <c r="I208" s="24">
        <f t="shared" si="14"/>
        <v>20.6</v>
      </c>
      <c r="J208">
        <f t="shared" si="12"/>
        <v>0.70291979856291475</v>
      </c>
      <c r="K208">
        <f t="shared" si="12"/>
        <v>-7.3514033109323176</v>
      </c>
      <c r="L208" s="27">
        <f t="shared" si="13"/>
        <v>7.3849324223853516</v>
      </c>
    </row>
    <row r="209" spans="9:12" x14ac:dyDescent="0.25">
      <c r="I209" s="24">
        <f t="shared" si="14"/>
        <v>20.700000000000003</v>
      </c>
      <c r="J209">
        <f t="shared" si="12"/>
        <v>0.69238557814848378</v>
      </c>
      <c r="K209">
        <f t="shared" si="12"/>
        <v>-7.348772171594117</v>
      </c>
      <c r="L209" s="27">
        <f t="shared" si="13"/>
        <v>7.381317647874539</v>
      </c>
    </row>
    <row r="210" spans="9:12" x14ac:dyDescent="0.25">
      <c r="I210" s="24">
        <f t="shared" si="14"/>
        <v>20.8</v>
      </c>
      <c r="J210">
        <f t="shared" si="12"/>
        <v>0.68185135773405325</v>
      </c>
      <c r="K210">
        <f t="shared" si="12"/>
        <v>-7.3461410322559164</v>
      </c>
      <c r="L210" s="27">
        <f t="shared" si="13"/>
        <v>7.3777170818511193</v>
      </c>
    </row>
    <row r="211" spans="9:12" x14ac:dyDescent="0.25">
      <c r="I211" s="24">
        <f t="shared" si="14"/>
        <v>20.900000000000002</v>
      </c>
      <c r="J211">
        <f t="shared" si="12"/>
        <v>0.6713171373196225</v>
      </c>
      <c r="K211">
        <f t="shared" si="12"/>
        <v>-7.3435098929177158</v>
      </c>
      <c r="L211" s="27">
        <f t="shared" si="13"/>
        <v>7.37413074512782</v>
      </c>
    </row>
    <row r="212" spans="9:12" x14ac:dyDescent="0.25">
      <c r="I212" s="24">
        <f t="shared" si="14"/>
        <v>21</v>
      </c>
      <c r="J212">
        <f t="shared" si="12"/>
        <v>0.6607829169051922</v>
      </c>
      <c r="K212">
        <f t="shared" si="12"/>
        <v>-7.3408787535795152</v>
      </c>
      <c r="L212" s="27">
        <f t="shared" si="13"/>
        <v>7.3705586584755487</v>
      </c>
    </row>
    <row r="213" spans="9:12" x14ac:dyDescent="0.25">
      <c r="I213" s="24">
        <f t="shared" si="14"/>
        <v>21.1</v>
      </c>
      <c r="J213">
        <f t="shared" si="12"/>
        <v>0.65024869649076167</v>
      </c>
      <c r="K213">
        <f t="shared" si="12"/>
        <v>-7.3382476142413147</v>
      </c>
      <c r="L213" s="27">
        <f t="shared" si="13"/>
        <v>7.3670008426228835</v>
      </c>
    </row>
    <row r="214" spans="9:12" x14ac:dyDescent="0.25">
      <c r="I214" s="24">
        <f t="shared" si="14"/>
        <v>21.200000000000003</v>
      </c>
      <c r="J214">
        <f t="shared" si="12"/>
        <v>0.6397144760763307</v>
      </c>
      <c r="K214">
        <f t="shared" si="12"/>
        <v>-7.335616474903115</v>
      </c>
      <c r="L214" s="27">
        <f t="shared" si="13"/>
        <v>7.3634573182555769</v>
      </c>
    </row>
    <row r="215" spans="9:12" x14ac:dyDescent="0.25">
      <c r="I215" s="24">
        <f t="shared" si="14"/>
        <v>21.3</v>
      </c>
      <c r="J215">
        <f t="shared" si="12"/>
        <v>0.62918025566190017</v>
      </c>
      <c r="K215">
        <f t="shared" si="12"/>
        <v>-7.3329853355649135</v>
      </c>
      <c r="L215" s="27">
        <f t="shared" si="13"/>
        <v>7.3599281060160386</v>
      </c>
    </row>
    <row r="216" spans="9:12" x14ac:dyDescent="0.25">
      <c r="I216" s="24">
        <f t="shared" si="14"/>
        <v>21.400000000000002</v>
      </c>
      <c r="J216">
        <f t="shared" si="12"/>
        <v>0.61864603524746942</v>
      </c>
      <c r="K216">
        <f t="shared" si="12"/>
        <v>-7.3303541962267138</v>
      </c>
      <c r="L216" s="27">
        <f t="shared" si="13"/>
        <v>7.3564132265028457</v>
      </c>
    </row>
    <row r="217" spans="9:12" x14ac:dyDescent="0.25">
      <c r="I217" s="24">
        <f t="shared" si="14"/>
        <v>21.5</v>
      </c>
      <c r="J217">
        <f t="shared" si="12"/>
        <v>0.60811181483303933</v>
      </c>
      <c r="K217">
        <f t="shared" si="12"/>
        <v>-7.3277230568885123</v>
      </c>
      <c r="L217" s="27">
        <f t="shared" si="13"/>
        <v>7.3529127002702168</v>
      </c>
    </row>
    <row r="218" spans="9:12" x14ac:dyDescent="0.25">
      <c r="I218" s="24">
        <f t="shared" si="14"/>
        <v>21.6</v>
      </c>
      <c r="J218">
        <f t="shared" si="12"/>
        <v>0.59757759441860858</v>
      </c>
      <c r="K218">
        <f t="shared" si="12"/>
        <v>-7.3250919175503126</v>
      </c>
      <c r="L218" s="27">
        <f t="shared" si="13"/>
        <v>7.3494265478275276</v>
      </c>
    </row>
    <row r="219" spans="9:12" x14ac:dyDescent="0.25">
      <c r="I219" s="24">
        <f t="shared" si="14"/>
        <v>21.700000000000003</v>
      </c>
      <c r="J219">
        <f t="shared" si="12"/>
        <v>0.58704337400417761</v>
      </c>
      <c r="K219">
        <f t="shared" si="12"/>
        <v>-7.3224607782121112</v>
      </c>
      <c r="L219" s="27">
        <f t="shared" si="13"/>
        <v>7.34595478963878</v>
      </c>
    </row>
    <row r="220" spans="9:12" x14ac:dyDescent="0.25">
      <c r="I220" s="24">
        <f t="shared" si="14"/>
        <v>21.8</v>
      </c>
      <c r="J220">
        <f t="shared" si="12"/>
        <v>0.57650915358974753</v>
      </c>
      <c r="K220">
        <f t="shared" si="12"/>
        <v>-7.3198296388739115</v>
      </c>
      <c r="L220" s="27">
        <f t="shared" si="13"/>
        <v>7.3424974461221124</v>
      </c>
    </row>
    <row r="221" spans="9:12" x14ac:dyDescent="0.25">
      <c r="I221" s="24">
        <f t="shared" si="14"/>
        <v>21.900000000000002</v>
      </c>
      <c r="J221">
        <f t="shared" si="12"/>
        <v>0.56597493317531677</v>
      </c>
      <c r="K221">
        <f t="shared" si="12"/>
        <v>-7.31719849953571</v>
      </c>
      <c r="L221" s="27">
        <f t="shared" si="13"/>
        <v>7.3390545376492771</v>
      </c>
    </row>
    <row r="222" spans="9:12" x14ac:dyDescent="0.25">
      <c r="I222" s="24">
        <f t="shared" si="14"/>
        <v>22</v>
      </c>
      <c r="J222">
        <f t="shared" si="12"/>
        <v>0.55544071276088625</v>
      </c>
      <c r="K222">
        <f t="shared" si="12"/>
        <v>-7.3145673601975103</v>
      </c>
      <c r="L222" s="27">
        <f t="shared" si="13"/>
        <v>7.3356260845451429</v>
      </c>
    </row>
    <row r="223" spans="9:12" x14ac:dyDescent="0.25">
      <c r="I223" s="24">
        <f t="shared" si="14"/>
        <v>22.1</v>
      </c>
      <c r="J223">
        <f t="shared" si="12"/>
        <v>0.5449064923464555</v>
      </c>
      <c r="K223">
        <f t="shared" si="12"/>
        <v>-7.3119362208593088</v>
      </c>
      <c r="L223" s="27">
        <f t="shared" si="13"/>
        <v>7.3322121070871669</v>
      </c>
    </row>
    <row r="224" spans="9:12" x14ac:dyDescent="0.25">
      <c r="I224" s="24">
        <f t="shared" si="14"/>
        <v>22.200000000000003</v>
      </c>
      <c r="J224">
        <f t="shared" si="12"/>
        <v>0.53437227193202452</v>
      </c>
      <c r="K224">
        <f t="shared" si="12"/>
        <v>-7.3093050815211091</v>
      </c>
      <c r="L224" s="27">
        <f t="shared" si="13"/>
        <v>7.3288126255049049</v>
      </c>
    </row>
    <row r="225" spans="9:12" x14ac:dyDescent="0.25">
      <c r="I225" s="24">
        <f t="shared" si="14"/>
        <v>22.3</v>
      </c>
      <c r="J225">
        <f t="shared" si="12"/>
        <v>0.52383805151759444</v>
      </c>
      <c r="K225">
        <f t="shared" si="12"/>
        <v>-7.3066739421829077</v>
      </c>
      <c r="L225" s="27">
        <f t="shared" si="13"/>
        <v>7.3254276599794812</v>
      </c>
    </row>
    <row r="226" spans="9:12" x14ac:dyDescent="0.25">
      <c r="I226" s="24">
        <f t="shared" si="14"/>
        <v>22.400000000000002</v>
      </c>
      <c r="J226">
        <f t="shared" si="12"/>
        <v>0.51330383110316369</v>
      </c>
      <c r="K226">
        <f t="shared" si="12"/>
        <v>-7.304042802844708</v>
      </c>
      <c r="L226" s="27">
        <f t="shared" si="13"/>
        <v>7.3220572306430904</v>
      </c>
    </row>
    <row r="227" spans="9:12" x14ac:dyDescent="0.25">
      <c r="I227" s="24">
        <f t="shared" si="14"/>
        <v>22.5</v>
      </c>
      <c r="J227">
        <f t="shared" si="12"/>
        <v>0.50276961068873316</v>
      </c>
      <c r="K227">
        <f t="shared" si="12"/>
        <v>-7.3014116635065065</v>
      </c>
      <c r="L227" s="27">
        <f t="shared" si="13"/>
        <v>7.3187013575784707</v>
      </c>
    </row>
    <row r="228" spans="9:12" x14ac:dyDescent="0.25">
      <c r="I228" s="24">
        <f t="shared" si="14"/>
        <v>22.6</v>
      </c>
      <c r="J228">
        <f t="shared" si="12"/>
        <v>0.49223539027430241</v>
      </c>
      <c r="K228">
        <f t="shared" si="12"/>
        <v>-7.2987805241683068</v>
      </c>
      <c r="L228" s="27">
        <f t="shared" si="13"/>
        <v>7.3153600608184055</v>
      </c>
    </row>
    <row r="229" spans="9:12" x14ac:dyDescent="0.25">
      <c r="I229" s="24">
        <f t="shared" si="14"/>
        <v>22.700000000000003</v>
      </c>
      <c r="J229">
        <f t="shared" si="12"/>
        <v>0.4817011698598721</v>
      </c>
      <c r="K229">
        <f t="shared" si="12"/>
        <v>-7.2961493848301071</v>
      </c>
      <c r="L229" s="27">
        <f t="shared" si="13"/>
        <v>7.3120333603452004</v>
      </c>
    </row>
    <row r="230" spans="9:12" x14ac:dyDescent="0.25">
      <c r="I230" s="24">
        <f t="shared" si="14"/>
        <v>22.8</v>
      </c>
      <c r="J230">
        <f t="shared" si="12"/>
        <v>0.47116694944544157</v>
      </c>
      <c r="K230">
        <f t="shared" si="12"/>
        <v>-7.2935182454919056</v>
      </c>
      <c r="L230" s="27">
        <f t="shared" si="13"/>
        <v>7.3087212760901652</v>
      </c>
    </row>
    <row r="231" spans="9:12" x14ac:dyDescent="0.25">
      <c r="I231" s="24">
        <f t="shared" si="14"/>
        <v>22.900000000000002</v>
      </c>
      <c r="J231">
        <f t="shared" si="12"/>
        <v>0.4606327290310106</v>
      </c>
      <c r="K231">
        <f t="shared" si="12"/>
        <v>-7.2908871061537059</v>
      </c>
      <c r="L231" s="27">
        <f t="shared" si="13"/>
        <v>7.3054238279331143</v>
      </c>
    </row>
    <row r="232" spans="9:12" x14ac:dyDescent="0.25">
      <c r="I232" s="24">
        <f t="shared" si="14"/>
        <v>23</v>
      </c>
      <c r="J232">
        <f t="shared" si="12"/>
        <v>0.45009850861658007</v>
      </c>
      <c r="K232">
        <f t="shared" si="12"/>
        <v>-7.2882559668155045</v>
      </c>
      <c r="L232" s="27">
        <f t="shared" si="13"/>
        <v>7.302141035701835</v>
      </c>
    </row>
    <row r="233" spans="9:12" x14ac:dyDescent="0.25">
      <c r="I233" s="24">
        <f t="shared" si="14"/>
        <v>23.1</v>
      </c>
      <c r="J233">
        <f t="shared" si="12"/>
        <v>0.43956428820214932</v>
      </c>
      <c r="K233">
        <f t="shared" si="12"/>
        <v>-7.2856248274773048</v>
      </c>
      <c r="L233" s="27">
        <f t="shared" si="13"/>
        <v>7.298872919171588</v>
      </c>
    </row>
    <row r="234" spans="9:12" x14ac:dyDescent="0.25">
      <c r="I234" s="24">
        <f t="shared" si="14"/>
        <v>23.200000000000003</v>
      </c>
      <c r="J234">
        <f t="shared" si="12"/>
        <v>0.42903006778771902</v>
      </c>
      <c r="K234">
        <f t="shared" si="12"/>
        <v>-7.2829936881391033</v>
      </c>
      <c r="L234" s="27">
        <f t="shared" si="13"/>
        <v>7.2956194980645712</v>
      </c>
    </row>
    <row r="235" spans="9:12" x14ac:dyDescent="0.25">
      <c r="I235" s="24">
        <f t="shared" si="14"/>
        <v>23.3</v>
      </c>
      <c r="J235">
        <f t="shared" si="12"/>
        <v>0.41849584737328849</v>
      </c>
      <c r="K235">
        <f t="shared" si="12"/>
        <v>-7.2803625488009036</v>
      </c>
      <c r="L235" s="27">
        <f t="shared" si="13"/>
        <v>7.2923807920494301</v>
      </c>
    </row>
    <row r="236" spans="9:12" x14ac:dyDescent="0.25">
      <c r="I236" s="24">
        <f t="shared" si="14"/>
        <v>23.400000000000002</v>
      </c>
      <c r="J236">
        <f t="shared" si="12"/>
        <v>0.40796162695885774</v>
      </c>
      <c r="K236">
        <f t="shared" si="12"/>
        <v>-7.2777314094627021</v>
      </c>
      <c r="L236" s="27">
        <f t="shared" si="13"/>
        <v>7.2891568207407147</v>
      </c>
    </row>
    <row r="237" spans="9:12" x14ac:dyDescent="0.25">
      <c r="I237" s="24">
        <f t="shared" si="14"/>
        <v>23.5</v>
      </c>
      <c r="J237">
        <f t="shared" si="12"/>
        <v>0.39742740654442743</v>
      </c>
      <c r="K237">
        <f t="shared" si="12"/>
        <v>-7.2751002701245024</v>
      </c>
      <c r="L237" s="27">
        <f t="shared" si="13"/>
        <v>7.2859476036983848</v>
      </c>
    </row>
    <row r="238" spans="9:12" x14ac:dyDescent="0.25">
      <c r="I238" s="24">
        <f t="shared" si="14"/>
        <v>23.6</v>
      </c>
      <c r="J238">
        <f t="shared" si="12"/>
        <v>0.38689318612999668</v>
      </c>
      <c r="K238">
        <f t="shared" si="12"/>
        <v>-7.272469130786301</v>
      </c>
      <c r="L238" s="27">
        <f t="shared" si="13"/>
        <v>7.2827531604272755</v>
      </c>
    </row>
    <row r="239" spans="9:12" x14ac:dyDescent="0.25">
      <c r="I239" s="24">
        <f t="shared" si="14"/>
        <v>23.700000000000003</v>
      </c>
      <c r="J239">
        <f t="shared" si="12"/>
        <v>0.37635896571556593</v>
      </c>
      <c r="K239">
        <f t="shared" si="12"/>
        <v>-7.2698379914481013</v>
      </c>
      <c r="L239" s="27">
        <f t="shared" si="13"/>
        <v>7.2795735103765971</v>
      </c>
    </row>
    <row r="240" spans="9:12" x14ac:dyDescent="0.25">
      <c r="I240" s="24">
        <f t="shared" si="14"/>
        <v>23.8</v>
      </c>
      <c r="J240">
        <f t="shared" si="12"/>
        <v>0.3658247453011354</v>
      </c>
      <c r="K240">
        <f t="shared" si="12"/>
        <v>-7.2672068521098998</v>
      </c>
      <c r="L240" s="27">
        <f t="shared" si="13"/>
        <v>7.2764086729394002</v>
      </c>
    </row>
    <row r="241" spans="9:12" x14ac:dyDescent="0.25">
      <c r="I241" s="24">
        <f t="shared" si="14"/>
        <v>23.900000000000002</v>
      </c>
      <c r="J241">
        <f t="shared" si="12"/>
        <v>0.35529052488670487</v>
      </c>
      <c r="K241">
        <f t="shared" si="12"/>
        <v>-7.2645757127717001</v>
      </c>
      <c r="L241" s="27">
        <f t="shared" si="13"/>
        <v>7.2732586674520743</v>
      </c>
    </row>
    <row r="242" spans="9:12" x14ac:dyDescent="0.25">
      <c r="I242" s="24">
        <f t="shared" si="14"/>
        <v>24</v>
      </c>
      <c r="J242">
        <f t="shared" si="12"/>
        <v>0.34475630447227434</v>
      </c>
      <c r="K242">
        <f t="shared" si="12"/>
        <v>-7.2619445734334986</v>
      </c>
      <c r="L242" s="27">
        <f t="shared" si="13"/>
        <v>7.270123513193818</v>
      </c>
    </row>
    <row r="243" spans="9:12" x14ac:dyDescent="0.25">
      <c r="I243" s="24">
        <f t="shared" si="14"/>
        <v>24.1</v>
      </c>
      <c r="J243">
        <f t="shared" si="12"/>
        <v>0.33422208405784382</v>
      </c>
      <c r="K243">
        <f t="shared" si="12"/>
        <v>-7.2593134340952989</v>
      </c>
      <c r="L243" s="27">
        <f t="shared" si="13"/>
        <v>7.2670032293861304</v>
      </c>
    </row>
    <row r="244" spans="9:12" x14ac:dyDescent="0.25">
      <c r="I244" s="24">
        <f t="shared" si="14"/>
        <v>24.200000000000003</v>
      </c>
      <c r="J244">
        <f t="shared" si="12"/>
        <v>0.32368786364341284</v>
      </c>
      <c r="K244">
        <f t="shared" si="12"/>
        <v>-7.2566822947570975</v>
      </c>
      <c r="L244" s="27">
        <f t="shared" si="13"/>
        <v>7.2638978351922852</v>
      </c>
    </row>
    <row r="245" spans="9:12" x14ac:dyDescent="0.25">
      <c r="I245" s="24">
        <f t="shared" si="14"/>
        <v>24.3</v>
      </c>
      <c r="J245">
        <f t="shared" si="12"/>
        <v>0.31315364322898231</v>
      </c>
      <c r="K245">
        <f t="shared" si="12"/>
        <v>-7.2540511554188978</v>
      </c>
      <c r="L245" s="27">
        <f t="shared" si="13"/>
        <v>7.2608073497168224</v>
      </c>
    </row>
    <row r="246" spans="9:12" x14ac:dyDescent="0.25">
      <c r="I246" s="24">
        <f t="shared" si="14"/>
        <v>24.400000000000002</v>
      </c>
      <c r="J246">
        <f t="shared" si="12"/>
        <v>0.30261942281455223</v>
      </c>
      <c r="K246">
        <f t="shared" si="12"/>
        <v>-7.2514200160806963</v>
      </c>
      <c r="L246" s="27">
        <f t="shared" si="13"/>
        <v>7.2577317920050186</v>
      </c>
    </row>
    <row r="247" spans="9:12" x14ac:dyDescent="0.25">
      <c r="I247" s="24">
        <f t="shared" si="14"/>
        <v>24.5</v>
      </c>
      <c r="J247">
        <f t="shared" si="12"/>
        <v>0.29208520240012126</v>
      </c>
      <c r="K247">
        <f t="shared" si="12"/>
        <v>-7.2487888767424966</v>
      </c>
      <c r="L247" s="27">
        <f t="shared" si="13"/>
        <v>7.2546711810423821</v>
      </c>
    </row>
    <row r="248" spans="9:12" x14ac:dyDescent="0.25">
      <c r="I248" s="24">
        <f t="shared" si="14"/>
        <v>24.6</v>
      </c>
      <c r="J248">
        <f t="shared" si="12"/>
        <v>0.28155098198569073</v>
      </c>
      <c r="K248">
        <f t="shared" si="12"/>
        <v>-7.246157737404296</v>
      </c>
      <c r="L248" s="27">
        <f t="shared" si="13"/>
        <v>7.2516255357541217</v>
      </c>
    </row>
    <row r="249" spans="9:12" x14ac:dyDescent="0.25">
      <c r="I249" s="24">
        <f t="shared" si="14"/>
        <v>24.700000000000003</v>
      </c>
      <c r="J249">
        <f t="shared" si="12"/>
        <v>0.27101676157125976</v>
      </c>
      <c r="K249">
        <f t="shared" si="12"/>
        <v>-7.2435265980660954</v>
      </c>
      <c r="L249" s="27">
        <f t="shared" si="13"/>
        <v>7.2485948750046418</v>
      </c>
    </row>
    <row r="250" spans="9:12" x14ac:dyDescent="0.25">
      <c r="I250" s="24">
        <f t="shared" si="14"/>
        <v>24.8</v>
      </c>
      <c r="J250">
        <f t="shared" si="12"/>
        <v>0.26048254115682967</v>
      </c>
      <c r="K250">
        <f t="shared" si="12"/>
        <v>-7.2408954587278949</v>
      </c>
      <c r="L250" s="27">
        <f t="shared" si="13"/>
        <v>7.2455792175970153</v>
      </c>
    </row>
    <row r="251" spans="9:12" x14ac:dyDescent="0.25">
      <c r="I251" s="24">
        <f t="shared" si="14"/>
        <v>24.900000000000002</v>
      </c>
      <c r="J251">
        <f t="shared" si="12"/>
        <v>0.24994832074239914</v>
      </c>
      <c r="K251">
        <f t="shared" si="12"/>
        <v>-7.2382643193896952</v>
      </c>
      <c r="L251" s="27">
        <f t="shared" si="13"/>
        <v>7.2425785822724711</v>
      </c>
    </row>
    <row r="252" spans="9:12" x14ac:dyDescent="0.25">
      <c r="I252" s="24">
        <f t="shared" si="14"/>
        <v>25</v>
      </c>
      <c r="J252">
        <f t="shared" si="12"/>
        <v>0.23941410032796817</v>
      </c>
      <c r="K252">
        <f t="shared" si="12"/>
        <v>-7.2356331800514937</v>
      </c>
      <c r="L252" s="27">
        <f t="shared" si="13"/>
        <v>7.2395929877098713</v>
      </c>
    </row>
    <row r="253" spans="9:12" x14ac:dyDescent="0.25">
      <c r="I253" s="24">
        <f t="shared" si="14"/>
        <v>25.1</v>
      </c>
      <c r="J253">
        <f t="shared" si="12"/>
        <v>0.22887987991353764</v>
      </c>
      <c r="K253">
        <f t="shared" si="12"/>
        <v>-7.233002040713294</v>
      </c>
      <c r="L253" s="27">
        <f t="shared" si="13"/>
        <v>7.2366224525252045</v>
      </c>
    </row>
    <row r="254" spans="9:12" x14ac:dyDescent="0.25">
      <c r="I254" s="24">
        <f t="shared" si="14"/>
        <v>25.200000000000003</v>
      </c>
      <c r="J254">
        <f t="shared" si="12"/>
        <v>0.21834565949910667</v>
      </c>
      <c r="K254">
        <f t="shared" si="12"/>
        <v>-7.2303709013750916</v>
      </c>
      <c r="L254" s="27">
        <f t="shared" si="13"/>
        <v>7.2336669952710535</v>
      </c>
    </row>
    <row r="255" spans="9:12" x14ac:dyDescent="0.25">
      <c r="I255" s="24">
        <f t="shared" si="14"/>
        <v>25.3</v>
      </c>
      <c r="J255">
        <f t="shared" si="12"/>
        <v>0.20781143908467659</v>
      </c>
      <c r="K255">
        <f t="shared" si="12"/>
        <v>-7.2277397620368928</v>
      </c>
      <c r="L255" s="27">
        <f t="shared" si="13"/>
        <v>7.2307266344360972</v>
      </c>
    </row>
    <row r="256" spans="9:12" x14ac:dyDescent="0.25">
      <c r="I256" s="24">
        <f t="shared" si="14"/>
        <v>25.400000000000002</v>
      </c>
      <c r="J256">
        <f t="shared" si="12"/>
        <v>0.19727721867024606</v>
      </c>
      <c r="K256">
        <f t="shared" si="12"/>
        <v>-7.2251086226986914</v>
      </c>
      <c r="L256" s="27">
        <f t="shared" si="13"/>
        <v>7.2278013884445693</v>
      </c>
    </row>
    <row r="257" spans="9:12" x14ac:dyDescent="0.25">
      <c r="I257" s="24">
        <f t="shared" si="14"/>
        <v>25.5</v>
      </c>
      <c r="J257">
        <f t="shared" si="12"/>
        <v>0.18674299825581553</v>
      </c>
      <c r="K257">
        <f t="shared" si="12"/>
        <v>-7.2224774833604917</v>
      </c>
      <c r="L257" s="27">
        <f t="shared" si="13"/>
        <v>7.2248912756557715</v>
      </c>
    </row>
    <row r="258" spans="9:12" x14ac:dyDescent="0.25">
      <c r="I258" s="24">
        <f t="shared" si="14"/>
        <v>25.6</v>
      </c>
      <c r="J258">
        <f t="shared" ref="J258:K321" si="15">D$29*($I258/1000)+D$18*(($I258/1000)-($D$8/1000))*(($I258/1000)&gt;($D$8/1000))+D$19*(($I258/1000)-($D$9/1000))*(($I258/1000)&gt;($D$9/1000))+D$20*(($I258/1000)-($D$10/1000))*(($I258/1000)&gt;($D$10/1000))+D$21*(($I258/1000)-($D$11/1000))*(($I258/1000)&gt;($D$11/1000))</f>
        <v>0.17620877784138456</v>
      </c>
      <c r="K258">
        <f t="shared" si="15"/>
        <v>-7.2198463440222902</v>
      </c>
      <c r="L258" s="27">
        <f t="shared" ref="L258:L321" si="16">SQRT((J258^2)+(K258^2))</f>
        <v>7.221996314363528</v>
      </c>
    </row>
    <row r="259" spans="9:12" x14ac:dyDescent="0.25">
      <c r="I259" s="24">
        <f t="shared" ref="I259:I322" si="17">IF((ROW(A257)*$F$2)&lt;=$D$5, ROW(A257)*$F$2,NA())</f>
        <v>25.700000000000003</v>
      </c>
      <c r="J259">
        <f t="shared" si="15"/>
        <v>0.16567455742695358</v>
      </c>
      <c r="K259">
        <f t="shared" si="15"/>
        <v>-7.2172152046840905</v>
      </c>
      <c r="L259" s="27">
        <f t="shared" si="16"/>
        <v>7.2191165227956962</v>
      </c>
    </row>
    <row r="260" spans="9:12" x14ac:dyDescent="0.25">
      <c r="I260" s="24">
        <f t="shared" si="17"/>
        <v>25.8</v>
      </c>
      <c r="J260">
        <f t="shared" si="15"/>
        <v>0.1551403370125235</v>
      </c>
      <c r="K260">
        <f t="shared" si="15"/>
        <v>-7.214584065345889</v>
      </c>
      <c r="L260" s="27">
        <f t="shared" si="16"/>
        <v>7.2162519191136321</v>
      </c>
    </row>
    <row r="261" spans="9:12" x14ac:dyDescent="0.25">
      <c r="I261" s="24">
        <f t="shared" si="17"/>
        <v>25.900000000000002</v>
      </c>
      <c r="J261">
        <f t="shared" si="15"/>
        <v>0.14460611659809297</v>
      </c>
      <c r="K261">
        <f t="shared" si="15"/>
        <v>-7.2119529260076893</v>
      </c>
      <c r="L261" s="27">
        <f t="shared" si="16"/>
        <v>7.2134025214116848</v>
      </c>
    </row>
    <row r="262" spans="9:12" x14ac:dyDescent="0.25">
      <c r="I262" s="24">
        <f t="shared" si="17"/>
        <v>26</v>
      </c>
      <c r="J262">
        <f t="shared" si="15"/>
        <v>0.13407189618366244</v>
      </c>
      <c r="K262">
        <f t="shared" si="15"/>
        <v>-7.2093217866694879</v>
      </c>
      <c r="L262" s="27">
        <f t="shared" si="16"/>
        <v>7.210568347716678</v>
      </c>
    </row>
    <row r="263" spans="9:12" x14ac:dyDescent="0.25">
      <c r="I263" s="24">
        <f t="shared" si="17"/>
        <v>26.1</v>
      </c>
      <c r="J263">
        <f t="shared" si="15"/>
        <v>0.12353767576923147</v>
      </c>
      <c r="K263">
        <f t="shared" si="15"/>
        <v>-7.2066906473312882</v>
      </c>
      <c r="L263" s="27">
        <f t="shared" si="16"/>
        <v>7.2077494159874007</v>
      </c>
    </row>
    <row r="264" spans="9:12" x14ac:dyDescent="0.25">
      <c r="I264" s="24">
        <f t="shared" si="17"/>
        <v>26.200000000000003</v>
      </c>
      <c r="J264">
        <f t="shared" si="15"/>
        <v>0.1130034553548005</v>
      </c>
      <c r="K264">
        <f t="shared" si="15"/>
        <v>-7.2040595079930867</v>
      </c>
      <c r="L264" s="27">
        <f t="shared" si="16"/>
        <v>7.2049457441140889</v>
      </c>
    </row>
    <row r="265" spans="9:12" x14ac:dyDescent="0.25">
      <c r="I265" s="24">
        <f t="shared" si="17"/>
        <v>26.3</v>
      </c>
      <c r="J265">
        <f t="shared" si="15"/>
        <v>0.10246923494037041</v>
      </c>
      <c r="K265">
        <f t="shared" si="15"/>
        <v>-7.201428368654887</v>
      </c>
      <c r="L265" s="27">
        <f t="shared" si="16"/>
        <v>7.2021573499179157</v>
      </c>
    </row>
    <row r="266" spans="9:12" x14ac:dyDescent="0.25">
      <c r="I266" s="24">
        <f t="shared" si="17"/>
        <v>26.400000000000002</v>
      </c>
      <c r="J266">
        <f t="shared" si="15"/>
        <v>9.1935014525939884E-2</v>
      </c>
      <c r="K266">
        <f t="shared" si="15"/>
        <v>-7.1987972293166855</v>
      </c>
      <c r="L266" s="27">
        <f t="shared" si="16"/>
        <v>7.199384251150474</v>
      </c>
    </row>
    <row r="267" spans="9:12" x14ac:dyDescent="0.25">
      <c r="I267" s="24">
        <f t="shared" si="17"/>
        <v>26.5</v>
      </c>
      <c r="J267">
        <f t="shared" si="15"/>
        <v>8.14007941115098E-2</v>
      </c>
      <c r="K267">
        <f t="shared" si="15"/>
        <v>-7.1961660899784858</v>
      </c>
      <c r="L267" s="27">
        <f t="shared" si="16"/>
        <v>7.1966264654932752</v>
      </c>
    </row>
    <row r="268" spans="9:12" x14ac:dyDescent="0.25">
      <c r="I268" s="24">
        <f t="shared" si="17"/>
        <v>26.6</v>
      </c>
      <c r="J268">
        <f t="shared" si="15"/>
        <v>7.0866573697078827E-2</v>
      </c>
      <c r="K268">
        <f t="shared" si="15"/>
        <v>-7.1935349506402844</v>
      </c>
      <c r="L268" s="27">
        <f t="shared" si="16"/>
        <v>7.1938840105572233</v>
      </c>
    </row>
    <row r="269" spans="9:12" x14ac:dyDescent="0.25">
      <c r="I269" s="24">
        <f t="shared" si="17"/>
        <v>26.700000000000003</v>
      </c>
      <c r="J269">
        <f t="shared" si="15"/>
        <v>6.0332353282648299E-2</v>
      </c>
      <c r="K269">
        <f t="shared" si="15"/>
        <v>-7.1909038113020847</v>
      </c>
      <c r="L269" s="27">
        <f t="shared" si="16"/>
        <v>7.1911569038821188</v>
      </c>
    </row>
    <row r="270" spans="9:12" x14ac:dyDescent="0.25">
      <c r="I270" s="24">
        <f t="shared" si="17"/>
        <v>26.8</v>
      </c>
      <c r="J270">
        <f t="shared" si="15"/>
        <v>4.9798132868217326E-2</v>
      </c>
      <c r="K270">
        <f t="shared" si="15"/>
        <v>-7.1882726719638832</v>
      </c>
      <c r="L270" s="27">
        <f t="shared" si="16"/>
        <v>7.1884451629361372</v>
      </c>
    </row>
    <row r="271" spans="9:12" x14ac:dyDescent="0.25">
      <c r="I271" s="24">
        <f t="shared" si="17"/>
        <v>26.900000000000002</v>
      </c>
      <c r="J271">
        <f t="shared" si="15"/>
        <v>3.9263912453786798E-2</v>
      </c>
      <c r="K271">
        <f t="shared" si="15"/>
        <v>-7.1856415326256835</v>
      </c>
      <c r="L271" s="27">
        <f t="shared" si="16"/>
        <v>7.1857488051153275</v>
      </c>
    </row>
    <row r="272" spans="9:12" x14ac:dyDescent="0.25">
      <c r="I272" s="24">
        <f t="shared" si="17"/>
        <v>27</v>
      </c>
      <c r="J272">
        <f t="shared" si="15"/>
        <v>2.8729692039356713E-2</v>
      </c>
      <c r="K272">
        <f t="shared" si="15"/>
        <v>-7.183010393287482</v>
      </c>
      <c r="L272" s="27">
        <f t="shared" si="16"/>
        <v>7.1830678477430983</v>
      </c>
    </row>
    <row r="273" spans="9:12" x14ac:dyDescent="0.25">
      <c r="I273" s="24">
        <f t="shared" si="17"/>
        <v>27.1</v>
      </c>
      <c r="J273">
        <f t="shared" si="15"/>
        <v>1.8195471624925741E-2</v>
      </c>
      <c r="K273">
        <f t="shared" si="15"/>
        <v>-7.1803792539492823</v>
      </c>
      <c r="L273" s="27">
        <f t="shared" si="16"/>
        <v>7.1804023080697164</v>
      </c>
    </row>
    <row r="274" spans="9:12" x14ac:dyDescent="0.25">
      <c r="I274" s="24">
        <f t="shared" si="17"/>
        <v>27.200000000000003</v>
      </c>
      <c r="J274">
        <f t="shared" si="15"/>
        <v>7.6612512104952124E-3</v>
      </c>
      <c r="K274">
        <f t="shared" si="15"/>
        <v>-7.1777481146110809</v>
      </c>
      <c r="L274" s="27">
        <f t="shared" si="16"/>
        <v>7.1777522032717904</v>
      </c>
    </row>
    <row r="275" spans="9:12" x14ac:dyDescent="0.25">
      <c r="I275" s="24">
        <f t="shared" si="17"/>
        <v>27.3</v>
      </c>
      <c r="J275">
        <f t="shared" si="15"/>
        <v>-2.8729692039357602E-3</v>
      </c>
      <c r="K275">
        <f t="shared" si="15"/>
        <v>-7.1751169752728812</v>
      </c>
      <c r="L275" s="27">
        <f t="shared" si="16"/>
        <v>7.1751175504517768</v>
      </c>
    </row>
    <row r="276" spans="9:12" x14ac:dyDescent="0.25">
      <c r="I276" s="24">
        <f t="shared" si="17"/>
        <v>27.400000000000002</v>
      </c>
      <c r="J276">
        <f t="shared" si="15"/>
        <v>-1.3407189618365845E-2</v>
      </c>
      <c r="K276">
        <f t="shared" si="15"/>
        <v>-7.1724858359346797</v>
      </c>
      <c r="L276" s="27">
        <f t="shared" si="16"/>
        <v>7.1724983666374627</v>
      </c>
    </row>
    <row r="277" spans="9:12" x14ac:dyDescent="0.25">
      <c r="I277" s="24">
        <f t="shared" si="17"/>
        <v>27.5</v>
      </c>
      <c r="J277">
        <f t="shared" si="15"/>
        <v>-2.3941410032796373E-2</v>
      </c>
      <c r="K277">
        <f t="shared" si="15"/>
        <v>-7.16985469659648</v>
      </c>
      <c r="L277" s="27">
        <f t="shared" si="16"/>
        <v>7.1698946687814704</v>
      </c>
    </row>
    <row r="278" spans="9:12" x14ac:dyDescent="0.25">
      <c r="I278" s="24">
        <f t="shared" si="17"/>
        <v>27.6</v>
      </c>
      <c r="J278">
        <f t="shared" si="15"/>
        <v>-3.4475630447227346E-2</v>
      </c>
      <c r="K278">
        <f t="shared" si="15"/>
        <v>-7.1672235572582785</v>
      </c>
      <c r="L278" s="27">
        <f t="shared" si="16"/>
        <v>7.1673064737607497</v>
      </c>
    </row>
    <row r="279" spans="9:12" x14ac:dyDescent="0.25">
      <c r="I279" s="24">
        <f t="shared" si="17"/>
        <v>27.700000000000003</v>
      </c>
      <c r="J279">
        <f t="shared" si="15"/>
        <v>-4.5009850861657874E-2</v>
      </c>
      <c r="K279">
        <f t="shared" si="15"/>
        <v>-7.1645924179200788</v>
      </c>
      <c r="L279" s="27">
        <f t="shared" si="16"/>
        <v>7.1647337983760755</v>
      </c>
    </row>
    <row r="280" spans="9:12" x14ac:dyDescent="0.25">
      <c r="I280" s="24">
        <f t="shared" si="17"/>
        <v>27.8</v>
      </c>
      <c r="J280">
        <f t="shared" si="15"/>
        <v>-5.5544071276088847E-2</v>
      </c>
      <c r="K280">
        <f t="shared" si="15"/>
        <v>-7.1619612785818774</v>
      </c>
      <c r="L280" s="27">
        <f t="shared" si="16"/>
        <v>7.1621766593515472</v>
      </c>
    </row>
    <row r="281" spans="9:12" x14ac:dyDescent="0.25">
      <c r="I281" s="24">
        <f t="shared" si="17"/>
        <v>27.900000000000002</v>
      </c>
      <c r="J281">
        <f t="shared" si="15"/>
        <v>-6.6078291690518931E-2</v>
      </c>
      <c r="K281">
        <f t="shared" si="15"/>
        <v>-7.1593301392436777</v>
      </c>
      <c r="L281" s="27">
        <f t="shared" si="16"/>
        <v>7.1596350733340897</v>
      </c>
    </row>
    <row r="282" spans="9:12" x14ac:dyDescent="0.25">
      <c r="I282" s="24">
        <f t="shared" si="17"/>
        <v>28</v>
      </c>
      <c r="J282">
        <f t="shared" si="15"/>
        <v>-7.661251210494946E-2</v>
      </c>
      <c r="K282">
        <f t="shared" si="15"/>
        <v>-7.1566989999054762</v>
      </c>
      <c r="L282" s="27">
        <f t="shared" si="16"/>
        <v>7.1571090568929492</v>
      </c>
    </row>
    <row r="283" spans="9:12" x14ac:dyDescent="0.25">
      <c r="I283" s="24">
        <f t="shared" si="17"/>
        <v>28.1</v>
      </c>
      <c r="J283">
        <f t="shared" si="15"/>
        <v>-8.7146732519379988E-2</v>
      </c>
      <c r="K283">
        <f t="shared" si="15"/>
        <v>-7.1540678605672765</v>
      </c>
      <c r="L283" s="27">
        <f t="shared" si="16"/>
        <v>7.1545986265192028</v>
      </c>
    </row>
    <row r="284" spans="9:12" x14ac:dyDescent="0.25">
      <c r="I284" s="24">
        <f t="shared" si="17"/>
        <v>28.200000000000003</v>
      </c>
      <c r="J284">
        <f t="shared" si="15"/>
        <v>-9.7680952933810961E-2</v>
      </c>
      <c r="K284">
        <f t="shared" si="15"/>
        <v>-7.1514367212290768</v>
      </c>
      <c r="L284" s="27">
        <f t="shared" si="16"/>
        <v>7.1521037986252507</v>
      </c>
    </row>
    <row r="285" spans="9:12" x14ac:dyDescent="0.25">
      <c r="I285" s="24">
        <f t="shared" si="17"/>
        <v>28.3</v>
      </c>
      <c r="J285">
        <f t="shared" si="15"/>
        <v>-0.10821517334824149</v>
      </c>
      <c r="K285">
        <f t="shared" si="15"/>
        <v>-7.1488055818908762</v>
      </c>
      <c r="L285" s="27">
        <f t="shared" si="16"/>
        <v>7.1496245895443309</v>
      </c>
    </row>
    <row r="286" spans="9:12" x14ac:dyDescent="0.25">
      <c r="I286" s="24">
        <f t="shared" si="17"/>
        <v>28.400000000000002</v>
      </c>
      <c r="J286">
        <f t="shared" si="15"/>
        <v>-0.11874939376267202</v>
      </c>
      <c r="K286">
        <f t="shared" si="15"/>
        <v>-7.1461744425526756</v>
      </c>
      <c r="L286" s="27">
        <f t="shared" si="16"/>
        <v>7.147161015530016</v>
      </c>
    </row>
    <row r="287" spans="9:12" x14ac:dyDescent="0.25">
      <c r="I287" s="24">
        <f t="shared" si="17"/>
        <v>28.5</v>
      </c>
      <c r="J287">
        <f t="shared" si="15"/>
        <v>-0.12928361417710255</v>
      </c>
      <c r="K287">
        <f t="shared" si="15"/>
        <v>-7.1435433032144751</v>
      </c>
      <c r="L287" s="27">
        <f t="shared" si="16"/>
        <v>7.1447130927557243</v>
      </c>
    </row>
    <row r="288" spans="9:12" x14ac:dyDescent="0.25">
      <c r="I288" s="24">
        <f t="shared" si="17"/>
        <v>28.6</v>
      </c>
      <c r="J288">
        <f t="shared" si="15"/>
        <v>-0.13981783459153307</v>
      </c>
      <c r="K288">
        <f t="shared" si="15"/>
        <v>-7.1409121638762745</v>
      </c>
      <c r="L288" s="27">
        <f t="shared" si="16"/>
        <v>7.1422808373142264</v>
      </c>
    </row>
    <row r="289" spans="9:12" x14ac:dyDescent="0.25">
      <c r="I289" s="24">
        <f t="shared" si="17"/>
        <v>28.700000000000003</v>
      </c>
      <c r="J289">
        <f t="shared" si="15"/>
        <v>-0.15035205500596405</v>
      </c>
      <c r="K289">
        <f t="shared" si="15"/>
        <v>-7.1382810245380739</v>
      </c>
      <c r="L289" s="27">
        <f t="shared" si="16"/>
        <v>7.1398642652171516</v>
      </c>
    </row>
    <row r="290" spans="9:12" x14ac:dyDescent="0.25">
      <c r="I290" s="24">
        <f t="shared" si="17"/>
        <v>28.8</v>
      </c>
      <c r="J290">
        <f t="shared" si="15"/>
        <v>-0.16088627542039413</v>
      </c>
      <c r="K290">
        <f t="shared" si="15"/>
        <v>-7.1356498851998733</v>
      </c>
      <c r="L290" s="27">
        <f t="shared" si="16"/>
        <v>7.1374633923945003</v>
      </c>
    </row>
    <row r="291" spans="9:12" x14ac:dyDescent="0.25">
      <c r="I291" s="24">
        <f t="shared" si="17"/>
        <v>28.900000000000002</v>
      </c>
      <c r="J291">
        <f t="shared" si="15"/>
        <v>-0.1714204958348251</v>
      </c>
      <c r="K291">
        <f t="shared" si="15"/>
        <v>-7.1330187458616727</v>
      </c>
      <c r="L291" s="27">
        <f t="shared" si="16"/>
        <v>7.1350782346941575</v>
      </c>
    </row>
    <row r="292" spans="9:12" x14ac:dyDescent="0.25">
      <c r="I292" s="24">
        <f t="shared" si="17"/>
        <v>29</v>
      </c>
      <c r="J292">
        <f t="shared" si="15"/>
        <v>-0.18195471624925563</v>
      </c>
      <c r="K292">
        <f t="shared" si="15"/>
        <v>-7.1303876065234721</v>
      </c>
      <c r="L292" s="27">
        <f t="shared" si="16"/>
        <v>7.1327088078813983</v>
      </c>
    </row>
    <row r="293" spans="9:12" x14ac:dyDescent="0.25">
      <c r="I293" s="24">
        <f t="shared" si="17"/>
        <v>29.1</v>
      </c>
      <c r="J293">
        <f t="shared" si="15"/>
        <v>-0.19248893666368616</v>
      </c>
      <c r="K293">
        <f t="shared" si="15"/>
        <v>-7.1277564671852716</v>
      </c>
      <c r="L293" s="27">
        <f t="shared" si="16"/>
        <v>7.1303551276384107</v>
      </c>
    </row>
    <row r="294" spans="9:12" x14ac:dyDescent="0.25">
      <c r="I294" s="24">
        <f t="shared" si="17"/>
        <v>29.200000000000003</v>
      </c>
      <c r="J294">
        <f t="shared" si="15"/>
        <v>-0.20302315707811669</v>
      </c>
      <c r="K294">
        <f t="shared" si="15"/>
        <v>-7.125125327847071</v>
      </c>
      <c r="L294" s="27">
        <f t="shared" si="16"/>
        <v>7.1280172095638061</v>
      </c>
    </row>
    <row r="295" spans="9:12" x14ac:dyDescent="0.25">
      <c r="I295" s="24">
        <f t="shared" si="17"/>
        <v>29.3</v>
      </c>
      <c r="J295">
        <f t="shared" si="15"/>
        <v>-0.21355737749254722</v>
      </c>
      <c r="K295">
        <f t="shared" si="15"/>
        <v>-7.1224941885088704</v>
      </c>
      <c r="L295" s="27">
        <f t="shared" si="16"/>
        <v>7.1256950691721386</v>
      </c>
    </row>
    <row r="296" spans="9:12" x14ac:dyDescent="0.25">
      <c r="I296" s="24">
        <f t="shared" si="17"/>
        <v>29.400000000000002</v>
      </c>
      <c r="J296">
        <f t="shared" si="15"/>
        <v>-0.22409159790697819</v>
      </c>
      <c r="K296">
        <f t="shared" si="15"/>
        <v>-7.1198630491706698</v>
      </c>
      <c r="L296" s="27">
        <f t="shared" si="16"/>
        <v>7.12338872189342</v>
      </c>
    </row>
    <row r="297" spans="9:12" x14ac:dyDescent="0.25">
      <c r="I297" s="24">
        <f t="shared" si="17"/>
        <v>29.5</v>
      </c>
      <c r="J297">
        <f t="shared" si="15"/>
        <v>-0.23462581832140783</v>
      </c>
      <c r="K297">
        <f t="shared" si="15"/>
        <v>-7.1172319098324692</v>
      </c>
      <c r="L297" s="27">
        <f t="shared" si="16"/>
        <v>7.121098183072645</v>
      </c>
    </row>
    <row r="298" spans="9:12" x14ac:dyDescent="0.25">
      <c r="I298" s="24">
        <f t="shared" si="17"/>
        <v>29.6</v>
      </c>
      <c r="J298">
        <f t="shared" si="15"/>
        <v>-0.2451600387358388</v>
      </c>
      <c r="K298">
        <f t="shared" si="15"/>
        <v>-7.1146007704942686</v>
      </c>
      <c r="L298" s="27">
        <f t="shared" si="16"/>
        <v>7.1188234679693103</v>
      </c>
    </row>
    <row r="299" spans="9:12" x14ac:dyDescent="0.25">
      <c r="I299" s="24">
        <f t="shared" si="17"/>
        <v>29.700000000000003</v>
      </c>
      <c r="J299">
        <f t="shared" si="15"/>
        <v>-0.25569425915027022</v>
      </c>
      <c r="K299">
        <f t="shared" si="15"/>
        <v>-7.1119696311560663</v>
      </c>
      <c r="L299" s="27">
        <f t="shared" si="16"/>
        <v>7.1165645917569353</v>
      </c>
    </row>
    <row r="300" spans="9:12" x14ac:dyDescent="0.25">
      <c r="I300" s="24">
        <f t="shared" si="17"/>
        <v>29.8</v>
      </c>
      <c r="J300">
        <f t="shared" si="15"/>
        <v>-0.26622847956470075</v>
      </c>
      <c r="K300">
        <f t="shared" si="15"/>
        <v>-7.1093384918178675</v>
      </c>
      <c r="L300" s="27">
        <f t="shared" si="16"/>
        <v>7.1143215695225983</v>
      </c>
    </row>
    <row r="301" spans="9:12" x14ac:dyDescent="0.25">
      <c r="I301" s="24">
        <f t="shared" si="17"/>
        <v>29.900000000000002</v>
      </c>
      <c r="J301">
        <f t="shared" si="15"/>
        <v>-0.27676269997913172</v>
      </c>
      <c r="K301">
        <f t="shared" si="15"/>
        <v>-7.1067073524796651</v>
      </c>
      <c r="L301" s="27">
        <f t="shared" si="16"/>
        <v>7.1120944162664399</v>
      </c>
    </row>
    <row r="302" spans="9:12" x14ac:dyDescent="0.25">
      <c r="I302" s="24">
        <f t="shared" si="17"/>
        <v>30</v>
      </c>
      <c r="J302">
        <f t="shared" si="15"/>
        <v>-0.28729692039356136</v>
      </c>
      <c r="K302">
        <f t="shared" si="15"/>
        <v>-7.1040762131414645</v>
      </c>
      <c r="L302" s="27">
        <f t="shared" si="16"/>
        <v>7.10988314690122</v>
      </c>
    </row>
    <row r="303" spans="9:12" x14ac:dyDescent="0.25">
      <c r="I303" s="24">
        <f t="shared" si="17"/>
        <v>30.1</v>
      </c>
      <c r="J303">
        <f t="shared" si="15"/>
        <v>-0.29783114080799233</v>
      </c>
      <c r="K303">
        <f t="shared" si="15"/>
        <v>-7.1014450738032657</v>
      </c>
      <c r="L303" s="27">
        <f t="shared" si="16"/>
        <v>7.1076877762518285</v>
      </c>
    </row>
    <row r="304" spans="9:12" x14ac:dyDescent="0.25">
      <c r="I304" s="24">
        <f t="shared" si="17"/>
        <v>30.200000000000003</v>
      </c>
      <c r="J304">
        <f t="shared" si="15"/>
        <v>-0.30836536122242242</v>
      </c>
      <c r="K304">
        <f t="shared" si="15"/>
        <v>-7.0988139344650651</v>
      </c>
      <c r="L304" s="27">
        <f t="shared" si="16"/>
        <v>7.1055083190548176</v>
      </c>
    </row>
    <row r="305" spans="9:12" x14ac:dyDescent="0.25">
      <c r="I305" s="24">
        <f t="shared" si="17"/>
        <v>30.3</v>
      </c>
      <c r="J305">
        <f t="shared" si="15"/>
        <v>-0.31889958163685383</v>
      </c>
      <c r="K305">
        <f t="shared" si="15"/>
        <v>-7.0961827951268628</v>
      </c>
      <c r="L305" s="27">
        <f t="shared" si="16"/>
        <v>7.1033447899579425</v>
      </c>
    </row>
    <row r="306" spans="9:12" x14ac:dyDescent="0.25">
      <c r="I306" s="24">
        <f t="shared" si="17"/>
        <v>30.400000000000002</v>
      </c>
      <c r="J306">
        <f t="shared" si="15"/>
        <v>-0.32943380205128481</v>
      </c>
      <c r="K306">
        <f t="shared" si="15"/>
        <v>-7.0935516557886622</v>
      </c>
      <c r="L306" s="27">
        <f t="shared" si="16"/>
        <v>7.1011972035197015</v>
      </c>
    </row>
    <row r="307" spans="9:12" x14ac:dyDescent="0.25">
      <c r="I307" s="24">
        <f t="shared" si="17"/>
        <v>30.5</v>
      </c>
      <c r="J307">
        <f t="shared" si="15"/>
        <v>-0.33996802246571445</v>
      </c>
      <c r="K307">
        <f t="shared" si="15"/>
        <v>-7.0909205164504634</v>
      </c>
      <c r="L307" s="27">
        <f t="shared" si="16"/>
        <v>7.0990655742088586</v>
      </c>
    </row>
    <row r="308" spans="9:12" x14ac:dyDescent="0.25">
      <c r="I308" s="24">
        <f t="shared" si="17"/>
        <v>30.6</v>
      </c>
      <c r="J308">
        <f t="shared" si="15"/>
        <v>-0.35050224288014542</v>
      </c>
      <c r="K308">
        <f t="shared" si="15"/>
        <v>-7.0882893771122628</v>
      </c>
      <c r="L308" s="27">
        <f t="shared" si="16"/>
        <v>7.0969499164039869</v>
      </c>
    </row>
    <row r="309" spans="9:12" x14ac:dyDescent="0.25">
      <c r="I309" s="24">
        <f t="shared" si="17"/>
        <v>30.700000000000003</v>
      </c>
      <c r="J309">
        <f t="shared" si="15"/>
        <v>-0.3610364632945755</v>
      </c>
      <c r="K309">
        <f t="shared" si="15"/>
        <v>-7.0856582377740658</v>
      </c>
      <c r="L309" s="27">
        <f t="shared" si="16"/>
        <v>7.0948502443930224</v>
      </c>
    </row>
    <row r="310" spans="9:12" x14ac:dyDescent="0.25">
      <c r="I310" s="24">
        <f t="shared" si="17"/>
        <v>30.8</v>
      </c>
      <c r="J310">
        <f t="shared" si="15"/>
        <v>-0.37157068370900692</v>
      </c>
      <c r="K310">
        <f t="shared" si="15"/>
        <v>-7.0830270984358599</v>
      </c>
      <c r="L310" s="27">
        <f t="shared" si="16"/>
        <v>7.0927665723727786</v>
      </c>
    </row>
    <row r="311" spans="9:12" x14ac:dyDescent="0.25">
      <c r="I311" s="24">
        <f t="shared" si="17"/>
        <v>30.900000000000002</v>
      </c>
      <c r="J311">
        <f t="shared" si="15"/>
        <v>-0.38210490412343789</v>
      </c>
      <c r="K311">
        <f t="shared" si="15"/>
        <v>-7.0803959590976611</v>
      </c>
      <c r="L311" s="27">
        <f t="shared" si="16"/>
        <v>7.0906989144485379</v>
      </c>
    </row>
    <row r="312" spans="9:12" x14ac:dyDescent="0.25">
      <c r="I312" s="24">
        <f t="shared" si="17"/>
        <v>31</v>
      </c>
      <c r="J312">
        <f t="shared" si="15"/>
        <v>-0.39263912453786753</v>
      </c>
      <c r="K312">
        <f t="shared" si="15"/>
        <v>-7.0777648197594605</v>
      </c>
      <c r="L312" s="27">
        <f t="shared" si="16"/>
        <v>7.0886472846335451</v>
      </c>
    </row>
    <row r="313" spans="9:12" x14ac:dyDescent="0.25">
      <c r="I313" s="24">
        <f t="shared" si="17"/>
        <v>31.1</v>
      </c>
      <c r="J313">
        <f t="shared" si="15"/>
        <v>-0.40317334495229851</v>
      </c>
      <c r="K313">
        <f t="shared" si="15"/>
        <v>-7.0751336804212581</v>
      </c>
      <c r="L313" s="27">
        <f t="shared" si="16"/>
        <v>7.0866116968485926</v>
      </c>
    </row>
    <row r="314" spans="9:12" x14ac:dyDescent="0.25">
      <c r="I314" s="24">
        <f t="shared" si="17"/>
        <v>31.200000000000003</v>
      </c>
      <c r="J314">
        <f t="shared" si="15"/>
        <v>-0.41370756536672859</v>
      </c>
      <c r="K314">
        <f t="shared" si="15"/>
        <v>-7.0725025410830611</v>
      </c>
      <c r="L314" s="27">
        <f t="shared" si="16"/>
        <v>7.0845921649215642</v>
      </c>
    </row>
    <row r="315" spans="9:12" x14ac:dyDescent="0.25">
      <c r="I315" s="24">
        <f t="shared" si="17"/>
        <v>31.3</v>
      </c>
      <c r="J315">
        <f t="shared" si="15"/>
        <v>-0.42424178578115956</v>
      </c>
      <c r="K315">
        <f t="shared" si="15"/>
        <v>-7.0698714017448587</v>
      </c>
      <c r="L315" s="27">
        <f t="shared" si="16"/>
        <v>7.0825887025869712</v>
      </c>
    </row>
    <row r="316" spans="9:12" x14ac:dyDescent="0.25">
      <c r="I316" s="24">
        <f t="shared" si="17"/>
        <v>31.400000000000002</v>
      </c>
      <c r="J316">
        <f t="shared" si="15"/>
        <v>-0.43477600619559054</v>
      </c>
      <c r="K316">
        <f t="shared" si="15"/>
        <v>-7.0672402624066581</v>
      </c>
      <c r="L316" s="27">
        <f t="shared" si="16"/>
        <v>7.0806013234855358</v>
      </c>
    </row>
    <row r="317" spans="9:12" x14ac:dyDescent="0.25">
      <c r="I317" s="24">
        <f t="shared" si="17"/>
        <v>31.5</v>
      </c>
      <c r="J317">
        <f t="shared" si="15"/>
        <v>-0.44531022661002062</v>
      </c>
      <c r="K317">
        <f t="shared" si="15"/>
        <v>-7.0646091230684576</v>
      </c>
      <c r="L317" s="27">
        <f t="shared" si="16"/>
        <v>7.0786300411637244</v>
      </c>
    </row>
    <row r="318" spans="9:12" x14ac:dyDescent="0.25">
      <c r="I318" s="24">
        <f t="shared" si="17"/>
        <v>31.6</v>
      </c>
      <c r="J318">
        <f t="shared" si="15"/>
        <v>-0.45584444702445159</v>
      </c>
      <c r="K318">
        <f t="shared" si="15"/>
        <v>-7.0619779837302552</v>
      </c>
      <c r="L318" s="27">
        <f t="shared" si="16"/>
        <v>7.0766748690733188</v>
      </c>
    </row>
    <row r="319" spans="9:12" x14ac:dyDescent="0.25">
      <c r="I319" s="24">
        <f t="shared" si="17"/>
        <v>31.700000000000003</v>
      </c>
      <c r="J319">
        <f t="shared" si="15"/>
        <v>-0.46637866743888257</v>
      </c>
      <c r="K319">
        <f t="shared" si="15"/>
        <v>-7.0593468443920564</v>
      </c>
      <c r="L319" s="27">
        <f t="shared" si="16"/>
        <v>7.0747358205709805</v>
      </c>
    </row>
    <row r="320" spans="9:12" x14ac:dyDescent="0.25">
      <c r="I320" s="24">
        <f t="shared" si="17"/>
        <v>31.8</v>
      </c>
      <c r="J320">
        <f t="shared" si="15"/>
        <v>-0.47691288785331265</v>
      </c>
      <c r="K320">
        <f t="shared" si="15"/>
        <v>-7.0567157050538558</v>
      </c>
      <c r="L320" s="27">
        <f t="shared" si="16"/>
        <v>7.072812908917804</v>
      </c>
    </row>
    <row r="321" spans="9:12" x14ac:dyDescent="0.25">
      <c r="I321" s="24">
        <f t="shared" si="17"/>
        <v>31.900000000000002</v>
      </c>
      <c r="J321">
        <f t="shared" si="15"/>
        <v>-0.48744710826774362</v>
      </c>
      <c r="K321">
        <f t="shared" si="15"/>
        <v>-7.0540845657156535</v>
      </c>
      <c r="L321" s="27">
        <f t="shared" si="16"/>
        <v>7.0709061472788894</v>
      </c>
    </row>
    <row r="322" spans="9:12" x14ac:dyDescent="0.25">
      <c r="I322" s="24">
        <f t="shared" si="17"/>
        <v>32</v>
      </c>
      <c r="J322">
        <f t="shared" ref="J322:K385" si="18">D$29*($I322/1000)+D$18*(($I322/1000)-($D$8/1000))*(($I322/1000)&gt;($D$8/1000))+D$19*(($I322/1000)-($D$9/1000))*(($I322/1000)&gt;($D$9/1000))+D$20*(($I322/1000)-($D$10/1000))*(($I322/1000)&gt;($D$10/1000))+D$21*(($I322/1000)-($D$11/1000))*(($I322/1000)&gt;($D$11/1000))</f>
        <v>-0.49798132868217371</v>
      </c>
      <c r="K322">
        <f t="shared" si="18"/>
        <v>-7.0514534263774529</v>
      </c>
      <c r="L322" s="27">
        <f t="shared" ref="L322:L385" si="19">SQRT((J322^2)+(K322^2))</f>
        <v>7.069015548722918</v>
      </c>
    </row>
    <row r="323" spans="9:12" x14ac:dyDescent="0.25">
      <c r="I323" s="24">
        <f t="shared" ref="I323:I386" si="20">IF((ROW(A321)*$F$2)&lt;=$D$5, ROW(A321)*$F$2,NA())</f>
        <v>32.1</v>
      </c>
      <c r="J323">
        <f t="shared" si="18"/>
        <v>-0.50851554909660468</v>
      </c>
      <c r="K323">
        <f t="shared" si="18"/>
        <v>-7.0488222870392558</v>
      </c>
      <c r="L323" s="27">
        <f t="shared" si="19"/>
        <v>7.067141126221717</v>
      </c>
    </row>
    <row r="324" spans="9:12" x14ac:dyDescent="0.25">
      <c r="I324" s="24">
        <f t="shared" si="20"/>
        <v>32.200000000000003</v>
      </c>
      <c r="J324">
        <f t="shared" si="18"/>
        <v>-0.51904976951103476</v>
      </c>
      <c r="K324">
        <f t="shared" si="18"/>
        <v>-7.0461911477010535</v>
      </c>
      <c r="L324" s="27">
        <f t="shared" si="19"/>
        <v>7.0652828926498161</v>
      </c>
    </row>
    <row r="325" spans="9:12" x14ac:dyDescent="0.25">
      <c r="I325" s="24">
        <f t="shared" si="20"/>
        <v>32.300000000000004</v>
      </c>
      <c r="J325">
        <f t="shared" si="18"/>
        <v>-0.52958398992546574</v>
      </c>
      <c r="K325">
        <f t="shared" si="18"/>
        <v>-7.0435600083628529</v>
      </c>
      <c r="L325" s="27">
        <f t="shared" si="19"/>
        <v>7.0634408607840617</v>
      </c>
    </row>
    <row r="326" spans="9:12" x14ac:dyDescent="0.25">
      <c r="I326" s="24">
        <f t="shared" si="20"/>
        <v>32.4</v>
      </c>
      <c r="J326">
        <f t="shared" si="18"/>
        <v>-0.54011821033989582</v>
      </c>
      <c r="K326">
        <f t="shared" si="18"/>
        <v>-7.0409288690246505</v>
      </c>
      <c r="L326" s="27">
        <f t="shared" si="19"/>
        <v>7.0616150433031617</v>
      </c>
    </row>
    <row r="327" spans="9:12" x14ac:dyDescent="0.25">
      <c r="I327" s="24">
        <f t="shared" si="20"/>
        <v>32.5</v>
      </c>
      <c r="J327">
        <f t="shared" si="18"/>
        <v>-0.55065243075432679</v>
      </c>
      <c r="K327">
        <f t="shared" si="18"/>
        <v>-7.0382977296864535</v>
      </c>
      <c r="L327" s="27">
        <f t="shared" si="19"/>
        <v>7.0598054527872884</v>
      </c>
    </row>
    <row r="328" spans="9:12" x14ac:dyDescent="0.25">
      <c r="I328" s="24">
        <f t="shared" si="20"/>
        <v>32.6</v>
      </c>
      <c r="J328">
        <f t="shared" si="18"/>
        <v>-0.56118665116875777</v>
      </c>
      <c r="K328">
        <f t="shared" si="18"/>
        <v>-7.0356665903482511</v>
      </c>
      <c r="L328" s="27">
        <f t="shared" si="19"/>
        <v>7.0580121017176358</v>
      </c>
    </row>
    <row r="329" spans="9:12" x14ac:dyDescent="0.25">
      <c r="I329" s="24">
        <f t="shared" si="20"/>
        <v>32.700000000000003</v>
      </c>
      <c r="J329">
        <f t="shared" si="18"/>
        <v>-0.57172087158318785</v>
      </c>
      <c r="K329">
        <f t="shared" si="18"/>
        <v>-7.0330354510100506</v>
      </c>
      <c r="L329" s="27">
        <f t="shared" si="19"/>
        <v>7.0562350024760363</v>
      </c>
    </row>
    <row r="330" spans="9:12" x14ac:dyDescent="0.25">
      <c r="I330" s="24">
        <f t="shared" si="20"/>
        <v>32.800000000000004</v>
      </c>
      <c r="J330">
        <f t="shared" si="18"/>
        <v>-0.58225509199761882</v>
      </c>
      <c r="K330">
        <f t="shared" si="18"/>
        <v>-7.0304043116718482</v>
      </c>
      <c r="L330" s="27">
        <f t="shared" si="19"/>
        <v>7.0544741673445275</v>
      </c>
    </row>
    <row r="331" spans="9:12" x14ac:dyDescent="0.25">
      <c r="I331" s="24">
        <f t="shared" si="20"/>
        <v>32.9</v>
      </c>
      <c r="J331">
        <f t="shared" si="18"/>
        <v>-0.59278931241204891</v>
      </c>
      <c r="K331">
        <f t="shared" si="18"/>
        <v>-7.0277731723336512</v>
      </c>
      <c r="L331" s="27">
        <f t="shared" si="19"/>
        <v>7.0527296085049613</v>
      </c>
    </row>
    <row r="332" spans="9:12" x14ac:dyDescent="0.25">
      <c r="I332" s="24">
        <f t="shared" si="20"/>
        <v>33</v>
      </c>
      <c r="J332">
        <f t="shared" si="18"/>
        <v>-0.60332353282647988</v>
      </c>
      <c r="K332">
        <f t="shared" si="18"/>
        <v>-7.0251420329954488</v>
      </c>
      <c r="L332" s="27">
        <f t="shared" si="19"/>
        <v>7.0510013380385663</v>
      </c>
    </row>
    <row r="333" spans="9:12" x14ac:dyDescent="0.25">
      <c r="I333" s="24">
        <f t="shared" si="20"/>
        <v>33.1</v>
      </c>
      <c r="J333">
        <f t="shared" si="18"/>
        <v>-0.61385775324091041</v>
      </c>
      <c r="K333">
        <f t="shared" si="18"/>
        <v>-7.0225108936572482</v>
      </c>
      <c r="L333" s="27">
        <f t="shared" si="19"/>
        <v>7.0492893679255859</v>
      </c>
    </row>
    <row r="334" spans="9:12" x14ac:dyDescent="0.25">
      <c r="I334" s="24">
        <f t="shared" si="20"/>
        <v>33.200000000000003</v>
      </c>
      <c r="J334">
        <f t="shared" si="18"/>
        <v>-0.62439197365534094</v>
      </c>
      <c r="K334">
        <f t="shared" si="18"/>
        <v>-7.0198797543190459</v>
      </c>
      <c r="L334" s="27">
        <f t="shared" si="19"/>
        <v>7.0475937100448434</v>
      </c>
    </row>
    <row r="335" spans="9:12" x14ac:dyDescent="0.25">
      <c r="I335" s="24">
        <f t="shared" si="20"/>
        <v>33.300000000000004</v>
      </c>
      <c r="J335">
        <f t="shared" si="18"/>
        <v>-0.63492619406977191</v>
      </c>
      <c r="K335">
        <f t="shared" si="18"/>
        <v>-7.0172486149808488</v>
      </c>
      <c r="L335" s="27">
        <f t="shared" si="19"/>
        <v>7.0459143761733696</v>
      </c>
    </row>
    <row r="336" spans="9:12" x14ac:dyDescent="0.25">
      <c r="I336" s="24">
        <f t="shared" si="20"/>
        <v>33.4</v>
      </c>
      <c r="J336">
        <f t="shared" si="18"/>
        <v>-0.64546041448420155</v>
      </c>
      <c r="K336">
        <f t="shared" si="18"/>
        <v>-7.0146174756426465</v>
      </c>
      <c r="L336" s="27">
        <f t="shared" si="19"/>
        <v>7.0442513779859759</v>
      </c>
    </row>
    <row r="337" spans="9:12" x14ac:dyDescent="0.25">
      <c r="I337" s="24">
        <f t="shared" si="20"/>
        <v>33.5</v>
      </c>
      <c r="J337">
        <f t="shared" si="18"/>
        <v>-0.65599463489863252</v>
      </c>
      <c r="K337">
        <f t="shared" si="18"/>
        <v>-7.0119863363044459</v>
      </c>
      <c r="L337" s="27">
        <f t="shared" si="19"/>
        <v>7.0426047270549006</v>
      </c>
    </row>
    <row r="338" spans="9:12" x14ac:dyDescent="0.25">
      <c r="I338" s="24">
        <f t="shared" si="20"/>
        <v>33.6</v>
      </c>
      <c r="J338">
        <f t="shared" si="18"/>
        <v>-0.6665288553130635</v>
      </c>
      <c r="K338">
        <f t="shared" si="18"/>
        <v>-7.0093551969662471</v>
      </c>
      <c r="L338" s="27">
        <f t="shared" si="19"/>
        <v>7.0409744348493897</v>
      </c>
    </row>
    <row r="339" spans="9:12" x14ac:dyDescent="0.25">
      <c r="I339" s="24">
        <f t="shared" si="20"/>
        <v>33.700000000000003</v>
      </c>
      <c r="J339">
        <f t="shared" si="18"/>
        <v>-0.67706307572749358</v>
      </c>
      <c r="K339">
        <f t="shared" si="18"/>
        <v>-7.0067240576280465</v>
      </c>
      <c r="L339" s="27">
        <f t="shared" si="19"/>
        <v>7.0393605127353158</v>
      </c>
    </row>
    <row r="340" spans="9:12" x14ac:dyDescent="0.25">
      <c r="I340" s="24">
        <f t="shared" si="20"/>
        <v>33.800000000000004</v>
      </c>
      <c r="J340">
        <f t="shared" si="18"/>
        <v>-0.68759729614192455</v>
      </c>
      <c r="K340">
        <f t="shared" si="18"/>
        <v>-7.0040929182898441</v>
      </c>
      <c r="L340" s="27">
        <f t="shared" si="19"/>
        <v>7.0377629719748045</v>
      </c>
    </row>
    <row r="341" spans="9:12" x14ac:dyDescent="0.25">
      <c r="I341" s="24">
        <f t="shared" si="20"/>
        <v>33.9</v>
      </c>
      <c r="J341">
        <f t="shared" si="18"/>
        <v>-0.69813151655635508</v>
      </c>
      <c r="K341">
        <f t="shared" si="18"/>
        <v>-7.0014617789516436</v>
      </c>
      <c r="L341" s="27">
        <f t="shared" si="19"/>
        <v>7.0361818237258476</v>
      </c>
    </row>
    <row r="342" spans="9:12" x14ac:dyDescent="0.25">
      <c r="I342" s="24">
        <f t="shared" si="20"/>
        <v>34</v>
      </c>
      <c r="J342">
        <f t="shared" si="18"/>
        <v>-0.70866573697078605</v>
      </c>
      <c r="K342">
        <f t="shared" si="18"/>
        <v>-6.9988306396134448</v>
      </c>
      <c r="L342" s="27">
        <f t="shared" si="19"/>
        <v>7.0346170790419205</v>
      </c>
    </row>
    <row r="343" spans="9:12" x14ac:dyDescent="0.25">
      <c r="I343" s="24">
        <f t="shared" si="20"/>
        <v>34.1</v>
      </c>
      <c r="J343">
        <f t="shared" si="18"/>
        <v>-0.71919995738521614</v>
      </c>
      <c r="K343">
        <f t="shared" si="18"/>
        <v>-6.9961995002752442</v>
      </c>
      <c r="L343" s="27">
        <f t="shared" si="19"/>
        <v>7.0330687488716102</v>
      </c>
    </row>
    <row r="344" spans="9:12" x14ac:dyDescent="0.25">
      <c r="I344" s="24">
        <f t="shared" si="20"/>
        <v>34.200000000000003</v>
      </c>
      <c r="J344">
        <f t="shared" si="18"/>
        <v>-0.72973417779964711</v>
      </c>
      <c r="K344">
        <f t="shared" si="18"/>
        <v>-6.9935683609370418</v>
      </c>
      <c r="L344" s="27">
        <f t="shared" si="19"/>
        <v>7.0315368440582429</v>
      </c>
    </row>
    <row r="345" spans="9:12" x14ac:dyDescent="0.25">
      <c r="I345" s="24">
        <f t="shared" si="20"/>
        <v>34.300000000000004</v>
      </c>
      <c r="J345">
        <f t="shared" si="18"/>
        <v>-0.74026839821407808</v>
      </c>
      <c r="K345">
        <f t="shared" si="18"/>
        <v>-6.9909372215988412</v>
      </c>
      <c r="L345" s="27">
        <f t="shared" si="19"/>
        <v>7.0300213753395209</v>
      </c>
    </row>
    <row r="346" spans="9:12" x14ac:dyDescent="0.25">
      <c r="I346" s="24">
        <f t="shared" si="20"/>
        <v>34.4</v>
      </c>
      <c r="J346">
        <f t="shared" si="18"/>
        <v>-0.75080261862850772</v>
      </c>
      <c r="K346">
        <f t="shared" si="18"/>
        <v>-6.9883060822606424</v>
      </c>
      <c r="L346" s="27">
        <f t="shared" si="19"/>
        <v>7.0285223533471468</v>
      </c>
    </row>
    <row r="347" spans="9:12" x14ac:dyDescent="0.25">
      <c r="I347" s="24">
        <f t="shared" si="20"/>
        <v>34.5</v>
      </c>
      <c r="J347">
        <f t="shared" si="18"/>
        <v>-0.7613368390429387</v>
      </c>
      <c r="K347">
        <f t="shared" si="18"/>
        <v>-6.9856749429224418</v>
      </c>
      <c r="L347" s="27">
        <f t="shared" si="19"/>
        <v>7.0270397886064622</v>
      </c>
    </row>
    <row r="348" spans="9:12" x14ac:dyDescent="0.25">
      <c r="I348" s="24">
        <f t="shared" si="20"/>
        <v>34.6</v>
      </c>
      <c r="J348">
        <f t="shared" si="18"/>
        <v>-0.77187105945736878</v>
      </c>
      <c r="K348">
        <f t="shared" si="18"/>
        <v>-6.9830438035842395</v>
      </c>
      <c r="L348" s="27">
        <f t="shared" si="19"/>
        <v>7.0255736915360929</v>
      </c>
    </row>
    <row r="349" spans="9:12" x14ac:dyDescent="0.25">
      <c r="I349" s="24">
        <f t="shared" si="20"/>
        <v>34.700000000000003</v>
      </c>
      <c r="J349">
        <f t="shared" si="18"/>
        <v>-0.78240527987179975</v>
      </c>
      <c r="K349">
        <f t="shared" si="18"/>
        <v>-6.9804126642460389</v>
      </c>
      <c r="L349" s="27">
        <f t="shared" si="19"/>
        <v>7.0241240724475924</v>
      </c>
    </row>
    <row r="350" spans="9:12" x14ac:dyDescent="0.25">
      <c r="I350" s="24">
        <f t="shared" si="20"/>
        <v>34.800000000000004</v>
      </c>
      <c r="J350">
        <f t="shared" si="18"/>
        <v>-0.79293950028623073</v>
      </c>
      <c r="K350">
        <f t="shared" si="18"/>
        <v>-6.9777815249078401</v>
      </c>
      <c r="L350" s="27">
        <f t="shared" si="19"/>
        <v>7.0226909415450827</v>
      </c>
    </row>
    <row r="351" spans="9:12" x14ac:dyDescent="0.25">
      <c r="I351" s="24">
        <f t="shared" si="20"/>
        <v>34.9</v>
      </c>
      <c r="J351">
        <f t="shared" si="18"/>
        <v>-0.80347372070066125</v>
      </c>
      <c r="K351">
        <f t="shared" si="18"/>
        <v>-6.9751503855696395</v>
      </c>
      <c r="L351" s="27">
        <f t="shared" si="19"/>
        <v>7.0212743089249017</v>
      </c>
    </row>
    <row r="352" spans="9:12" x14ac:dyDescent="0.25">
      <c r="I352" s="24">
        <f t="shared" si="20"/>
        <v>35</v>
      </c>
      <c r="J352">
        <f t="shared" si="18"/>
        <v>-0.81400794111509223</v>
      </c>
      <c r="K352">
        <f t="shared" si="18"/>
        <v>-6.9725192462314372</v>
      </c>
      <c r="L352" s="27">
        <f t="shared" si="19"/>
        <v>7.019874184575265</v>
      </c>
    </row>
    <row r="353" spans="9:12" x14ac:dyDescent="0.25">
      <c r="I353" s="24">
        <f t="shared" si="20"/>
        <v>35.1</v>
      </c>
      <c r="J353">
        <f t="shared" si="18"/>
        <v>-0.82454216152952231</v>
      </c>
      <c r="K353">
        <f t="shared" si="18"/>
        <v>-6.9698881068932366</v>
      </c>
      <c r="L353" s="27">
        <f t="shared" si="19"/>
        <v>7.0184905783759204</v>
      </c>
    </row>
    <row r="354" spans="9:12" x14ac:dyDescent="0.25">
      <c r="I354" s="24">
        <f t="shared" si="20"/>
        <v>35.200000000000003</v>
      </c>
      <c r="J354">
        <f t="shared" si="18"/>
        <v>-0.83507638194395284</v>
      </c>
      <c r="K354">
        <f t="shared" si="18"/>
        <v>-6.9672569675550378</v>
      </c>
      <c r="L354" s="27">
        <f t="shared" si="19"/>
        <v>7.0171235000978021</v>
      </c>
    </row>
    <row r="355" spans="9:12" x14ac:dyDescent="0.25">
      <c r="I355" s="24">
        <f t="shared" si="20"/>
        <v>35.300000000000004</v>
      </c>
      <c r="J355">
        <f t="shared" si="18"/>
        <v>-0.84561060235838381</v>
      </c>
      <c r="K355">
        <f t="shared" si="18"/>
        <v>-6.9646258282168372</v>
      </c>
      <c r="L355" s="27">
        <f t="shared" si="19"/>
        <v>7.0157729594026899</v>
      </c>
    </row>
    <row r="356" spans="9:12" x14ac:dyDescent="0.25">
      <c r="I356" s="24">
        <f t="shared" si="20"/>
        <v>35.4</v>
      </c>
      <c r="J356">
        <f t="shared" si="18"/>
        <v>-0.8561448227728139</v>
      </c>
      <c r="K356">
        <f t="shared" si="18"/>
        <v>-6.9619946888786348</v>
      </c>
      <c r="L356" s="27">
        <f t="shared" si="19"/>
        <v>7.014438965842885</v>
      </c>
    </row>
    <row r="357" spans="9:12" x14ac:dyDescent="0.25">
      <c r="I357" s="24">
        <f t="shared" si="20"/>
        <v>35.5</v>
      </c>
      <c r="J357">
        <f t="shared" si="18"/>
        <v>-0.86667904318724354</v>
      </c>
      <c r="K357">
        <f t="shared" si="18"/>
        <v>-6.9593635495404342</v>
      </c>
      <c r="L357" s="27">
        <f t="shared" si="19"/>
        <v>7.0131215288608812</v>
      </c>
    </row>
    <row r="358" spans="9:12" x14ac:dyDescent="0.25">
      <c r="I358" s="24">
        <f t="shared" si="20"/>
        <v>35.6</v>
      </c>
      <c r="J358">
        <f t="shared" si="18"/>
        <v>-0.87721326360167451</v>
      </c>
      <c r="K358">
        <f t="shared" si="18"/>
        <v>-6.9567324102022372</v>
      </c>
      <c r="L358" s="27">
        <f t="shared" si="19"/>
        <v>7.0118206577890261</v>
      </c>
    </row>
    <row r="359" spans="9:12" x14ac:dyDescent="0.25">
      <c r="I359" s="24">
        <f t="shared" si="20"/>
        <v>35.700000000000003</v>
      </c>
      <c r="J359">
        <f t="shared" si="18"/>
        <v>-0.88774748401610548</v>
      </c>
      <c r="K359">
        <f t="shared" si="18"/>
        <v>-6.9541012708640348</v>
      </c>
      <c r="L359" s="27">
        <f t="shared" si="19"/>
        <v>7.0105363618491925</v>
      </c>
    </row>
    <row r="360" spans="9:12" x14ac:dyDescent="0.25">
      <c r="I360" s="24">
        <f t="shared" si="20"/>
        <v>35.800000000000004</v>
      </c>
      <c r="J360">
        <f t="shared" si="18"/>
        <v>-0.89828170443053645</v>
      </c>
      <c r="K360">
        <f t="shared" si="18"/>
        <v>-6.9514701315258325</v>
      </c>
      <c r="L360" s="27">
        <f t="shared" si="19"/>
        <v>7.0092686501524826</v>
      </c>
    </row>
    <row r="361" spans="9:12" x14ac:dyDescent="0.25">
      <c r="I361" s="24">
        <f t="shared" si="20"/>
        <v>35.9</v>
      </c>
      <c r="J361">
        <f t="shared" si="18"/>
        <v>-0.90881592484496743</v>
      </c>
      <c r="K361">
        <f t="shared" si="18"/>
        <v>-6.9488389921876319</v>
      </c>
      <c r="L361" s="27">
        <f t="shared" si="19"/>
        <v>7.0080175316988926</v>
      </c>
    </row>
    <row r="362" spans="9:12" x14ac:dyDescent="0.25">
      <c r="I362" s="24">
        <f t="shared" si="20"/>
        <v>36</v>
      </c>
      <c r="J362">
        <f t="shared" si="18"/>
        <v>-0.91935014525939707</v>
      </c>
      <c r="K362">
        <f t="shared" si="18"/>
        <v>-6.9462078528494349</v>
      </c>
      <c r="L362" s="27">
        <f t="shared" si="19"/>
        <v>7.0067830153770023</v>
      </c>
    </row>
    <row r="363" spans="9:12" x14ac:dyDescent="0.25">
      <c r="I363" s="24">
        <f t="shared" si="20"/>
        <v>36.1</v>
      </c>
      <c r="J363">
        <f t="shared" si="18"/>
        <v>-0.91278335850754411</v>
      </c>
      <c r="K363">
        <f t="shared" si="18"/>
        <v>-6.896592082471936</v>
      </c>
      <c r="L363" s="27">
        <f t="shared" si="19"/>
        <v>6.9567345652671637</v>
      </c>
    </row>
    <row r="364" spans="9:12" x14ac:dyDescent="0.25">
      <c r="I364" s="24">
        <f t="shared" si="20"/>
        <v>36.200000000000003</v>
      </c>
      <c r="J364">
        <f t="shared" si="18"/>
        <v>-0.90621657175569115</v>
      </c>
      <c r="K364">
        <f t="shared" si="18"/>
        <v>-6.846976312094438</v>
      </c>
      <c r="L364" s="27">
        <f t="shared" si="19"/>
        <v>6.906686115157326</v>
      </c>
    </row>
    <row r="365" spans="9:12" x14ac:dyDescent="0.25">
      <c r="I365" s="24">
        <f t="shared" si="20"/>
        <v>36.300000000000004</v>
      </c>
      <c r="J365">
        <f t="shared" si="18"/>
        <v>-0.89964978500383819</v>
      </c>
      <c r="K365">
        <f t="shared" si="18"/>
        <v>-6.7973605417169392</v>
      </c>
      <c r="L365" s="27">
        <f t="shared" si="19"/>
        <v>6.8566376650474874</v>
      </c>
    </row>
    <row r="366" spans="9:12" x14ac:dyDescent="0.25">
      <c r="I366" s="24">
        <f t="shared" si="20"/>
        <v>36.4</v>
      </c>
      <c r="J366">
        <f t="shared" si="18"/>
        <v>-0.89308299825198556</v>
      </c>
      <c r="K366">
        <f t="shared" si="18"/>
        <v>-6.7477447713394492</v>
      </c>
      <c r="L366" s="27">
        <f t="shared" si="19"/>
        <v>6.8065892149376577</v>
      </c>
    </row>
    <row r="367" spans="9:12" x14ac:dyDescent="0.25">
      <c r="I367" s="24">
        <f t="shared" si="20"/>
        <v>36.5</v>
      </c>
      <c r="J367">
        <f t="shared" si="18"/>
        <v>-0.88651621150013249</v>
      </c>
      <c r="K367">
        <f t="shared" si="18"/>
        <v>-6.698129000961953</v>
      </c>
      <c r="L367" s="27">
        <f t="shared" si="19"/>
        <v>6.7565407648278217</v>
      </c>
    </row>
    <row r="368" spans="9:12" x14ac:dyDescent="0.25">
      <c r="I368" s="24">
        <f t="shared" si="20"/>
        <v>36.6</v>
      </c>
      <c r="J368">
        <f t="shared" si="18"/>
        <v>-0.87994942474827953</v>
      </c>
      <c r="K368">
        <f t="shared" si="18"/>
        <v>-6.6485132305844559</v>
      </c>
      <c r="L368" s="27">
        <f t="shared" si="19"/>
        <v>6.706492314717984</v>
      </c>
    </row>
    <row r="369" spans="9:12" x14ac:dyDescent="0.25">
      <c r="I369" s="24">
        <f t="shared" si="20"/>
        <v>36.700000000000003</v>
      </c>
      <c r="J369">
        <f t="shared" si="18"/>
        <v>-0.87338263799642657</v>
      </c>
      <c r="K369">
        <f t="shared" si="18"/>
        <v>-6.5988974602069561</v>
      </c>
      <c r="L369" s="27">
        <f t="shared" si="19"/>
        <v>6.6564438646081445</v>
      </c>
    </row>
    <row r="370" spans="9:12" x14ac:dyDescent="0.25">
      <c r="I370" s="24">
        <f t="shared" si="20"/>
        <v>36.800000000000004</v>
      </c>
      <c r="J370">
        <f t="shared" si="18"/>
        <v>-0.86681585124457361</v>
      </c>
      <c r="K370">
        <f t="shared" si="18"/>
        <v>-6.5492816898294626</v>
      </c>
      <c r="L370" s="27">
        <f t="shared" si="19"/>
        <v>6.6063954144983112</v>
      </c>
    </row>
    <row r="371" spans="9:12" x14ac:dyDescent="0.25">
      <c r="I371" s="24">
        <f t="shared" si="20"/>
        <v>36.9</v>
      </c>
      <c r="J371">
        <f t="shared" si="18"/>
        <v>-0.86024906449272165</v>
      </c>
      <c r="K371">
        <f t="shared" si="18"/>
        <v>-6.4996659194519699</v>
      </c>
      <c r="L371" s="27">
        <f t="shared" si="19"/>
        <v>6.5563469643884789</v>
      </c>
    </row>
    <row r="372" spans="9:12" x14ac:dyDescent="0.25">
      <c r="I372" s="24">
        <f t="shared" si="20"/>
        <v>37</v>
      </c>
      <c r="J372">
        <f t="shared" si="18"/>
        <v>-0.8536822777408688</v>
      </c>
      <c r="K372">
        <f t="shared" si="18"/>
        <v>-6.4500501490744728</v>
      </c>
      <c r="L372" s="27">
        <f t="shared" si="19"/>
        <v>6.506298514278642</v>
      </c>
    </row>
    <row r="373" spans="9:12" x14ac:dyDescent="0.25">
      <c r="I373" s="24">
        <f t="shared" si="20"/>
        <v>37.1</v>
      </c>
      <c r="J373">
        <f t="shared" si="18"/>
        <v>-0.84711549098901573</v>
      </c>
      <c r="K373">
        <f t="shared" si="18"/>
        <v>-6.4004343786969731</v>
      </c>
      <c r="L373" s="27">
        <f t="shared" si="19"/>
        <v>6.4562500641688025</v>
      </c>
    </row>
    <row r="374" spans="9:12" x14ac:dyDescent="0.25">
      <c r="I374" s="24">
        <f t="shared" si="20"/>
        <v>37.200000000000003</v>
      </c>
      <c r="J374">
        <f t="shared" si="18"/>
        <v>-0.84054870423716288</v>
      </c>
      <c r="K374">
        <f t="shared" si="18"/>
        <v>-6.3508186083194795</v>
      </c>
      <c r="L374" s="27">
        <f t="shared" si="19"/>
        <v>6.4062016140589693</v>
      </c>
    </row>
    <row r="375" spans="9:12" x14ac:dyDescent="0.25">
      <c r="I375" s="24">
        <f t="shared" si="20"/>
        <v>37.300000000000004</v>
      </c>
      <c r="J375">
        <f t="shared" si="18"/>
        <v>-0.83398191748530992</v>
      </c>
      <c r="K375">
        <f t="shared" si="18"/>
        <v>-6.3012028379419807</v>
      </c>
      <c r="L375" s="27">
        <f t="shared" si="19"/>
        <v>6.3561531639491307</v>
      </c>
    </row>
    <row r="376" spans="9:12" x14ac:dyDescent="0.25">
      <c r="I376" s="24">
        <f t="shared" si="20"/>
        <v>37.4</v>
      </c>
      <c r="J376">
        <f t="shared" si="18"/>
        <v>-0.82741513073345707</v>
      </c>
      <c r="K376">
        <f t="shared" si="18"/>
        <v>-6.2515870675644898</v>
      </c>
      <c r="L376" s="27">
        <f t="shared" si="19"/>
        <v>6.3061047138393</v>
      </c>
    </row>
    <row r="377" spans="9:12" x14ac:dyDescent="0.25">
      <c r="I377" s="24">
        <f t="shared" si="20"/>
        <v>37.5</v>
      </c>
      <c r="J377">
        <f t="shared" si="18"/>
        <v>-0.82084834398160411</v>
      </c>
      <c r="K377">
        <f t="shared" si="18"/>
        <v>-6.2019712971869909</v>
      </c>
      <c r="L377" s="27">
        <f t="shared" si="19"/>
        <v>6.2560562637294614</v>
      </c>
    </row>
    <row r="378" spans="9:12" x14ac:dyDescent="0.25">
      <c r="I378" s="24">
        <f t="shared" si="20"/>
        <v>37.6</v>
      </c>
      <c r="J378">
        <f t="shared" si="18"/>
        <v>-0.81428155722975115</v>
      </c>
      <c r="K378">
        <f t="shared" si="18"/>
        <v>-6.1523555268094965</v>
      </c>
      <c r="L378" s="27">
        <f t="shared" si="19"/>
        <v>6.2060078136196273</v>
      </c>
    </row>
    <row r="379" spans="9:12" x14ac:dyDescent="0.25">
      <c r="I379" s="24">
        <f t="shared" si="20"/>
        <v>37.700000000000003</v>
      </c>
      <c r="J379">
        <f t="shared" si="18"/>
        <v>-0.80771477047789819</v>
      </c>
      <c r="K379">
        <f t="shared" si="18"/>
        <v>-6.1027397564319976</v>
      </c>
      <c r="L379" s="27">
        <f t="shared" si="19"/>
        <v>6.1559593635097887</v>
      </c>
    </row>
    <row r="380" spans="9:12" x14ac:dyDescent="0.25">
      <c r="I380" s="24">
        <f t="shared" si="20"/>
        <v>37.800000000000004</v>
      </c>
      <c r="J380">
        <f t="shared" si="18"/>
        <v>-0.80114798372604534</v>
      </c>
      <c r="K380">
        <f t="shared" si="18"/>
        <v>-6.0531239860545005</v>
      </c>
      <c r="L380" s="27">
        <f t="shared" si="19"/>
        <v>6.1059109133999518</v>
      </c>
    </row>
    <row r="381" spans="9:12" x14ac:dyDescent="0.25">
      <c r="I381" s="24">
        <f t="shared" si="20"/>
        <v>37.9</v>
      </c>
      <c r="J381">
        <f t="shared" si="18"/>
        <v>-0.79458119697419338</v>
      </c>
      <c r="K381">
        <f t="shared" si="18"/>
        <v>-6.0035082156770079</v>
      </c>
      <c r="L381" s="27">
        <f t="shared" si="19"/>
        <v>6.0558624632901195</v>
      </c>
    </row>
    <row r="382" spans="9:12" x14ac:dyDescent="0.25">
      <c r="I382" s="24">
        <f t="shared" si="20"/>
        <v>38</v>
      </c>
      <c r="J382">
        <f t="shared" si="18"/>
        <v>-0.78801441022234042</v>
      </c>
      <c r="K382">
        <f t="shared" si="18"/>
        <v>-5.9538924452995143</v>
      </c>
      <c r="L382" s="27">
        <f t="shared" si="19"/>
        <v>6.0058140131802862</v>
      </c>
    </row>
    <row r="383" spans="9:12" x14ac:dyDescent="0.25">
      <c r="I383" s="24">
        <f t="shared" si="20"/>
        <v>38.1</v>
      </c>
      <c r="J383">
        <f t="shared" si="18"/>
        <v>-0.78144762347048746</v>
      </c>
      <c r="K383">
        <f t="shared" si="18"/>
        <v>-5.9042766749220146</v>
      </c>
      <c r="L383" s="27">
        <f t="shared" si="19"/>
        <v>5.9557655630704467</v>
      </c>
    </row>
    <row r="384" spans="9:12" x14ac:dyDescent="0.25">
      <c r="I384" s="24">
        <f t="shared" si="20"/>
        <v>38.200000000000003</v>
      </c>
      <c r="J384">
        <f t="shared" si="18"/>
        <v>-0.7748808367186345</v>
      </c>
      <c r="K384">
        <f t="shared" si="18"/>
        <v>-5.8546609045445175</v>
      </c>
      <c r="L384" s="27">
        <f t="shared" si="19"/>
        <v>5.9057171129606099</v>
      </c>
    </row>
    <row r="385" spans="9:12" x14ac:dyDescent="0.25">
      <c r="I385" s="24">
        <f t="shared" si="20"/>
        <v>38.300000000000004</v>
      </c>
      <c r="J385">
        <f t="shared" si="18"/>
        <v>-0.76831404996678154</v>
      </c>
      <c r="K385">
        <f t="shared" si="18"/>
        <v>-5.8050451341670186</v>
      </c>
      <c r="L385" s="27">
        <f t="shared" si="19"/>
        <v>5.8556686628507713</v>
      </c>
    </row>
    <row r="386" spans="9:12" x14ac:dyDescent="0.25">
      <c r="I386" s="24">
        <f t="shared" si="20"/>
        <v>38.400000000000006</v>
      </c>
      <c r="J386">
        <f t="shared" ref="J386:K449" si="21">D$29*($I386/1000)+D$18*(($I386/1000)-($D$8/1000))*(($I386/1000)&gt;($D$8/1000))+D$19*(($I386/1000)-($D$9/1000))*(($I386/1000)&gt;($D$9/1000))+D$20*(($I386/1000)-($D$10/1000))*(($I386/1000)&gt;($D$10/1000))+D$21*(($I386/1000)-($D$11/1000))*(($I386/1000)&gt;($D$11/1000))</f>
        <v>-0.76174726321492847</v>
      </c>
      <c r="K386">
        <f t="shared" si="21"/>
        <v>-5.7554293637895277</v>
      </c>
      <c r="L386" s="27">
        <f t="shared" ref="L386:L449" si="22">SQRT((J386^2)+(K386^2))</f>
        <v>5.8056202127409406</v>
      </c>
    </row>
    <row r="387" spans="9:12" x14ac:dyDescent="0.25">
      <c r="I387" s="24">
        <f t="shared" ref="I387:I450" si="23">IF((ROW(A385)*$F$2)&lt;=$D$5, ROW(A385)*$F$2,NA())</f>
        <v>38.5</v>
      </c>
      <c r="J387">
        <f t="shared" si="21"/>
        <v>-0.75518047646307584</v>
      </c>
      <c r="K387">
        <f t="shared" si="21"/>
        <v>-5.7058135934120315</v>
      </c>
      <c r="L387" s="27">
        <f t="shared" si="22"/>
        <v>5.7555717626311047</v>
      </c>
    </row>
    <row r="388" spans="9:12" x14ac:dyDescent="0.25">
      <c r="I388" s="24">
        <f t="shared" si="23"/>
        <v>38.6</v>
      </c>
      <c r="J388">
        <f t="shared" si="21"/>
        <v>-0.74861368971122277</v>
      </c>
      <c r="K388">
        <f t="shared" si="21"/>
        <v>-5.6561978230345344</v>
      </c>
      <c r="L388" s="27">
        <f t="shared" si="22"/>
        <v>5.7055233125212679</v>
      </c>
    </row>
    <row r="389" spans="9:12" x14ac:dyDescent="0.25">
      <c r="I389" s="24">
        <f t="shared" si="23"/>
        <v>38.700000000000003</v>
      </c>
      <c r="J389">
        <f t="shared" si="21"/>
        <v>-0.74204690295936993</v>
      </c>
      <c r="K389">
        <f t="shared" si="21"/>
        <v>-5.6065820526570356</v>
      </c>
      <c r="L389" s="27">
        <f t="shared" si="22"/>
        <v>5.6554748624114293</v>
      </c>
    </row>
    <row r="390" spans="9:12" x14ac:dyDescent="0.25">
      <c r="I390" s="24">
        <f t="shared" si="23"/>
        <v>38.800000000000004</v>
      </c>
      <c r="J390">
        <f t="shared" si="21"/>
        <v>-0.73548011620751774</v>
      </c>
      <c r="K390">
        <f t="shared" si="21"/>
        <v>-5.5569662822795447</v>
      </c>
      <c r="L390" s="27">
        <f t="shared" si="22"/>
        <v>5.6054264123015987</v>
      </c>
    </row>
    <row r="391" spans="9:12" x14ac:dyDescent="0.25">
      <c r="I391" s="24">
        <f t="shared" si="23"/>
        <v>38.900000000000006</v>
      </c>
      <c r="J391">
        <f t="shared" si="21"/>
        <v>-0.72891332945566467</v>
      </c>
      <c r="K391">
        <f t="shared" si="21"/>
        <v>-5.5073505119020458</v>
      </c>
      <c r="L391" s="27">
        <f t="shared" si="22"/>
        <v>5.5553779621917592</v>
      </c>
    </row>
    <row r="392" spans="9:12" x14ac:dyDescent="0.25">
      <c r="I392" s="24">
        <f t="shared" si="23"/>
        <v>39</v>
      </c>
      <c r="J392">
        <f t="shared" si="21"/>
        <v>-0.72234654270381204</v>
      </c>
      <c r="K392">
        <f t="shared" si="21"/>
        <v>-5.4577347415245523</v>
      </c>
      <c r="L392" s="27">
        <f t="shared" si="22"/>
        <v>5.5053295120819268</v>
      </c>
    </row>
    <row r="393" spans="9:12" x14ac:dyDescent="0.25">
      <c r="I393" s="24">
        <f t="shared" si="23"/>
        <v>39.1</v>
      </c>
      <c r="J393">
        <f t="shared" si="21"/>
        <v>-0.71577975595195864</v>
      </c>
      <c r="K393">
        <f t="shared" si="21"/>
        <v>-5.4081189711470525</v>
      </c>
      <c r="L393" s="27">
        <f t="shared" si="22"/>
        <v>5.4552810619720864</v>
      </c>
    </row>
    <row r="394" spans="9:12" x14ac:dyDescent="0.25">
      <c r="I394" s="24">
        <f t="shared" si="23"/>
        <v>39.200000000000003</v>
      </c>
      <c r="J394">
        <f t="shared" si="21"/>
        <v>-0.70921296920010568</v>
      </c>
      <c r="K394">
        <f t="shared" si="21"/>
        <v>-5.358503200769559</v>
      </c>
      <c r="L394" s="27">
        <f t="shared" si="22"/>
        <v>5.4052326118622531</v>
      </c>
    </row>
    <row r="395" spans="9:12" x14ac:dyDescent="0.25">
      <c r="I395" s="24">
        <f t="shared" si="23"/>
        <v>39.300000000000004</v>
      </c>
      <c r="J395">
        <f t="shared" si="21"/>
        <v>-0.70264618244825305</v>
      </c>
      <c r="K395">
        <f t="shared" si="21"/>
        <v>-5.3088874303920628</v>
      </c>
      <c r="L395" s="27">
        <f t="shared" si="22"/>
        <v>5.3551841617524172</v>
      </c>
    </row>
    <row r="396" spans="9:12" x14ac:dyDescent="0.25">
      <c r="I396" s="24">
        <f t="shared" si="23"/>
        <v>39.400000000000006</v>
      </c>
      <c r="J396">
        <f t="shared" si="21"/>
        <v>-0.69607939569640009</v>
      </c>
      <c r="K396">
        <f t="shared" si="21"/>
        <v>-5.2592716600145657</v>
      </c>
      <c r="L396" s="27">
        <f t="shared" si="22"/>
        <v>5.3051357116425804</v>
      </c>
    </row>
    <row r="397" spans="9:12" x14ac:dyDescent="0.25">
      <c r="I397" s="24">
        <f t="shared" si="23"/>
        <v>39.5</v>
      </c>
      <c r="J397">
        <f t="shared" si="21"/>
        <v>-0.68951260894454702</v>
      </c>
      <c r="K397">
        <f t="shared" si="21"/>
        <v>-5.2096558896370713</v>
      </c>
      <c r="L397" s="27">
        <f t="shared" si="22"/>
        <v>5.2550872615327462</v>
      </c>
    </row>
    <row r="398" spans="9:12" x14ac:dyDescent="0.25">
      <c r="I398" s="24">
        <f t="shared" si="23"/>
        <v>39.6</v>
      </c>
      <c r="J398">
        <f t="shared" si="21"/>
        <v>-0.68294582219269406</v>
      </c>
      <c r="K398">
        <f t="shared" si="21"/>
        <v>-5.160040119259576</v>
      </c>
      <c r="L398" s="27">
        <f t="shared" si="22"/>
        <v>5.2050388114229111</v>
      </c>
    </row>
    <row r="399" spans="9:12" x14ac:dyDescent="0.25">
      <c r="I399" s="24">
        <f t="shared" si="23"/>
        <v>39.700000000000003</v>
      </c>
      <c r="J399">
        <f t="shared" si="21"/>
        <v>-0.6763790354408411</v>
      </c>
      <c r="K399">
        <f t="shared" si="21"/>
        <v>-5.1104243488820771</v>
      </c>
      <c r="L399" s="27">
        <f t="shared" si="22"/>
        <v>5.1549903613130725</v>
      </c>
    </row>
    <row r="400" spans="9:12" x14ac:dyDescent="0.25">
      <c r="I400" s="24">
        <f t="shared" si="23"/>
        <v>39.800000000000004</v>
      </c>
      <c r="J400">
        <f t="shared" si="21"/>
        <v>-0.66981224868898936</v>
      </c>
      <c r="K400">
        <f t="shared" si="21"/>
        <v>-5.0608085785045827</v>
      </c>
      <c r="L400" s="27">
        <f t="shared" si="22"/>
        <v>5.1049419112032384</v>
      </c>
    </row>
    <row r="401" spans="9:12" x14ac:dyDescent="0.25">
      <c r="I401" s="24">
        <f t="shared" si="23"/>
        <v>39.900000000000006</v>
      </c>
      <c r="J401">
        <f t="shared" si="21"/>
        <v>-0.6632454619371364</v>
      </c>
      <c r="K401">
        <f t="shared" si="21"/>
        <v>-5.0111928081270873</v>
      </c>
      <c r="L401" s="27">
        <f t="shared" si="22"/>
        <v>5.0548934610934033</v>
      </c>
    </row>
    <row r="402" spans="9:12" x14ac:dyDescent="0.25">
      <c r="I402" s="24">
        <f t="shared" si="23"/>
        <v>40</v>
      </c>
      <c r="J402">
        <f t="shared" si="21"/>
        <v>-0.65667867518528333</v>
      </c>
      <c r="K402">
        <f t="shared" si="21"/>
        <v>-4.9615770377495929</v>
      </c>
      <c r="L402" s="27">
        <f t="shared" si="22"/>
        <v>5.0048450109835692</v>
      </c>
    </row>
    <row r="403" spans="9:12" x14ac:dyDescent="0.25">
      <c r="I403" s="24">
        <f t="shared" si="23"/>
        <v>40.1</v>
      </c>
      <c r="J403">
        <f t="shared" si="21"/>
        <v>-0.65011188843343037</v>
      </c>
      <c r="K403">
        <f t="shared" si="21"/>
        <v>-4.911961267372094</v>
      </c>
      <c r="L403" s="27">
        <f t="shared" si="22"/>
        <v>4.9547965608737305</v>
      </c>
    </row>
    <row r="404" spans="9:12" x14ac:dyDescent="0.25">
      <c r="I404" s="24">
        <f t="shared" si="23"/>
        <v>40.200000000000003</v>
      </c>
      <c r="J404">
        <f t="shared" si="21"/>
        <v>-0.6435451016815773</v>
      </c>
      <c r="K404">
        <f t="shared" si="21"/>
        <v>-4.8623454969945996</v>
      </c>
      <c r="L404" s="27">
        <f t="shared" si="22"/>
        <v>4.9047481107638964</v>
      </c>
    </row>
    <row r="405" spans="9:12" x14ac:dyDescent="0.25">
      <c r="I405" s="24">
        <f t="shared" si="23"/>
        <v>40.300000000000004</v>
      </c>
      <c r="J405">
        <f t="shared" si="21"/>
        <v>-0.63697831492972479</v>
      </c>
      <c r="K405">
        <f t="shared" si="21"/>
        <v>-4.8127297266171061</v>
      </c>
      <c r="L405" s="27">
        <f t="shared" si="22"/>
        <v>4.8546996606540631</v>
      </c>
    </row>
    <row r="406" spans="9:12" x14ac:dyDescent="0.25">
      <c r="I406" s="24">
        <f t="shared" si="23"/>
        <v>40.400000000000006</v>
      </c>
      <c r="J406">
        <f t="shared" si="21"/>
        <v>-0.63041152817787138</v>
      </c>
      <c r="K406">
        <f t="shared" si="21"/>
        <v>-4.7631139562396072</v>
      </c>
      <c r="L406" s="27">
        <f t="shared" si="22"/>
        <v>4.8046512105442245</v>
      </c>
    </row>
    <row r="407" spans="9:12" x14ac:dyDescent="0.25">
      <c r="I407" s="24">
        <f t="shared" si="23"/>
        <v>40.5</v>
      </c>
      <c r="J407">
        <f t="shared" si="21"/>
        <v>-0.6238447414260192</v>
      </c>
      <c r="K407">
        <f t="shared" si="21"/>
        <v>-4.7134981858621128</v>
      </c>
      <c r="L407" s="27">
        <f t="shared" si="22"/>
        <v>4.7546027604343903</v>
      </c>
    </row>
    <row r="408" spans="9:12" x14ac:dyDescent="0.25">
      <c r="I408" s="24">
        <f t="shared" si="23"/>
        <v>40.6</v>
      </c>
      <c r="J408">
        <f t="shared" si="21"/>
        <v>-0.6172779546741658</v>
      </c>
      <c r="K408">
        <f t="shared" si="21"/>
        <v>-4.6638824154846139</v>
      </c>
      <c r="L408" s="27">
        <f t="shared" si="22"/>
        <v>4.7045543103245517</v>
      </c>
    </row>
    <row r="409" spans="9:12" x14ac:dyDescent="0.25">
      <c r="I409" s="24">
        <f t="shared" si="23"/>
        <v>40.700000000000003</v>
      </c>
      <c r="J409">
        <f t="shared" si="21"/>
        <v>-0.6107111679223135</v>
      </c>
      <c r="K409">
        <f t="shared" si="21"/>
        <v>-4.614266645107123</v>
      </c>
      <c r="L409" s="27">
        <f t="shared" si="22"/>
        <v>4.6545058602147211</v>
      </c>
    </row>
    <row r="410" spans="9:12" x14ac:dyDescent="0.25">
      <c r="I410" s="24">
        <f t="shared" si="23"/>
        <v>40.800000000000004</v>
      </c>
      <c r="J410">
        <f t="shared" si="21"/>
        <v>-0.60414438117046099</v>
      </c>
      <c r="K410">
        <f t="shared" si="21"/>
        <v>-4.5646508747296242</v>
      </c>
      <c r="L410" s="27">
        <f t="shared" si="22"/>
        <v>4.6044574101048825</v>
      </c>
    </row>
    <row r="411" spans="9:12" x14ac:dyDescent="0.25">
      <c r="I411" s="24">
        <f t="shared" si="23"/>
        <v>40.900000000000006</v>
      </c>
      <c r="J411">
        <f t="shared" si="21"/>
        <v>-0.59757759441860758</v>
      </c>
      <c r="K411">
        <f t="shared" si="21"/>
        <v>-4.5150351043521262</v>
      </c>
      <c r="L411" s="27">
        <f t="shared" si="22"/>
        <v>4.5544089599950448</v>
      </c>
    </row>
    <row r="412" spans="9:12" x14ac:dyDescent="0.25">
      <c r="I412" s="24">
        <f t="shared" si="23"/>
        <v>41</v>
      </c>
      <c r="J412">
        <f t="shared" si="21"/>
        <v>-0.59101080766675451</v>
      </c>
      <c r="K412">
        <f t="shared" si="21"/>
        <v>-4.4654193339746309</v>
      </c>
      <c r="L412" s="27">
        <f t="shared" si="22"/>
        <v>4.5043605098852098</v>
      </c>
    </row>
    <row r="413" spans="9:12" x14ac:dyDescent="0.25">
      <c r="I413" s="24">
        <f t="shared" si="23"/>
        <v>41.1</v>
      </c>
      <c r="J413">
        <f t="shared" si="21"/>
        <v>-0.584444020914902</v>
      </c>
      <c r="K413">
        <f t="shared" si="21"/>
        <v>-4.4158035635971373</v>
      </c>
      <c r="L413" s="27">
        <f t="shared" si="22"/>
        <v>4.4543120597753765</v>
      </c>
    </row>
    <row r="414" spans="9:12" x14ac:dyDescent="0.25">
      <c r="I414" s="24">
        <f t="shared" si="23"/>
        <v>41.2</v>
      </c>
      <c r="J414">
        <f t="shared" si="21"/>
        <v>-0.57787723416304893</v>
      </c>
      <c r="K414">
        <f t="shared" si="21"/>
        <v>-4.3661877932196411</v>
      </c>
      <c r="L414" s="27">
        <f t="shared" si="22"/>
        <v>4.4042636096655405</v>
      </c>
    </row>
    <row r="415" spans="9:12" x14ac:dyDescent="0.25">
      <c r="I415" s="24">
        <f t="shared" si="23"/>
        <v>41.300000000000004</v>
      </c>
      <c r="J415">
        <f t="shared" si="21"/>
        <v>-0.57131044741119641</v>
      </c>
      <c r="K415">
        <f t="shared" si="21"/>
        <v>-4.316572022842144</v>
      </c>
      <c r="L415" s="27">
        <f t="shared" si="22"/>
        <v>4.3542151595557028</v>
      </c>
    </row>
    <row r="416" spans="9:12" x14ac:dyDescent="0.25">
      <c r="I416" s="24">
        <f t="shared" si="23"/>
        <v>41.400000000000006</v>
      </c>
      <c r="J416">
        <f t="shared" si="21"/>
        <v>-0.56474366065934301</v>
      </c>
      <c r="K416">
        <f t="shared" si="21"/>
        <v>-4.2669562524646452</v>
      </c>
      <c r="L416" s="27">
        <f t="shared" si="22"/>
        <v>4.3041667094458651</v>
      </c>
    </row>
    <row r="417" spans="9:12" x14ac:dyDescent="0.25">
      <c r="I417" s="24">
        <f t="shared" si="23"/>
        <v>41.5</v>
      </c>
      <c r="J417">
        <f t="shared" si="21"/>
        <v>-0.55817687390748993</v>
      </c>
      <c r="K417">
        <f t="shared" si="21"/>
        <v>-4.2173404820871543</v>
      </c>
      <c r="L417" s="27">
        <f t="shared" si="22"/>
        <v>4.2541182593360336</v>
      </c>
    </row>
    <row r="418" spans="9:12" x14ac:dyDescent="0.25">
      <c r="I418" s="24">
        <f t="shared" si="23"/>
        <v>41.6</v>
      </c>
      <c r="J418">
        <f t="shared" si="21"/>
        <v>-0.55161008715563864</v>
      </c>
      <c r="K418">
        <f t="shared" si="21"/>
        <v>-4.1677247117096581</v>
      </c>
      <c r="L418" s="27">
        <f t="shared" si="22"/>
        <v>4.2040698092261986</v>
      </c>
    </row>
    <row r="419" spans="9:12" x14ac:dyDescent="0.25">
      <c r="I419" s="24">
        <f t="shared" si="23"/>
        <v>41.7</v>
      </c>
      <c r="J419">
        <f t="shared" si="21"/>
        <v>-0.54504330040378524</v>
      </c>
      <c r="K419">
        <f t="shared" si="21"/>
        <v>-4.118108941332161</v>
      </c>
      <c r="L419" s="27">
        <f t="shared" si="22"/>
        <v>4.1540213591163617</v>
      </c>
    </row>
    <row r="420" spans="9:12" x14ac:dyDescent="0.25">
      <c r="I420" s="24">
        <f t="shared" si="23"/>
        <v>41.800000000000004</v>
      </c>
      <c r="J420">
        <f t="shared" si="21"/>
        <v>-0.53847651365193272</v>
      </c>
      <c r="K420">
        <f t="shared" si="21"/>
        <v>-4.0684931709546621</v>
      </c>
      <c r="L420" s="27">
        <f t="shared" si="22"/>
        <v>4.1039729090065231</v>
      </c>
    </row>
    <row r="421" spans="9:12" x14ac:dyDescent="0.25">
      <c r="I421" s="24">
        <f t="shared" si="23"/>
        <v>41.900000000000006</v>
      </c>
      <c r="J421">
        <f t="shared" si="21"/>
        <v>-0.5319097269000792</v>
      </c>
      <c r="K421">
        <f t="shared" si="21"/>
        <v>-4.0188774005771677</v>
      </c>
      <c r="L421" s="27">
        <f t="shared" si="22"/>
        <v>4.0539244588966881</v>
      </c>
    </row>
    <row r="422" spans="9:12" x14ac:dyDescent="0.25">
      <c r="I422" s="24">
        <f t="shared" si="23"/>
        <v>42</v>
      </c>
      <c r="J422">
        <f t="shared" si="21"/>
        <v>-0.52534294014822613</v>
      </c>
      <c r="K422">
        <f t="shared" si="21"/>
        <v>-3.9692616301996724</v>
      </c>
      <c r="L422" s="27">
        <f t="shared" si="22"/>
        <v>4.0038760087868539</v>
      </c>
    </row>
    <row r="423" spans="9:12" x14ac:dyDescent="0.25">
      <c r="I423" s="24">
        <f t="shared" si="23"/>
        <v>42.1</v>
      </c>
      <c r="J423">
        <f t="shared" si="21"/>
        <v>-0.51877615339637395</v>
      </c>
      <c r="K423">
        <f t="shared" si="21"/>
        <v>-3.9196458598221779</v>
      </c>
      <c r="L423" s="27">
        <f t="shared" si="22"/>
        <v>3.9538275586770193</v>
      </c>
    </row>
    <row r="424" spans="9:12" x14ac:dyDescent="0.25">
      <c r="I424" s="24">
        <f t="shared" si="23"/>
        <v>42.2</v>
      </c>
      <c r="J424">
        <f t="shared" si="21"/>
        <v>-0.51220936664452066</v>
      </c>
      <c r="K424">
        <f t="shared" si="21"/>
        <v>-3.8700300894446791</v>
      </c>
      <c r="L424" s="27">
        <f t="shared" si="22"/>
        <v>3.9037791085671807</v>
      </c>
    </row>
    <row r="425" spans="9:12" x14ac:dyDescent="0.25">
      <c r="I425" s="24">
        <f t="shared" si="23"/>
        <v>42.300000000000004</v>
      </c>
      <c r="J425">
        <f t="shared" si="21"/>
        <v>-0.50564257989266803</v>
      </c>
      <c r="K425">
        <f t="shared" si="21"/>
        <v>-3.8204143190671851</v>
      </c>
      <c r="L425" s="27">
        <f t="shared" si="22"/>
        <v>3.853730658457347</v>
      </c>
    </row>
    <row r="426" spans="9:12" x14ac:dyDescent="0.25">
      <c r="I426" s="24">
        <f t="shared" si="23"/>
        <v>42.400000000000006</v>
      </c>
      <c r="J426">
        <f t="shared" si="21"/>
        <v>-0.49907579314081474</v>
      </c>
      <c r="K426">
        <f t="shared" si="21"/>
        <v>-3.770798548689688</v>
      </c>
      <c r="L426" s="27">
        <f t="shared" si="22"/>
        <v>3.8036822083475101</v>
      </c>
    </row>
    <row r="427" spans="9:12" x14ac:dyDescent="0.25">
      <c r="I427" s="24">
        <f t="shared" si="23"/>
        <v>42.5</v>
      </c>
      <c r="J427">
        <f t="shared" si="21"/>
        <v>-0.49250900638896167</v>
      </c>
      <c r="K427">
        <f t="shared" si="21"/>
        <v>-3.7211827783121918</v>
      </c>
      <c r="L427" s="27">
        <f t="shared" si="22"/>
        <v>3.7536337582376742</v>
      </c>
    </row>
    <row r="428" spans="9:12" x14ac:dyDescent="0.25">
      <c r="I428" s="24">
        <f t="shared" si="23"/>
        <v>42.6</v>
      </c>
      <c r="J428">
        <f t="shared" si="21"/>
        <v>-0.48594221963711037</v>
      </c>
      <c r="K428">
        <f t="shared" si="21"/>
        <v>-3.671567007934696</v>
      </c>
      <c r="L428" s="27">
        <f t="shared" si="22"/>
        <v>3.7035853081278387</v>
      </c>
    </row>
    <row r="429" spans="9:12" x14ac:dyDescent="0.25">
      <c r="I429" s="24">
        <f t="shared" si="23"/>
        <v>42.7</v>
      </c>
      <c r="J429">
        <f t="shared" si="21"/>
        <v>-0.47937543288525686</v>
      </c>
      <c r="K429">
        <f t="shared" si="21"/>
        <v>-3.6219512375572007</v>
      </c>
      <c r="L429" s="27">
        <f t="shared" si="22"/>
        <v>3.6535368580180037</v>
      </c>
    </row>
    <row r="430" spans="9:12" x14ac:dyDescent="0.25">
      <c r="I430" s="24">
        <f t="shared" si="23"/>
        <v>42.800000000000004</v>
      </c>
      <c r="J430">
        <f t="shared" si="21"/>
        <v>-0.47280864613340445</v>
      </c>
      <c r="K430">
        <f t="shared" si="21"/>
        <v>-3.572335467179705</v>
      </c>
      <c r="L430" s="27">
        <f t="shared" si="22"/>
        <v>3.6034884079081682</v>
      </c>
    </row>
    <row r="431" spans="9:12" x14ac:dyDescent="0.25">
      <c r="I431" s="24">
        <f t="shared" si="23"/>
        <v>42.900000000000006</v>
      </c>
      <c r="J431">
        <f t="shared" si="21"/>
        <v>-0.46624185938155094</v>
      </c>
      <c r="K431">
        <f t="shared" si="21"/>
        <v>-3.5227196968022056</v>
      </c>
      <c r="L431" s="27">
        <f t="shared" si="22"/>
        <v>3.5534399577983291</v>
      </c>
    </row>
    <row r="432" spans="9:12" x14ac:dyDescent="0.25">
      <c r="I432" s="24">
        <f t="shared" si="23"/>
        <v>43</v>
      </c>
      <c r="J432">
        <f t="shared" si="21"/>
        <v>-0.45967507262969809</v>
      </c>
      <c r="K432">
        <f t="shared" si="21"/>
        <v>-3.4731039264247134</v>
      </c>
      <c r="L432" s="27">
        <f t="shared" si="22"/>
        <v>3.5033915076884967</v>
      </c>
    </row>
    <row r="433" spans="9:12" x14ac:dyDescent="0.25">
      <c r="I433" s="24">
        <f t="shared" si="23"/>
        <v>43.1</v>
      </c>
      <c r="J433">
        <f t="shared" si="21"/>
        <v>-0.4531082858778448</v>
      </c>
      <c r="K433">
        <f t="shared" si="21"/>
        <v>-3.4234881560472177</v>
      </c>
      <c r="L433" s="27">
        <f t="shared" si="22"/>
        <v>3.4533430575786617</v>
      </c>
    </row>
    <row r="434" spans="9:12" x14ac:dyDescent="0.25">
      <c r="I434" s="24">
        <f t="shared" si="23"/>
        <v>43.2</v>
      </c>
      <c r="J434">
        <f t="shared" si="21"/>
        <v>-0.44654149912599217</v>
      </c>
      <c r="K434">
        <f t="shared" si="21"/>
        <v>-3.3738723856697219</v>
      </c>
      <c r="L434" s="27">
        <f t="shared" si="22"/>
        <v>3.4032946074688257</v>
      </c>
    </row>
    <row r="435" spans="9:12" x14ac:dyDescent="0.25">
      <c r="I435" s="24">
        <f t="shared" si="23"/>
        <v>43.300000000000004</v>
      </c>
      <c r="J435">
        <f t="shared" si="21"/>
        <v>-0.43997471237413888</v>
      </c>
      <c r="K435">
        <f t="shared" si="21"/>
        <v>-3.324256615292223</v>
      </c>
      <c r="L435" s="27">
        <f t="shared" si="22"/>
        <v>3.3532461573589871</v>
      </c>
    </row>
    <row r="436" spans="9:12" x14ac:dyDescent="0.25">
      <c r="I436" s="24">
        <f t="shared" si="23"/>
        <v>43.400000000000006</v>
      </c>
      <c r="J436">
        <f t="shared" si="21"/>
        <v>-0.43340792562228647</v>
      </c>
      <c r="K436">
        <f t="shared" si="21"/>
        <v>-3.2746408449147237</v>
      </c>
      <c r="L436" s="27">
        <f t="shared" si="22"/>
        <v>3.3031977072491481</v>
      </c>
    </row>
    <row r="437" spans="9:12" x14ac:dyDescent="0.25">
      <c r="I437" s="24">
        <f t="shared" si="23"/>
        <v>43.5</v>
      </c>
      <c r="J437">
        <f t="shared" si="21"/>
        <v>-0.42684113887043451</v>
      </c>
      <c r="K437">
        <f t="shared" si="21"/>
        <v>-3.2250250745372382</v>
      </c>
      <c r="L437" s="27">
        <f t="shared" si="22"/>
        <v>3.2531492571393228</v>
      </c>
    </row>
    <row r="438" spans="9:12" x14ac:dyDescent="0.25">
      <c r="I438" s="24">
        <f t="shared" si="23"/>
        <v>43.6</v>
      </c>
      <c r="J438">
        <f t="shared" si="21"/>
        <v>-0.420274352118581</v>
      </c>
      <c r="K438">
        <f t="shared" si="21"/>
        <v>-3.1754093041597393</v>
      </c>
      <c r="L438" s="27">
        <f t="shared" si="22"/>
        <v>3.2031008070294842</v>
      </c>
    </row>
    <row r="439" spans="9:12" x14ac:dyDescent="0.25">
      <c r="I439" s="24">
        <f t="shared" si="23"/>
        <v>43.7</v>
      </c>
      <c r="J439">
        <f t="shared" si="21"/>
        <v>-0.41370756536672859</v>
      </c>
      <c r="K439">
        <f t="shared" si="21"/>
        <v>-3.12579353378224</v>
      </c>
      <c r="L439" s="27">
        <f t="shared" si="22"/>
        <v>3.1530523569196451</v>
      </c>
    </row>
    <row r="440" spans="9:12" x14ac:dyDescent="0.25">
      <c r="I440" s="24">
        <f t="shared" si="23"/>
        <v>43.800000000000004</v>
      </c>
      <c r="J440">
        <f t="shared" si="21"/>
        <v>-0.40714077861487508</v>
      </c>
      <c r="K440">
        <f t="shared" si="21"/>
        <v>-3.0761777634047411</v>
      </c>
      <c r="L440" s="27">
        <f t="shared" si="22"/>
        <v>3.1030039068098065</v>
      </c>
    </row>
    <row r="441" spans="9:12" x14ac:dyDescent="0.25">
      <c r="I441" s="24">
        <f t="shared" si="23"/>
        <v>43.900000000000006</v>
      </c>
      <c r="J441">
        <f t="shared" si="21"/>
        <v>-0.40057399186302267</v>
      </c>
      <c r="K441">
        <f t="shared" si="21"/>
        <v>-3.0265619930272454</v>
      </c>
      <c r="L441" s="27">
        <f t="shared" si="22"/>
        <v>3.0529554566999706</v>
      </c>
    </row>
    <row r="442" spans="9:12" x14ac:dyDescent="0.25">
      <c r="I442" s="24">
        <f t="shared" si="23"/>
        <v>44</v>
      </c>
      <c r="J442">
        <f t="shared" si="21"/>
        <v>-0.39400720511116982</v>
      </c>
      <c r="K442">
        <f t="shared" si="21"/>
        <v>-2.9769462226497563</v>
      </c>
      <c r="L442" s="27">
        <f t="shared" si="22"/>
        <v>3.0029070065901422</v>
      </c>
    </row>
    <row r="443" spans="9:12" x14ac:dyDescent="0.25">
      <c r="I443" s="24">
        <f t="shared" si="23"/>
        <v>44.1</v>
      </c>
      <c r="J443">
        <f t="shared" si="21"/>
        <v>-0.38744041835931653</v>
      </c>
      <c r="K443">
        <f t="shared" si="21"/>
        <v>-2.9273304522722574</v>
      </c>
      <c r="L443" s="27">
        <f t="shared" si="22"/>
        <v>2.9528585564803036</v>
      </c>
    </row>
    <row r="444" spans="9:12" x14ac:dyDescent="0.25">
      <c r="I444" s="24">
        <f t="shared" si="23"/>
        <v>44.2</v>
      </c>
      <c r="J444">
        <f t="shared" si="21"/>
        <v>-0.3808736316074639</v>
      </c>
      <c r="K444">
        <f t="shared" si="21"/>
        <v>-2.8777146818947581</v>
      </c>
      <c r="L444" s="27">
        <f t="shared" si="22"/>
        <v>2.9028101063704645</v>
      </c>
    </row>
    <row r="445" spans="9:12" x14ac:dyDescent="0.25">
      <c r="I445" s="24">
        <f t="shared" si="23"/>
        <v>44.300000000000004</v>
      </c>
      <c r="J445">
        <f t="shared" si="21"/>
        <v>-0.37430684485561061</v>
      </c>
      <c r="K445">
        <f t="shared" si="21"/>
        <v>-2.8280989115172623</v>
      </c>
      <c r="L445" s="27">
        <f t="shared" si="22"/>
        <v>2.8527616562606286</v>
      </c>
    </row>
    <row r="446" spans="9:12" x14ac:dyDescent="0.25">
      <c r="I446" s="24">
        <f t="shared" si="23"/>
        <v>44.400000000000006</v>
      </c>
      <c r="J446">
        <f t="shared" si="21"/>
        <v>-0.36774005810375798</v>
      </c>
      <c r="K446">
        <f t="shared" si="21"/>
        <v>-2.778483141139767</v>
      </c>
      <c r="L446" s="27">
        <f t="shared" si="22"/>
        <v>2.802713206150794</v>
      </c>
    </row>
    <row r="447" spans="9:12" x14ac:dyDescent="0.25">
      <c r="I447" s="24">
        <f t="shared" si="23"/>
        <v>44.5</v>
      </c>
      <c r="J447">
        <f t="shared" si="21"/>
        <v>-0.36117327135190602</v>
      </c>
      <c r="K447">
        <f t="shared" si="21"/>
        <v>-2.7288673707622744</v>
      </c>
      <c r="L447" s="27">
        <f t="shared" si="22"/>
        <v>2.7526647560409616</v>
      </c>
    </row>
    <row r="448" spans="9:12" x14ac:dyDescent="0.25">
      <c r="I448" s="24">
        <f t="shared" si="23"/>
        <v>44.6</v>
      </c>
      <c r="J448">
        <f t="shared" si="21"/>
        <v>-0.35460648460005273</v>
      </c>
      <c r="K448">
        <f t="shared" si="21"/>
        <v>-2.6792516003847755</v>
      </c>
      <c r="L448" s="27">
        <f t="shared" si="22"/>
        <v>2.7026163059311226</v>
      </c>
    </row>
    <row r="449" spans="9:12" x14ac:dyDescent="0.25">
      <c r="I449" s="24">
        <f t="shared" si="23"/>
        <v>44.7</v>
      </c>
      <c r="J449">
        <f t="shared" si="21"/>
        <v>-0.34803969784820032</v>
      </c>
      <c r="K449">
        <f t="shared" si="21"/>
        <v>-2.6296358300072828</v>
      </c>
      <c r="L449" s="27">
        <f t="shared" si="22"/>
        <v>2.6525678558212902</v>
      </c>
    </row>
    <row r="450" spans="9:12" x14ac:dyDescent="0.25">
      <c r="I450" s="24">
        <f t="shared" si="23"/>
        <v>44.800000000000004</v>
      </c>
      <c r="J450">
        <f t="shared" ref="J450:K513" si="24">D$29*($I450/1000)+D$18*(($I450/1000)-($D$8/1000))*(($I450/1000)&gt;($D$8/1000))+D$19*(($I450/1000)-($D$9/1000))*(($I450/1000)&gt;($D$9/1000))+D$20*(($I450/1000)-($D$10/1000))*(($I450/1000)&gt;($D$10/1000))+D$21*(($I450/1000)-($D$11/1000))*(($I450/1000)&gt;($D$11/1000))</f>
        <v>-0.34147291109634681</v>
      </c>
      <c r="K450">
        <f t="shared" si="24"/>
        <v>-2.580020059629784</v>
      </c>
      <c r="L450" s="27">
        <f t="shared" ref="L450:L513" si="25">SQRT((J450^2)+(K450^2))</f>
        <v>2.6025194057114516</v>
      </c>
    </row>
    <row r="451" spans="9:12" x14ac:dyDescent="0.25">
      <c r="I451" s="24">
        <f t="shared" ref="I451:I514" si="26">IF((ROW(A449)*$F$2)&lt;=$D$5, ROW(A449)*$F$2,NA())</f>
        <v>44.900000000000006</v>
      </c>
      <c r="J451">
        <f t="shared" si="24"/>
        <v>-0.33490612434449374</v>
      </c>
      <c r="K451">
        <f t="shared" si="24"/>
        <v>-2.5304042892522887</v>
      </c>
      <c r="L451" s="27">
        <f t="shared" si="25"/>
        <v>2.5524709556016165</v>
      </c>
    </row>
    <row r="452" spans="9:12" x14ac:dyDescent="0.25">
      <c r="I452" s="24">
        <f t="shared" si="26"/>
        <v>45</v>
      </c>
      <c r="J452">
        <f t="shared" si="24"/>
        <v>-0.32833933759264156</v>
      </c>
      <c r="K452">
        <f t="shared" si="24"/>
        <v>-2.4807885188747925</v>
      </c>
      <c r="L452" s="27">
        <f t="shared" si="25"/>
        <v>2.5024225054917806</v>
      </c>
    </row>
    <row r="453" spans="9:12" x14ac:dyDescent="0.25">
      <c r="I453" s="24">
        <f t="shared" si="26"/>
        <v>45.1</v>
      </c>
      <c r="J453">
        <f t="shared" si="24"/>
        <v>-0.32177255084078804</v>
      </c>
      <c r="K453">
        <f t="shared" si="24"/>
        <v>-2.4311727484973007</v>
      </c>
      <c r="L453" s="27">
        <f t="shared" si="25"/>
        <v>2.4523740553819491</v>
      </c>
    </row>
    <row r="454" spans="9:12" x14ac:dyDescent="0.25">
      <c r="I454" s="24">
        <f t="shared" si="26"/>
        <v>45.2</v>
      </c>
      <c r="J454">
        <f t="shared" si="24"/>
        <v>-0.31520576408893564</v>
      </c>
      <c r="K454">
        <f t="shared" si="24"/>
        <v>-2.3815569781198009</v>
      </c>
      <c r="L454" s="27">
        <f t="shared" si="25"/>
        <v>2.4023256052721096</v>
      </c>
    </row>
    <row r="455" spans="9:12" x14ac:dyDescent="0.25">
      <c r="I455" s="24">
        <f t="shared" si="26"/>
        <v>45.300000000000004</v>
      </c>
      <c r="J455">
        <f t="shared" si="24"/>
        <v>-0.30863897733708212</v>
      </c>
      <c r="K455">
        <f t="shared" si="24"/>
        <v>-2.3319412077423021</v>
      </c>
      <c r="L455" s="27">
        <f t="shared" si="25"/>
        <v>2.352277155162271</v>
      </c>
    </row>
    <row r="456" spans="9:12" x14ac:dyDescent="0.25">
      <c r="I456" s="24">
        <f t="shared" si="26"/>
        <v>45.400000000000006</v>
      </c>
      <c r="J456">
        <f t="shared" si="24"/>
        <v>-0.30207219058522905</v>
      </c>
      <c r="K456">
        <f t="shared" si="24"/>
        <v>-2.2823254373648094</v>
      </c>
      <c r="L456" s="27">
        <f t="shared" si="25"/>
        <v>2.3022287050524386</v>
      </c>
    </row>
    <row r="457" spans="9:12" x14ac:dyDescent="0.25">
      <c r="I457" s="24">
        <f t="shared" si="26"/>
        <v>45.5</v>
      </c>
      <c r="J457">
        <f t="shared" si="24"/>
        <v>-0.29550540383337776</v>
      </c>
      <c r="K457">
        <f t="shared" si="24"/>
        <v>-2.2327096669873177</v>
      </c>
      <c r="L457" s="27">
        <f t="shared" si="25"/>
        <v>2.2521802549426071</v>
      </c>
    </row>
    <row r="458" spans="9:12" x14ac:dyDescent="0.25">
      <c r="I458" s="24">
        <f t="shared" si="26"/>
        <v>45.6</v>
      </c>
      <c r="J458">
        <f t="shared" si="24"/>
        <v>-0.28893861708152446</v>
      </c>
      <c r="K458">
        <f t="shared" si="24"/>
        <v>-2.1830938966098188</v>
      </c>
      <c r="L458" s="27">
        <f t="shared" si="25"/>
        <v>2.202131804832768</v>
      </c>
    </row>
    <row r="459" spans="9:12" x14ac:dyDescent="0.25">
      <c r="I459" s="24">
        <f t="shared" si="26"/>
        <v>45.7</v>
      </c>
      <c r="J459">
        <f t="shared" si="24"/>
        <v>-0.28237183032967184</v>
      </c>
      <c r="K459">
        <f t="shared" si="24"/>
        <v>-2.133478126232319</v>
      </c>
      <c r="L459" s="27">
        <f t="shared" si="25"/>
        <v>2.152083354722929</v>
      </c>
    </row>
    <row r="460" spans="9:12" x14ac:dyDescent="0.25">
      <c r="I460" s="24">
        <f t="shared" si="26"/>
        <v>45.800000000000004</v>
      </c>
      <c r="J460">
        <f t="shared" si="24"/>
        <v>-0.27580504357781854</v>
      </c>
      <c r="K460">
        <f t="shared" si="24"/>
        <v>-2.0838623558548237</v>
      </c>
      <c r="L460" s="27">
        <f t="shared" si="25"/>
        <v>2.1020349046130939</v>
      </c>
    </row>
    <row r="461" spans="9:12" x14ac:dyDescent="0.25">
      <c r="I461" s="24">
        <f t="shared" si="26"/>
        <v>45.900000000000006</v>
      </c>
      <c r="J461">
        <f t="shared" si="24"/>
        <v>-0.26923825682596547</v>
      </c>
      <c r="K461">
        <f t="shared" si="24"/>
        <v>-2.0342465854773311</v>
      </c>
      <c r="L461" s="27">
        <f t="shared" si="25"/>
        <v>2.0519864545032616</v>
      </c>
    </row>
    <row r="462" spans="9:12" x14ac:dyDescent="0.25">
      <c r="I462" s="24">
        <f t="shared" si="26"/>
        <v>46</v>
      </c>
      <c r="J462">
        <f t="shared" si="24"/>
        <v>-0.26267147007411329</v>
      </c>
      <c r="K462">
        <f t="shared" si="24"/>
        <v>-1.9846308150998357</v>
      </c>
      <c r="L462" s="27">
        <f t="shared" si="25"/>
        <v>2.0019380043934265</v>
      </c>
    </row>
    <row r="463" spans="9:12" x14ac:dyDescent="0.25">
      <c r="I463" s="24">
        <f t="shared" si="26"/>
        <v>46.1</v>
      </c>
      <c r="J463">
        <f t="shared" si="24"/>
        <v>-0.25610468332225977</v>
      </c>
      <c r="K463">
        <f t="shared" si="24"/>
        <v>-1.935015044722336</v>
      </c>
      <c r="L463" s="27">
        <f t="shared" si="25"/>
        <v>1.9518895542835868</v>
      </c>
    </row>
    <row r="464" spans="9:12" x14ac:dyDescent="0.25">
      <c r="I464" s="24">
        <f t="shared" si="26"/>
        <v>46.2</v>
      </c>
      <c r="J464">
        <f t="shared" si="24"/>
        <v>-0.24953789657040737</v>
      </c>
      <c r="K464">
        <f t="shared" si="24"/>
        <v>-1.8853992743448407</v>
      </c>
      <c r="L464" s="27">
        <f t="shared" si="25"/>
        <v>1.9018411041737517</v>
      </c>
    </row>
    <row r="465" spans="9:12" x14ac:dyDescent="0.25">
      <c r="I465" s="24">
        <f t="shared" si="26"/>
        <v>46.300000000000004</v>
      </c>
      <c r="J465">
        <f t="shared" si="24"/>
        <v>-0.2429711098185543</v>
      </c>
      <c r="K465">
        <f t="shared" si="24"/>
        <v>-1.835783503967348</v>
      </c>
      <c r="L465" s="27">
        <f t="shared" si="25"/>
        <v>1.8517926540639194</v>
      </c>
    </row>
    <row r="466" spans="9:12" x14ac:dyDescent="0.25">
      <c r="I466" s="24">
        <f t="shared" si="26"/>
        <v>46.400000000000006</v>
      </c>
      <c r="J466">
        <f t="shared" si="24"/>
        <v>-0.23640432306670078</v>
      </c>
      <c r="K466">
        <f t="shared" si="24"/>
        <v>-1.7861677335898491</v>
      </c>
      <c r="L466" s="27">
        <f t="shared" si="25"/>
        <v>1.8017442039540805</v>
      </c>
    </row>
    <row r="467" spans="9:12" x14ac:dyDescent="0.25">
      <c r="I467" s="24">
        <f t="shared" si="26"/>
        <v>46.5</v>
      </c>
      <c r="J467">
        <f t="shared" si="24"/>
        <v>-0.22983753631484949</v>
      </c>
      <c r="K467">
        <f t="shared" si="24"/>
        <v>-1.7365519632123538</v>
      </c>
      <c r="L467" s="27">
        <f t="shared" si="25"/>
        <v>1.7516957538442457</v>
      </c>
    </row>
    <row r="468" spans="9:12" x14ac:dyDescent="0.25">
      <c r="I468" s="24">
        <f t="shared" si="26"/>
        <v>46.6</v>
      </c>
      <c r="J468">
        <f t="shared" si="24"/>
        <v>-0.22327074956299597</v>
      </c>
      <c r="K468">
        <f t="shared" si="24"/>
        <v>-1.6869361928348576</v>
      </c>
      <c r="L468" s="27">
        <f t="shared" si="25"/>
        <v>1.7016473037344095</v>
      </c>
    </row>
    <row r="469" spans="9:12" x14ac:dyDescent="0.25">
      <c r="I469" s="24">
        <f t="shared" si="26"/>
        <v>46.7</v>
      </c>
      <c r="J469">
        <f t="shared" si="24"/>
        <v>-0.21670396281114268</v>
      </c>
      <c r="K469">
        <f t="shared" si="24"/>
        <v>-1.6373204224573623</v>
      </c>
      <c r="L469" s="27">
        <f t="shared" si="25"/>
        <v>1.6515988536245745</v>
      </c>
    </row>
    <row r="470" spans="9:12" x14ac:dyDescent="0.25">
      <c r="I470" s="24">
        <f t="shared" si="26"/>
        <v>46.800000000000004</v>
      </c>
      <c r="J470">
        <f t="shared" si="24"/>
        <v>-0.2101371760592905</v>
      </c>
      <c r="K470">
        <f t="shared" si="24"/>
        <v>-1.5877046520798661</v>
      </c>
      <c r="L470" s="27">
        <f t="shared" si="25"/>
        <v>1.6015504035147385</v>
      </c>
    </row>
    <row r="471" spans="9:12" x14ac:dyDescent="0.25">
      <c r="I471" s="24">
        <f t="shared" si="26"/>
        <v>46.900000000000006</v>
      </c>
      <c r="J471">
        <f t="shared" si="24"/>
        <v>-0.20357038930743698</v>
      </c>
      <c r="K471">
        <f t="shared" si="24"/>
        <v>-1.5380888817023672</v>
      </c>
      <c r="L471" s="27">
        <f t="shared" si="25"/>
        <v>1.5515019534048999</v>
      </c>
    </row>
    <row r="472" spans="9:12" x14ac:dyDescent="0.25">
      <c r="I472" s="24">
        <f t="shared" si="26"/>
        <v>47</v>
      </c>
      <c r="J472">
        <f t="shared" si="24"/>
        <v>-0.19700360255558391</v>
      </c>
      <c r="K472">
        <f t="shared" si="24"/>
        <v>-1.4884731113248746</v>
      </c>
      <c r="L472" s="27">
        <f t="shared" si="25"/>
        <v>1.5014535032950675</v>
      </c>
    </row>
    <row r="473" spans="9:12" x14ac:dyDescent="0.25">
      <c r="I473" s="24">
        <f t="shared" si="26"/>
        <v>47.1</v>
      </c>
      <c r="J473">
        <f t="shared" si="24"/>
        <v>-0.19043681580373151</v>
      </c>
      <c r="K473">
        <f t="shared" si="24"/>
        <v>-1.4388573409473793</v>
      </c>
      <c r="L473" s="27">
        <f t="shared" si="25"/>
        <v>1.4514050531852323</v>
      </c>
    </row>
    <row r="474" spans="9:12" x14ac:dyDescent="0.25">
      <c r="I474" s="24">
        <f t="shared" si="26"/>
        <v>47.2</v>
      </c>
      <c r="J474">
        <f t="shared" si="24"/>
        <v>-0.18387002905187799</v>
      </c>
      <c r="K474">
        <f t="shared" si="24"/>
        <v>-1.3892415705698804</v>
      </c>
      <c r="L474" s="27">
        <f t="shared" si="25"/>
        <v>1.4013566030753937</v>
      </c>
    </row>
    <row r="475" spans="9:12" x14ac:dyDescent="0.25">
      <c r="I475" s="24">
        <f t="shared" si="26"/>
        <v>47.300000000000004</v>
      </c>
      <c r="J475">
        <f t="shared" si="24"/>
        <v>-0.17730324230002581</v>
      </c>
      <c r="K475">
        <f t="shared" si="24"/>
        <v>-1.3396258001923842</v>
      </c>
      <c r="L475" s="27">
        <f t="shared" si="25"/>
        <v>1.3513081529655577</v>
      </c>
    </row>
    <row r="476" spans="9:12" x14ac:dyDescent="0.25">
      <c r="I476" s="24">
        <f t="shared" si="26"/>
        <v>47.400000000000006</v>
      </c>
      <c r="J476">
        <f t="shared" si="24"/>
        <v>-0.17073645554817252</v>
      </c>
      <c r="K476">
        <f t="shared" si="24"/>
        <v>-1.2900100298148889</v>
      </c>
      <c r="L476" s="27">
        <f t="shared" si="25"/>
        <v>1.3012597028557227</v>
      </c>
    </row>
    <row r="477" spans="9:12" x14ac:dyDescent="0.25">
      <c r="I477" s="24">
        <f t="shared" si="26"/>
        <v>47.5</v>
      </c>
      <c r="J477">
        <f t="shared" si="24"/>
        <v>-0.16416966879632033</v>
      </c>
      <c r="K477">
        <f t="shared" si="24"/>
        <v>-1.2403942594373962</v>
      </c>
      <c r="L477" s="27">
        <f t="shared" si="25"/>
        <v>1.2512112527458903</v>
      </c>
    </row>
    <row r="478" spans="9:12" x14ac:dyDescent="0.25">
      <c r="I478" s="24">
        <f t="shared" si="26"/>
        <v>47.6</v>
      </c>
      <c r="J478">
        <f t="shared" si="24"/>
        <v>-0.15760288204446771</v>
      </c>
      <c r="K478">
        <f t="shared" si="24"/>
        <v>-1.1907784890598974</v>
      </c>
      <c r="L478" s="27">
        <f t="shared" si="25"/>
        <v>1.2011628026360517</v>
      </c>
    </row>
    <row r="479" spans="9:12" x14ac:dyDescent="0.25">
      <c r="I479" s="24">
        <f t="shared" si="26"/>
        <v>47.7</v>
      </c>
      <c r="J479">
        <f t="shared" si="24"/>
        <v>-0.15103609529261419</v>
      </c>
      <c r="K479">
        <f t="shared" si="24"/>
        <v>-1.1411627186823985</v>
      </c>
      <c r="L479" s="27">
        <f t="shared" si="25"/>
        <v>1.1511143525262131</v>
      </c>
    </row>
    <row r="480" spans="9:12" x14ac:dyDescent="0.25">
      <c r="I480" s="24">
        <f t="shared" si="26"/>
        <v>47.800000000000004</v>
      </c>
      <c r="J480">
        <f t="shared" si="24"/>
        <v>-0.14446930854076223</v>
      </c>
      <c r="K480">
        <f t="shared" si="24"/>
        <v>-1.0915469483049058</v>
      </c>
      <c r="L480" s="27">
        <f t="shared" si="25"/>
        <v>1.1010659024163807</v>
      </c>
    </row>
    <row r="481" spans="9:12" x14ac:dyDescent="0.25">
      <c r="I481" s="24">
        <f t="shared" si="26"/>
        <v>47.900000000000006</v>
      </c>
      <c r="J481">
        <f t="shared" si="24"/>
        <v>-0.13790252178890894</v>
      </c>
      <c r="K481">
        <f t="shared" si="24"/>
        <v>-1.0419311779274105</v>
      </c>
      <c r="L481" s="27">
        <f t="shared" si="25"/>
        <v>1.0510174523065454</v>
      </c>
    </row>
    <row r="482" spans="9:12" x14ac:dyDescent="0.25">
      <c r="I482" s="24">
        <f t="shared" si="26"/>
        <v>48</v>
      </c>
      <c r="J482">
        <f t="shared" si="24"/>
        <v>-0.13133573503705565</v>
      </c>
      <c r="K482">
        <f t="shared" si="24"/>
        <v>-0.99231540754991432</v>
      </c>
      <c r="L482" s="27">
        <f t="shared" si="25"/>
        <v>1.0009690021967095</v>
      </c>
    </row>
    <row r="483" spans="9:12" x14ac:dyDescent="0.25">
      <c r="I483" s="24">
        <f t="shared" si="26"/>
        <v>48.1</v>
      </c>
      <c r="J483">
        <f t="shared" si="24"/>
        <v>-0.12476894828520324</v>
      </c>
      <c r="K483">
        <f t="shared" si="24"/>
        <v>-0.94269963717241545</v>
      </c>
      <c r="L483" s="27">
        <f t="shared" si="25"/>
        <v>0.95092055208687098</v>
      </c>
    </row>
    <row r="484" spans="9:12" x14ac:dyDescent="0.25">
      <c r="I484" s="24">
        <f t="shared" si="26"/>
        <v>48.2</v>
      </c>
      <c r="J484">
        <f t="shared" si="24"/>
        <v>-0.11820216153334995</v>
      </c>
      <c r="K484">
        <f t="shared" si="24"/>
        <v>-0.89308386679492635</v>
      </c>
      <c r="L484" s="27">
        <f t="shared" si="25"/>
        <v>0.90087210197704193</v>
      </c>
    </row>
    <row r="485" spans="9:12" x14ac:dyDescent="0.25">
      <c r="I485" s="24">
        <f t="shared" si="26"/>
        <v>48.300000000000004</v>
      </c>
      <c r="J485">
        <f t="shared" si="24"/>
        <v>-0.11163537478149754</v>
      </c>
      <c r="K485">
        <f t="shared" si="24"/>
        <v>-0.84346809641742748</v>
      </c>
      <c r="L485" s="27">
        <f t="shared" si="25"/>
        <v>0.85082365186720332</v>
      </c>
    </row>
    <row r="486" spans="9:12" x14ac:dyDescent="0.25">
      <c r="I486" s="24">
        <f t="shared" si="26"/>
        <v>48.400000000000006</v>
      </c>
      <c r="J486">
        <f t="shared" si="24"/>
        <v>-0.10506858802964425</v>
      </c>
      <c r="K486">
        <f t="shared" si="24"/>
        <v>-0.79385232603992861</v>
      </c>
      <c r="L486" s="27">
        <f t="shared" si="25"/>
        <v>0.80077520175736472</v>
      </c>
    </row>
    <row r="487" spans="9:12" x14ac:dyDescent="0.25">
      <c r="I487" s="24">
        <f t="shared" si="26"/>
        <v>48.5</v>
      </c>
      <c r="J487">
        <f t="shared" si="24"/>
        <v>-9.8501801277791845E-2</v>
      </c>
      <c r="K487">
        <f t="shared" si="24"/>
        <v>-0.74423655566243241</v>
      </c>
      <c r="L487" s="27">
        <f t="shared" si="25"/>
        <v>0.75072675164752878</v>
      </c>
    </row>
    <row r="488" spans="9:12" x14ac:dyDescent="0.25">
      <c r="I488" s="24">
        <f t="shared" si="26"/>
        <v>48.6</v>
      </c>
      <c r="J488">
        <f t="shared" si="24"/>
        <v>-9.193501452593944E-2</v>
      </c>
      <c r="K488">
        <f t="shared" si="24"/>
        <v>-0.69462078528493709</v>
      </c>
      <c r="L488" s="27">
        <f t="shared" si="25"/>
        <v>0.70067830153769384</v>
      </c>
    </row>
    <row r="489" spans="9:12" x14ac:dyDescent="0.25">
      <c r="I489" s="24">
        <f t="shared" si="26"/>
        <v>48.7</v>
      </c>
      <c r="J489">
        <f t="shared" si="24"/>
        <v>-8.5368227774086147E-2</v>
      </c>
      <c r="K489">
        <f t="shared" si="24"/>
        <v>-0.64500501490744444</v>
      </c>
      <c r="L489" s="27">
        <f t="shared" si="25"/>
        <v>0.65062985142786134</v>
      </c>
    </row>
    <row r="490" spans="9:12" x14ac:dyDescent="0.25">
      <c r="I490" s="24">
        <f t="shared" si="26"/>
        <v>48.800000000000004</v>
      </c>
      <c r="J490">
        <f t="shared" si="24"/>
        <v>-7.8801441022232854E-2</v>
      </c>
      <c r="K490">
        <f t="shared" si="24"/>
        <v>-0.59538924452994557</v>
      </c>
      <c r="L490" s="27">
        <f t="shared" si="25"/>
        <v>0.60058140131802262</v>
      </c>
    </row>
    <row r="491" spans="9:12" x14ac:dyDescent="0.25">
      <c r="I491" s="24">
        <f t="shared" si="26"/>
        <v>48.900000000000006</v>
      </c>
      <c r="J491">
        <f t="shared" si="24"/>
        <v>-7.223465427038045E-2</v>
      </c>
      <c r="K491">
        <f t="shared" si="24"/>
        <v>-0.5457734741524467</v>
      </c>
      <c r="L491" s="27">
        <f t="shared" si="25"/>
        <v>0.55053295120818413</v>
      </c>
    </row>
    <row r="492" spans="9:12" x14ac:dyDescent="0.25">
      <c r="I492" s="24">
        <f t="shared" si="26"/>
        <v>49</v>
      </c>
      <c r="J492">
        <f t="shared" si="24"/>
        <v>-6.5667867518527157E-2</v>
      </c>
      <c r="K492">
        <f t="shared" si="24"/>
        <v>-0.4961577037749576</v>
      </c>
      <c r="L492" s="27">
        <f t="shared" si="25"/>
        <v>0.50048450109835507</v>
      </c>
    </row>
    <row r="493" spans="9:12" x14ac:dyDescent="0.25">
      <c r="I493" s="24">
        <f t="shared" si="26"/>
        <v>49.1</v>
      </c>
      <c r="J493">
        <f t="shared" si="24"/>
        <v>-5.9101080766674752E-2</v>
      </c>
      <c r="K493">
        <f t="shared" si="24"/>
        <v>-0.44654193339745873</v>
      </c>
      <c r="L493" s="27">
        <f t="shared" si="25"/>
        <v>0.45043605098851652</v>
      </c>
    </row>
    <row r="494" spans="9:12" x14ac:dyDescent="0.25">
      <c r="I494" s="24">
        <f t="shared" si="26"/>
        <v>49.2</v>
      </c>
      <c r="J494">
        <f t="shared" si="24"/>
        <v>-5.2534294014821903E-2</v>
      </c>
      <c r="K494">
        <f t="shared" si="24"/>
        <v>-0.39692616301996253</v>
      </c>
      <c r="L494" s="27">
        <f t="shared" si="25"/>
        <v>0.40038760087868058</v>
      </c>
    </row>
    <row r="495" spans="9:12" x14ac:dyDescent="0.25">
      <c r="I495" s="24">
        <f t="shared" si="26"/>
        <v>49.300000000000004</v>
      </c>
      <c r="J495">
        <f t="shared" si="24"/>
        <v>-4.5967507262968166E-2</v>
      </c>
      <c r="K495">
        <f t="shared" si="24"/>
        <v>-0.34731039264246366</v>
      </c>
      <c r="L495" s="27">
        <f t="shared" si="25"/>
        <v>0.35033915076884187</v>
      </c>
    </row>
    <row r="496" spans="9:12" x14ac:dyDescent="0.25">
      <c r="I496" s="24">
        <f t="shared" si="26"/>
        <v>49.400000000000006</v>
      </c>
      <c r="J496">
        <f t="shared" si="24"/>
        <v>-3.9400720511115761E-2</v>
      </c>
      <c r="K496">
        <f t="shared" si="24"/>
        <v>-0.2976946222649719</v>
      </c>
      <c r="L496" s="27">
        <f t="shared" si="25"/>
        <v>0.30029070065901037</v>
      </c>
    </row>
    <row r="497" spans="9:12" x14ac:dyDescent="0.25">
      <c r="I497" s="24">
        <f t="shared" si="26"/>
        <v>49.5</v>
      </c>
      <c r="J497">
        <f t="shared" si="24"/>
        <v>-3.28339337592638E-2</v>
      </c>
      <c r="K497">
        <f t="shared" si="24"/>
        <v>-0.24807885188747569</v>
      </c>
      <c r="L497" s="27">
        <f t="shared" si="25"/>
        <v>0.25024225054917448</v>
      </c>
    </row>
    <row r="498" spans="9:12" x14ac:dyDescent="0.25">
      <c r="I498" s="24">
        <f t="shared" si="26"/>
        <v>49.6</v>
      </c>
      <c r="J498">
        <f t="shared" si="24"/>
        <v>-2.6267147007410507E-2</v>
      </c>
      <c r="K498">
        <f t="shared" si="24"/>
        <v>-0.19846308150997949</v>
      </c>
      <c r="L498" s="27">
        <f t="shared" si="25"/>
        <v>0.20019380043933846</v>
      </c>
    </row>
    <row r="499" spans="9:12" x14ac:dyDescent="0.25">
      <c r="I499" s="24">
        <f t="shared" si="26"/>
        <v>49.7</v>
      </c>
      <c r="J499">
        <f t="shared" si="24"/>
        <v>-1.9700360255558103E-2</v>
      </c>
      <c r="K499">
        <f t="shared" si="24"/>
        <v>-0.14884731113248062</v>
      </c>
      <c r="L499" s="27">
        <f t="shared" si="25"/>
        <v>0.15014535032949991</v>
      </c>
    </row>
    <row r="500" spans="9:12" x14ac:dyDescent="0.25">
      <c r="I500" s="24">
        <f t="shared" si="26"/>
        <v>49.800000000000004</v>
      </c>
      <c r="J500">
        <f t="shared" si="24"/>
        <v>-1.313357350370481E-2</v>
      </c>
      <c r="K500">
        <f t="shared" si="24"/>
        <v>-9.9231540754988856E-2</v>
      </c>
      <c r="L500" s="27">
        <f t="shared" si="25"/>
        <v>0.1000969002196683</v>
      </c>
    </row>
    <row r="501" spans="9:12" x14ac:dyDescent="0.25">
      <c r="I501" s="24">
        <f t="shared" si="26"/>
        <v>49.900000000000006</v>
      </c>
      <c r="J501">
        <f t="shared" si="24"/>
        <v>-6.5667867518519607E-3</v>
      </c>
      <c r="K501">
        <f t="shared" si="24"/>
        <v>-4.9615770377489987E-2</v>
      </c>
      <c r="L501" s="27">
        <f t="shared" si="25"/>
        <v>5.0048450109829688E-2</v>
      </c>
    </row>
    <row r="502" spans="9:12" x14ac:dyDescent="0.25">
      <c r="I502" s="24">
        <f t="shared" si="26"/>
        <v>50</v>
      </c>
      <c r="J502">
        <f t="shared" si="24"/>
        <v>8.8817841970012523E-16</v>
      </c>
      <c r="K502">
        <f t="shared" si="24"/>
        <v>6.2172489379008766E-15</v>
      </c>
      <c r="L502" s="27">
        <f t="shared" si="25"/>
        <v>6.2803698347351005E-15</v>
      </c>
    </row>
    <row r="503" spans="9:12" x14ac:dyDescent="0.25">
      <c r="I503" s="24" t="e">
        <f t="shared" si="26"/>
        <v>#N/A</v>
      </c>
      <c r="J503" t="e">
        <f t="shared" si="24"/>
        <v>#N/A</v>
      </c>
      <c r="K503" t="e">
        <f t="shared" si="24"/>
        <v>#N/A</v>
      </c>
      <c r="L503" s="27" t="e">
        <f t="shared" si="25"/>
        <v>#N/A</v>
      </c>
    </row>
    <row r="504" spans="9:12" x14ac:dyDescent="0.25">
      <c r="I504" s="24" t="e">
        <f t="shared" si="26"/>
        <v>#N/A</v>
      </c>
      <c r="J504" t="e">
        <f t="shared" si="24"/>
        <v>#N/A</v>
      </c>
      <c r="K504" t="e">
        <f t="shared" si="24"/>
        <v>#N/A</v>
      </c>
      <c r="L504" s="27" t="e">
        <f t="shared" si="25"/>
        <v>#N/A</v>
      </c>
    </row>
    <row r="505" spans="9:12" x14ac:dyDescent="0.25">
      <c r="I505" s="24" t="e">
        <f t="shared" si="26"/>
        <v>#N/A</v>
      </c>
      <c r="J505" t="e">
        <f t="shared" si="24"/>
        <v>#N/A</v>
      </c>
      <c r="K505" t="e">
        <f t="shared" si="24"/>
        <v>#N/A</v>
      </c>
      <c r="L505" s="27" t="e">
        <f t="shared" si="25"/>
        <v>#N/A</v>
      </c>
    </row>
    <row r="506" spans="9:12" x14ac:dyDescent="0.25">
      <c r="I506" s="24" t="e">
        <f t="shared" si="26"/>
        <v>#N/A</v>
      </c>
      <c r="J506" t="e">
        <f t="shared" si="24"/>
        <v>#N/A</v>
      </c>
      <c r="K506" t="e">
        <f t="shared" si="24"/>
        <v>#N/A</v>
      </c>
      <c r="L506" s="27" t="e">
        <f t="shared" si="25"/>
        <v>#N/A</v>
      </c>
    </row>
    <row r="507" spans="9:12" x14ac:dyDescent="0.25">
      <c r="I507" s="24" t="e">
        <f t="shared" si="26"/>
        <v>#N/A</v>
      </c>
      <c r="J507" t="e">
        <f t="shared" si="24"/>
        <v>#N/A</v>
      </c>
      <c r="K507" t="e">
        <f t="shared" si="24"/>
        <v>#N/A</v>
      </c>
      <c r="L507" s="27" t="e">
        <f t="shared" si="25"/>
        <v>#N/A</v>
      </c>
    </row>
    <row r="508" spans="9:12" x14ac:dyDescent="0.25">
      <c r="I508" s="24" t="e">
        <f t="shared" si="26"/>
        <v>#N/A</v>
      </c>
      <c r="J508" t="e">
        <f t="shared" si="24"/>
        <v>#N/A</v>
      </c>
      <c r="K508" t="e">
        <f t="shared" si="24"/>
        <v>#N/A</v>
      </c>
      <c r="L508" s="27" t="e">
        <f t="shared" si="25"/>
        <v>#N/A</v>
      </c>
    </row>
    <row r="509" spans="9:12" x14ac:dyDescent="0.25">
      <c r="I509" s="24" t="e">
        <f t="shared" si="26"/>
        <v>#N/A</v>
      </c>
      <c r="J509" t="e">
        <f t="shared" si="24"/>
        <v>#N/A</v>
      </c>
      <c r="K509" t="e">
        <f t="shared" si="24"/>
        <v>#N/A</v>
      </c>
      <c r="L509" s="27" t="e">
        <f t="shared" si="25"/>
        <v>#N/A</v>
      </c>
    </row>
    <row r="510" spans="9:12" x14ac:dyDescent="0.25">
      <c r="I510" s="24" t="e">
        <f t="shared" si="26"/>
        <v>#N/A</v>
      </c>
      <c r="J510" t="e">
        <f t="shared" si="24"/>
        <v>#N/A</v>
      </c>
      <c r="K510" t="e">
        <f t="shared" si="24"/>
        <v>#N/A</v>
      </c>
      <c r="L510" s="27" t="e">
        <f t="shared" si="25"/>
        <v>#N/A</v>
      </c>
    </row>
    <row r="511" spans="9:12" x14ac:dyDescent="0.25">
      <c r="I511" s="24" t="e">
        <f t="shared" si="26"/>
        <v>#N/A</v>
      </c>
      <c r="J511" t="e">
        <f t="shared" si="24"/>
        <v>#N/A</v>
      </c>
      <c r="K511" t="e">
        <f t="shared" si="24"/>
        <v>#N/A</v>
      </c>
      <c r="L511" s="27" t="e">
        <f t="shared" si="25"/>
        <v>#N/A</v>
      </c>
    </row>
    <row r="512" spans="9:12" x14ac:dyDescent="0.25">
      <c r="I512" s="24" t="e">
        <f t="shared" si="26"/>
        <v>#N/A</v>
      </c>
      <c r="J512" t="e">
        <f t="shared" si="24"/>
        <v>#N/A</v>
      </c>
      <c r="K512" t="e">
        <f t="shared" si="24"/>
        <v>#N/A</v>
      </c>
      <c r="L512" s="27" t="e">
        <f t="shared" si="25"/>
        <v>#N/A</v>
      </c>
    </row>
    <row r="513" spans="9:12" x14ac:dyDescent="0.25">
      <c r="I513" s="24" t="e">
        <f t="shared" si="26"/>
        <v>#N/A</v>
      </c>
      <c r="J513" t="e">
        <f t="shared" si="24"/>
        <v>#N/A</v>
      </c>
      <c r="K513" t="e">
        <f t="shared" si="24"/>
        <v>#N/A</v>
      </c>
      <c r="L513" s="27" t="e">
        <f t="shared" si="25"/>
        <v>#N/A</v>
      </c>
    </row>
    <row r="514" spans="9:12" x14ac:dyDescent="0.25">
      <c r="I514" s="24" t="e">
        <f t="shared" si="26"/>
        <v>#N/A</v>
      </c>
      <c r="J514" t="e">
        <f t="shared" ref="J514:K577" si="27">D$29*($I514/1000)+D$18*(($I514/1000)-($D$8/1000))*(($I514/1000)&gt;($D$8/1000))+D$19*(($I514/1000)-($D$9/1000))*(($I514/1000)&gt;($D$9/1000))+D$20*(($I514/1000)-($D$10/1000))*(($I514/1000)&gt;($D$10/1000))+D$21*(($I514/1000)-($D$11/1000))*(($I514/1000)&gt;($D$11/1000))</f>
        <v>#N/A</v>
      </c>
      <c r="K514" t="e">
        <f t="shared" si="27"/>
        <v>#N/A</v>
      </c>
      <c r="L514" s="27" t="e">
        <f t="shared" ref="L514:L577" si="28">SQRT((J514^2)+(K514^2))</f>
        <v>#N/A</v>
      </c>
    </row>
    <row r="515" spans="9:12" x14ac:dyDescent="0.25">
      <c r="I515" s="24" t="e">
        <f t="shared" ref="I515:I578" si="29">IF((ROW(A513)*$F$2)&lt;=$D$5, ROW(A513)*$F$2,NA())</f>
        <v>#N/A</v>
      </c>
      <c r="J515" t="e">
        <f t="shared" si="27"/>
        <v>#N/A</v>
      </c>
      <c r="K515" t="e">
        <f t="shared" si="27"/>
        <v>#N/A</v>
      </c>
      <c r="L515" s="27" t="e">
        <f t="shared" si="28"/>
        <v>#N/A</v>
      </c>
    </row>
    <row r="516" spans="9:12" x14ac:dyDescent="0.25">
      <c r="I516" s="24" t="e">
        <f t="shared" si="29"/>
        <v>#N/A</v>
      </c>
      <c r="J516" t="e">
        <f t="shared" si="27"/>
        <v>#N/A</v>
      </c>
      <c r="K516" t="e">
        <f t="shared" si="27"/>
        <v>#N/A</v>
      </c>
      <c r="L516" s="27" t="e">
        <f t="shared" si="28"/>
        <v>#N/A</v>
      </c>
    </row>
    <row r="517" spans="9:12" x14ac:dyDescent="0.25">
      <c r="I517" s="24" t="e">
        <f t="shared" si="29"/>
        <v>#N/A</v>
      </c>
      <c r="J517" t="e">
        <f t="shared" si="27"/>
        <v>#N/A</v>
      </c>
      <c r="K517" t="e">
        <f t="shared" si="27"/>
        <v>#N/A</v>
      </c>
      <c r="L517" s="27" t="e">
        <f t="shared" si="28"/>
        <v>#N/A</v>
      </c>
    </row>
    <row r="518" spans="9:12" x14ac:dyDescent="0.25">
      <c r="I518" s="24" t="e">
        <f t="shared" si="29"/>
        <v>#N/A</v>
      </c>
      <c r="J518" t="e">
        <f t="shared" si="27"/>
        <v>#N/A</v>
      </c>
      <c r="K518" t="e">
        <f t="shared" si="27"/>
        <v>#N/A</v>
      </c>
      <c r="L518" s="27" t="e">
        <f t="shared" si="28"/>
        <v>#N/A</v>
      </c>
    </row>
    <row r="519" spans="9:12" x14ac:dyDescent="0.25">
      <c r="I519" s="24" t="e">
        <f t="shared" si="29"/>
        <v>#N/A</v>
      </c>
      <c r="J519" t="e">
        <f t="shared" si="27"/>
        <v>#N/A</v>
      </c>
      <c r="K519" t="e">
        <f t="shared" si="27"/>
        <v>#N/A</v>
      </c>
      <c r="L519" s="27" t="e">
        <f t="shared" si="28"/>
        <v>#N/A</v>
      </c>
    </row>
    <row r="520" spans="9:12" x14ac:dyDescent="0.25">
      <c r="I520" s="24" t="e">
        <f t="shared" si="29"/>
        <v>#N/A</v>
      </c>
      <c r="J520" t="e">
        <f t="shared" si="27"/>
        <v>#N/A</v>
      </c>
      <c r="K520" t="e">
        <f t="shared" si="27"/>
        <v>#N/A</v>
      </c>
      <c r="L520" s="27" t="e">
        <f t="shared" si="28"/>
        <v>#N/A</v>
      </c>
    </row>
    <row r="521" spans="9:12" x14ac:dyDescent="0.25">
      <c r="I521" s="24" t="e">
        <f t="shared" si="29"/>
        <v>#N/A</v>
      </c>
      <c r="J521" t="e">
        <f t="shared" si="27"/>
        <v>#N/A</v>
      </c>
      <c r="K521" t="e">
        <f t="shared" si="27"/>
        <v>#N/A</v>
      </c>
      <c r="L521" s="27" t="e">
        <f t="shared" si="28"/>
        <v>#N/A</v>
      </c>
    </row>
    <row r="522" spans="9:12" x14ac:dyDescent="0.25">
      <c r="I522" s="24" t="e">
        <f t="shared" si="29"/>
        <v>#N/A</v>
      </c>
      <c r="J522" t="e">
        <f t="shared" si="27"/>
        <v>#N/A</v>
      </c>
      <c r="K522" t="e">
        <f t="shared" si="27"/>
        <v>#N/A</v>
      </c>
      <c r="L522" s="27" t="e">
        <f t="shared" si="28"/>
        <v>#N/A</v>
      </c>
    </row>
    <row r="523" spans="9:12" x14ac:dyDescent="0.25">
      <c r="I523" s="24" t="e">
        <f t="shared" si="29"/>
        <v>#N/A</v>
      </c>
      <c r="J523" t="e">
        <f t="shared" si="27"/>
        <v>#N/A</v>
      </c>
      <c r="K523" t="e">
        <f t="shared" si="27"/>
        <v>#N/A</v>
      </c>
      <c r="L523" s="27" t="e">
        <f t="shared" si="28"/>
        <v>#N/A</v>
      </c>
    </row>
    <row r="524" spans="9:12" x14ac:dyDescent="0.25">
      <c r="I524" s="24" t="e">
        <f t="shared" si="29"/>
        <v>#N/A</v>
      </c>
      <c r="J524" t="e">
        <f t="shared" si="27"/>
        <v>#N/A</v>
      </c>
      <c r="K524" t="e">
        <f t="shared" si="27"/>
        <v>#N/A</v>
      </c>
      <c r="L524" s="27" t="e">
        <f t="shared" si="28"/>
        <v>#N/A</v>
      </c>
    </row>
    <row r="525" spans="9:12" x14ac:dyDescent="0.25">
      <c r="I525" s="24" t="e">
        <f t="shared" si="29"/>
        <v>#N/A</v>
      </c>
      <c r="J525" t="e">
        <f t="shared" si="27"/>
        <v>#N/A</v>
      </c>
      <c r="K525" t="e">
        <f t="shared" si="27"/>
        <v>#N/A</v>
      </c>
      <c r="L525" s="27" t="e">
        <f t="shared" si="28"/>
        <v>#N/A</v>
      </c>
    </row>
    <row r="526" spans="9:12" x14ac:dyDescent="0.25">
      <c r="I526" s="24" t="e">
        <f t="shared" si="29"/>
        <v>#N/A</v>
      </c>
      <c r="J526" t="e">
        <f t="shared" si="27"/>
        <v>#N/A</v>
      </c>
      <c r="K526" t="e">
        <f t="shared" si="27"/>
        <v>#N/A</v>
      </c>
      <c r="L526" s="27" t="e">
        <f t="shared" si="28"/>
        <v>#N/A</v>
      </c>
    </row>
    <row r="527" spans="9:12" x14ac:dyDescent="0.25">
      <c r="I527" s="24" t="e">
        <f t="shared" si="29"/>
        <v>#N/A</v>
      </c>
      <c r="J527" t="e">
        <f t="shared" si="27"/>
        <v>#N/A</v>
      </c>
      <c r="K527" t="e">
        <f t="shared" si="27"/>
        <v>#N/A</v>
      </c>
      <c r="L527" s="27" t="e">
        <f t="shared" si="28"/>
        <v>#N/A</v>
      </c>
    </row>
    <row r="528" spans="9:12" x14ac:dyDescent="0.25">
      <c r="I528" s="24" t="e">
        <f t="shared" si="29"/>
        <v>#N/A</v>
      </c>
      <c r="J528" t="e">
        <f t="shared" si="27"/>
        <v>#N/A</v>
      </c>
      <c r="K528" t="e">
        <f t="shared" si="27"/>
        <v>#N/A</v>
      </c>
      <c r="L528" s="27" t="e">
        <f t="shared" si="28"/>
        <v>#N/A</v>
      </c>
    </row>
    <row r="529" spans="9:12" x14ac:dyDescent="0.25">
      <c r="I529" s="24" t="e">
        <f t="shared" si="29"/>
        <v>#N/A</v>
      </c>
      <c r="J529" t="e">
        <f t="shared" si="27"/>
        <v>#N/A</v>
      </c>
      <c r="K529" t="e">
        <f t="shared" si="27"/>
        <v>#N/A</v>
      </c>
      <c r="L529" s="27" t="e">
        <f t="shared" si="28"/>
        <v>#N/A</v>
      </c>
    </row>
    <row r="530" spans="9:12" x14ac:dyDescent="0.25">
      <c r="I530" s="24" t="e">
        <f t="shared" si="29"/>
        <v>#N/A</v>
      </c>
      <c r="J530" t="e">
        <f t="shared" si="27"/>
        <v>#N/A</v>
      </c>
      <c r="K530" t="e">
        <f t="shared" si="27"/>
        <v>#N/A</v>
      </c>
      <c r="L530" s="27" t="e">
        <f t="shared" si="28"/>
        <v>#N/A</v>
      </c>
    </row>
    <row r="531" spans="9:12" x14ac:dyDescent="0.25">
      <c r="I531" s="24" t="e">
        <f t="shared" si="29"/>
        <v>#N/A</v>
      </c>
      <c r="J531" t="e">
        <f t="shared" si="27"/>
        <v>#N/A</v>
      </c>
      <c r="K531" t="e">
        <f t="shared" si="27"/>
        <v>#N/A</v>
      </c>
      <c r="L531" s="27" t="e">
        <f t="shared" si="28"/>
        <v>#N/A</v>
      </c>
    </row>
    <row r="532" spans="9:12" x14ac:dyDescent="0.25">
      <c r="I532" s="24" t="e">
        <f t="shared" si="29"/>
        <v>#N/A</v>
      </c>
      <c r="J532" t="e">
        <f t="shared" si="27"/>
        <v>#N/A</v>
      </c>
      <c r="K532" t="e">
        <f t="shared" si="27"/>
        <v>#N/A</v>
      </c>
      <c r="L532" s="27" t="e">
        <f t="shared" si="28"/>
        <v>#N/A</v>
      </c>
    </row>
    <row r="533" spans="9:12" x14ac:dyDescent="0.25">
      <c r="I533" s="24" t="e">
        <f t="shared" si="29"/>
        <v>#N/A</v>
      </c>
      <c r="J533" t="e">
        <f t="shared" si="27"/>
        <v>#N/A</v>
      </c>
      <c r="K533" t="e">
        <f t="shared" si="27"/>
        <v>#N/A</v>
      </c>
      <c r="L533" s="27" t="e">
        <f t="shared" si="28"/>
        <v>#N/A</v>
      </c>
    </row>
    <row r="534" spans="9:12" x14ac:dyDescent="0.25">
      <c r="I534" s="24" t="e">
        <f t="shared" si="29"/>
        <v>#N/A</v>
      </c>
      <c r="J534" t="e">
        <f t="shared" si="27"/>
        <v>#N/A</v>
      </c>
      <c r="K534" t="e">
        <f t="shared" si="27"/>
        <v>#N/A</v>
      </c>
      <c r="L534" s="27" t="e">
        <f t="shared" si="28"/>
        <v>#N/A</v>
      </c>
    </row>
    <row r="535" spans="9:12" x14ac:dyDescent="0.25">
      <c r="I535" s="24" t="e">
        <f t="shared" si="29"/>
        <v>#N/A</v>
      </c>
      <c r="J535" t="e">
        <f t="shared" si="27"/>
        <v>#N/A</v>
      </c>
      <c r="K535" t="e">
        <f t="shared" si="27"/>
        <v>#N/A</v>
      </c>
      <c r="L535" s="27" t="e">
        <f t="shared" si="28"/>
        <v>#N/A</v>
      </c>
    </row>
    <row r="536" spans="9:12" x14ac:dyDescent="0.25">
      <c r="I536" s="24" t="e">
        <f t="shared" si="29"/>
        <v>#N/A</v>
      </c>
      <c r="J536" t="e">
        <f t="shared" si="27"/>
        <v>#N/A</v>
      </c>
      <c r="K536" t="e">
        <f t="shared" si="27"/>
        <v>#N/A</v>
      </c>
      <c r="L536" s="27" t="e">
        <f t="shared" si="28"/>
        <v>#N/A</v>
      </c>
    </row>
    <row r="537" spans="9:12" x14ac:dyDescent="0.25">
      <c r="I537" s="24" t="e">
        <f t="shared" si="29"/>
        <v>#N/A</v>
      </c>
      <c r="J537" t="e">
        <f t="shared" si="27"/>
        <v>#N/A</v>
      </c>
      <c r="K537" t="e">
        <f t="shared" si="27"/>
        <v>#N/A</v>
      </c>
      <c r="L537" s="27" t="e">
        <f t="shared" si="28"/>
        <v>#N/A</v>
      </c>
    </row>
    <row r="538" spans="9:12" x14ac:dyDescent="0.25">
      <c r="I538" s="24" t="e">
        <f t="shared" si="29"/>
        <v>#N/A</v>
      </c>
      <c r="J538" t="e">
        <f t="shared" si="27"/>
        <v>#N/A</v>
      </c>
      <c r="K538" t="e">
        <f t="shared" si="27"/>
        <v>#N/A</v>
      </c>
      <c r="L538" s="27" t="e">
        <f t="shared" si="28"/>
        <v>#N/A</v>
      </c>
    </row>
    <row r="539" spans="9:12" x14ac:dyDescent="0.25">
      <c r="I539" s="24" t="e">
        <f t="shared" si="29"/>
        <v>#N/A</v>
      </c>
      <c r="J539" t="e">
        <f t="shared" si="27"/>
        <v>#N/A</v>
      </c>
      <c r="K539" t="e">
        <f t="shared" si="27"/>
        <v>#N/A</v>
      </c>
      <c r="L539" s="27" t="e">
        <f t="shared" si="28"/>
        <v>#N/A</v>
      </c>
    </row>
    <row r="540" spans="9:12" x14ac:dyDescent="0.25">
      <c r="I540" s="24" t="e">
        <f t="shared" si="29"/>
        <v>#N/A</v>
      </c>
      <c r="J540" t="e">
        <f t="shared" si="27"/>
        <v>#N/A</v>
      </c>
      <c r="K540" t="e">
        <f t="shared" si="27"/>
        <v>#N/A</v>
      </c>
      <c r="L540" s="27" t="e">
        <f t="shared" si="28"/>
        <v>#N/A</v>
      </c>
    </row>
    <row r="541" spans="9:12" x14ac:dyDescent="0.25">
      <c r="I541" s="24" t="e">
        <f t="shared" si="29"/>
        <v>#N/A</v>
      </c>
      <c r="J541" t="e">
        <f t="shared" si="27"/>
        <v>#N/A</v>
      </c>
      <c r="K541" t="e">
        <f t="shared" si="27"/>
        <v>#N/A</v>
      </c>
      <c r="L541" s="27" t="e">
        <f t="shared" si="28"/>
        <v>#N/A</v>
      </c>
    </row>
    <row r="542" spans="9:12" x14ac:dyDescent="0.25">
      <c r="I542" s="24" t="e">
        <f t="shared" si="29"/>
        <v>#N/A</v>
      </c>
      <c r="J542" t="e">
        <f t="shared" si="27"/>
        <v>#N/A</v>
      </c>
      <c r="K542" t="e">
        <f t="shared" si="27"/>
        <v>#N/A</v>
      </c>
      <c r="L542" s="27" t="e">
        <f t="shared" si="28"/>
        <v>#N/A</v>
      </c>
    </row>
    <row r="543" spans="9:12" x14ac:dyDescent="0.25">
      <c r="I543" s="24" t="e">
        <f t="shared" si="29"/>
        <v>#N/A</v>
      </c>
      <c r="J543" t="e">
        <f t="shared" si="27"/>
        <v>#N/A</v>
      </c>
      <c r="K543" t="e">
        <f t="shared" si="27"/>
        <v>#N/A</v>
      </c>
      <c r="L543" s="27" t="e">
        <f t="shared" si="28"/>
        <v>#N/A</v>
      </c>
    </row>
    <row r="544" spans="9:12" x14ac:dyDescent="0.25">
      <c r="I544" s="24" t="e">
        <f t="shared" si="29"/>
        <v>#N/A</v>
      </c>
      <c r="J544" t="e">
        <f t="shared" si="27"/>
        <v>#N/A</v>
      </c>
      <c r="K544" t="e">
        <f t="shared" si="27"/>
        <v>#N/A</v>
      </c>
      <c r="L544" s="27" t="e">
        <f t="shared" si="28"/>
        <v>#N/A</v>
      </c>
    </row>
    <row r="545" spans="9:12" x14ac:dyDescent="0.25">
      <c r="I545" s="24" t="e">
        <f t="shared" si="29"/>
        <v>#N/A</v>
      </c>
      <c r="J545" t="e">
        <f t="shared" si="27"/>
        <v>#N/A</v>
      </c>
      <c r="K545" t="e">
        <f t="shared" si="27"/>
        <v>#N/A</v>
      </c>
      <c r="L545" s="27" t="e">
        <f t="shared" si="28"/>
        <v>#N/A</v>
      </c>
    </row>
    <row r="546" spans="9:12" x14ac:dyDescent="0.25">
      <c r="I546" s="24" t="e">
        <f t="shared" si="29"/>
        <v>#N/A</v>
      </c>
      <c r="J546" t="e">
        <f t="shared" si="27"/>
        <v>#N/A</v>
      </c>
      <c r="K546" t="e">
        <f t="shared" si="27"/>
        <v>#N/A</v>
      </c>
      <c r="L546" s="27" t="e">
        <f t="shared" si="28"/>
        <v>#N/A</v>
      </c>
    </row>
    <row r="547" spans="9:12" x14ac:dyDescent="0.25">
      <c r="I547" s="24" t="e">
        <f t="shared" si="29"/>
        <v>#N/A</v>
      </c>
      <c r="J547" t="e">
        <f t="shared" si="27"/>
        <v>#N/A</v>
      </c>
      <c r="K547" t="e">
        <f t="shared" si="27"/>
        <v>#N/A</v>
      </c>
      <c r="L547" s="27" t="e">
        <f t="shared" si="28"/>
        <v>#N/A</v>
      </c>
    </row>
    <row r="548" spans="9:12" x14ac:dyDescent="0.25">
      <c r="I548" s="24" t="e">
        <f t="shared" si="29"/>
        <v>#N/A</v>
      </c>
      <c r="J548" t="e">
        <f t="shared" si="27"/>
        <v>#N/A</v>
      </c>
      <c r="K548" t="e">
        <f t="shared" si="27"/>
        <v>#N/A</v>
      </c>
      <c r="L548" s="27" t="e">
        <f t="shared" si="28"/>
        <v>#N/A</v>
      </c>
    </row>
    <row r="549" spans="9:12" x14ac:dyDescent="0.25">
      <c r="I549" s="24" t="e">
        <f t="shared" si="29"/>
        <v>#N/A</v>
      </c>
      <c r="J549" t="e">
        <f t="shared" si="27"/>
        <v>#N/A</v>
      </c>
      <c r="K549" t="e">
        <f t="shared" si="27"/>
        <v>#N/A</v>
      </c>
      <c r="L549" s="27" t="e">
        <f t="shared" si="28"/>
        <v>#N/A</v>
      </c>
    </row>
    <row r="550" spans="9:12" x14ac:dyDescent="0.25">
      <c r="I550" s="24" t="e">
        <f t="shared" si="29"/>
        <v>#N/A</v>
      </c>
      <c r="J550" t="e">
        <f t="shared" si="27"/>
        <v>#N/A</v>
      </c>
      <c r="K550" t="e">
        <f t="shared" si="27"/>
        <v>#N/A</v>
      </c>
      <c r="L550" s="27" t="e">
        <f t="shared" si="28"/>
        <v>#N/A</v>
      </c>
    </row>
    <row r="551" spans="9:12" x14ac:dyDescent="0.25">
      <c r="I551" s="24" t="e">
        <f t="shared" si="29"/>
        <v>#N/A</v>
      </c>
      <c r="J551" t="e">
        <f t="shared" si="27"/>
        <v>#N/A</v>
      </c>
      <c r="K551" t="e">
        <f t="shared" si="27"/>
        <v>#N/A</v>
      </c>
      <c r="L551" s="27" t="e">
        <f t="shared" si="28"/>
        <v>#N/A</v>
      </c>
    </row>
    <row r="552" spans="9:12" x14ac:dyDescent="0.25">
      <c r="I552" s="24" t="e">
        <f t="shared" si="29"/>
        <v>#N/A</v>
      </c>
      <c r="J552" t="e">
        <f t="shared" si="27"/>
        <v>#N/A</v>
      </c>
      <c r="K552" t="e">
        <f t="shared" si="27"/>
        <v>#N/A</v>
      </c>
      <c r="L552" s="27" t="e">
        <f t="shared" si="28"/>
        <v>#N/A</v>
      </c>
    </row>
    <row r="553" spans="9:12" x14ac:dyDescent="0.25">
      <c r="I553" s="24" t="e">
        <f t="shared" si="29"/>
        <v>#N/A</v>
      </c>
      <c r="J553" t="e">
        <f t="shared" si="27"/>
        <v>#N/A</v>
      </c>
      <c r="K553" t="e">
        <f t="shared" si="27"/>
        <v>#N/A</v>
      </c>
      <c r="L553" s="27" t="e">
        <f t="shared" si="28"/>
        <v>#N/A</v>
      </c>
    </row>
    <row r="554" spans="9:12" x14ac:dyDescent="0.25">
      <c r="I554" s="24" t="e">
        <f t="shared" si="29"/>
        <v>#N/A</v>
      </c>
      <c r="J554" t="e">
        <f t="shared" si="27"/>
        <v>#N/A</v>
      </c>
      <c r="K554" t="e">
        <f t="shared" si="27"/>
        <v>#N/A</v>
      </c>
      <c r="L554" s="27" t="e">
        <f t="shared" si="28"/>
        <v>#N/A</v>
      </c>
    </row>
    <row r="555" spans="9:12" x14ac:dyDescent="0.25">
      <c r="I555" s="24" t="e">
        <f t="shared" si="29"/>
        <v>#N/A</v>
      </c>
      <c r="J555" t="e">
        <f t="shared" si="27"/>
        <v>#N/A</v>
      </c>
      <c r="K555" t="e">
        <f t="shared" si="27"/>
        <v>#N/A</v>
      </c>
      <c r="L555" s="27" t="e">
        <f t="shared" si="28"/>
        <v>#N/A</v>
      </c>
    </row>
    <row r="556" spans="9:12" x14ac:dyDescent="0.25">
      <c r="I556" s="24" t="e">
        <f t="shared" si="29"/>
        <v>#N/A</v>
      </c>
      <c r="J556" t="e">
        <f t="shared" si="27"/>
        <v>#N/A</v>
      </c>
      <c r="K556" t="e">
        <f t="shared" si="27"/>
        <v>#N/A</v>
      </c>
      <c r="L556" s="27" t="e">
        <f t="shared" si="28"/>
        <v>#N/A</v>
      </c>
    </row>
    <row r="557" spans="9:12" x14ac:dyDescent="0.25">
      <c r="I557" s="24" t="e">
        <f t="shared" si="29"/>
        <v>#N/A</v>
      </c>
      <c r="J557" t="e">
        <f t="shared" si="27"/>
        <v>#N/A</v>
      </c>
      <c r="K557" t="e">
        <f t="shared" si="27"/>
        <v>#N/A</v>
      </c>
      <c r="L557" s="27" t="e">
        <f t="shared" si="28"/>
        <v>#N/A</v>
      </c>
    </row>
    <row r="558" spans="9:12" x14ac:dyDescent="0.25">
      <c r="I558" s="24" t="e">
        <f t="shared" si="29"/>
        <v>#N/A</v>
      </c>
      <c r="J558" t="e">
        <f t="shared" si="27"/>
        <v>#N/A</v>
      </c>
      <c r="K558" t="e">
        <f t="shared" si="27"/>
        <v>#N/A</v>
      </c>
      <c r="L558" s="27" t="e">
        <f t="shared" si="28"/>
        <v>#N/A</v>
      </c>
    </row>
    <row r="559" spans="9:12" x14ac:dyDescent="0.25">
      <c r="I559" s="24" t="e">
        <f t="shared" si="29"/>
        <v>#N/A</v>
      </c>
      <c r="J559" t="e">
        <f t="shared" si="27"/>
        <v>#N/A</v>
      </c>
      <c r="K559" t="e">
        <f t="shared" si="27"/>
        <v>#N/A</v>
      </c>
      <c r="L559" s="27" t="e">
        <f t="shared" si="28"/>
        <v>#N/A</v>
      </c>
    </row>
    <row r="560" spans="9:12" x14ac:dyDescent="0.25">
      <c r="I560" s="24" t="e">
        <f t="shared" si="29"/>
        <v>#N/A</v>
      </c>
      <c r="J560" t="e">
        <f t="shared" si="27"/>
        <v>#N/A</v>
      </c>
      <c r="K560" t="e">
        <f t="shared" si="27"/>
        <v>#N/A</v>
      </c>
      <c r="L560" s="27" t="e">
        <f t="shared" si="28"/>
        <v>#N/A</v>
      </c>
    </row>
    <row r="561" spans="9:12" x14ac:dyDescent="0.25">
      <c r="I561" s="24" t="e">
        <f t="shared" si="29"/>
        <v>#N/A</v>
      </c>
      <c r="J561" t="e">
        <f t="shared" si="27"/>
        <v>#N/A</v>
      </c>
      <c r="K561" t="e">
        <f t="shared" si="27"/>
        <v>#N/A</v>
      </c>
      <c r="L561" s="27" t="e">
        <f t="shared" si="28"/>
        <v>#N/A</v>
      </c>
    </row>
    <row r="562" spans="9:12" x14ac:dyDescent="0.25">
      <c r="I562" s="24" t="e">
        <f t="shared" si="29"/>
        <v>#N/A</v>
      </c>
      <c r="J562" t="e">
        <f t="shared" si="27"/>
        <v>#N/A</v>
      </c>
      <c r="K562" t="e">
        <f t="shared" si="27"/>
        <v>#N/A</v>
      </c>
      <c r="L562" s="27" t="e">
        <f t="shared" si="28"/>
        <v>#N/A</v>
      </c>
    </row>
    <row r="563" spans="9:12" x14ac:dyDescent="0.25">
      <c r="I563" s="24" t="e">
        <f t="shared" si="29"/>
        <v>#N/A</v>
      </c>
      <c r="J563" t="e">
        <f t="shared" si="27"/>
        <v>#N/A</v>
      </c>
      <c r="K563" t="e">
        <f t="shared" si="27"/>
        <v>#N/A</v>
      </c>
      <c r="L563" s="27" t="e">
        <f t="shared" si="28"/>
        <v>#N/A</v>
      </c>
    </row>
    <row r="564" spans="9:12" x14ac:dyDescent="0.25">
      <c r="I564" s="24" t="e">
        <f t="shared" si="29"/>
        <v>#N/A</v>
      </c>
      <c r="J564" t="e">
        <f t="shared" si="27"/>
        <v>#N/A</v>
      </c>
      <c r="K564" t="e">
        <f t="shared" si="27"/>
        <v>#N/A</v>
      </c>
      <c r="L564" s="27" t="e">
        <f t="shared" si="28"/>
        <v>#N/A</v>
      </c>
    </row>
    <row r="565" spans="9:12" x14ac:dyDescent="0.25">
      <c r="I565" s="24" t="e">
        <f t="shared" si="29"/>
        <v>#N/A</v>
      </c>
      <c r="J565" t="e">
        <f t="shared" si="27"/>
        <v>#N/A</v>
      </c>
      <c r="K565" t="e">
        <f t="shared" si="27"/>
        <v>#N/A</v>
      </c>
      <c r="L565" s="27" t="e">
        <f t="shared" si="28"/>
        <v>#N/A</v>
      </c>
    </row>
    <row r="566" spans="9:12" x14ac:dyDescent="0.25">
      <c r="I566" s="24" t="e">
        <f t="shared" si="29"/>
        <v>#N/A</v>
      </c>
      <c r="J566" t="e">
        <f t="shared" si="27"/>
        <v>#N/A</v>
      </c>
      <c r="K566" t="e">
        <f t="shared" si="27"/>
        <v>#N/A</v>
      </c>
      <c r="L566" s="27" t="e">
        <f t="shared" si="28"/>
        <v>#N/A</v>
      </c>
    </row>
    <row r="567" spans="9:12" x14ac:dyDescent="0.25">
      <c r="I567" s="24" t="e">
        <f t="shared" si="29"/>
        <v>#N/A</v>
      </c>
      <c r="J567" t="e">
        <f t="shared" si="27"/>
        <v>#N/A</v>
      </c>
      <c r="K567" t="e">
        <f t="shared" si="27"/>
        <v>#N/A</v>
      </c>
      <c r="L567" s="27" t="e">
        <f t="shared" si="28"/>
        <v>#N/A</v>
      </c>
    </row>
    <row r="568" spans="9:12" x14ac:dyDescent="0.25">
      <c r="I568" s="24" t="e">
        <f t="shared" si="29"/>
        <v>#N/A</v>
      </c>
      <c r="J568" t="e">
        <f t="shared" si="27"/>
        <v>#N/A</v>
      </c>
      <c r="K568" t="e">
        <f t="shared" si="27"/>
        <v>#N/A</v>
      </c>
      <c r="L568" s="27" t="e">
        <f t="shared" si="28"/>
        <v>#N/A</v>
      </c>
    </row>
    <row r="569" spans="9:12" x14ac:dyDescent="0.25">
      <c r="I569" s="24" t="e">
        <f t="shared" si="29"/>
        <v>#N/A</v>
      </c>
      <c r="J569" t="e">
        <f t="shared" si="27"/>
        <v>#N/A</v>
      </c>
      <c r="K569" t="e">
        <f t="shared" si="27"/>
        <v>#N/A</v>
      </c>
      <c r="L569" s="27" t="e">
        <f t="shared" si="28"/>
        <v>#N/A</v>
      </c>
    </row>
    <row r="570" spans="9:12" x14ac:dyDescent="0.25">
      <c r="I570" s="24" t="e">
        <f t="shared" si="29"/>
        <v>#N/A</v>
      </c>
      <c r="J570" t="e">
        <f t="shared" si="27"/>
        <v>#N/A</v>
      </c>
      <c r="K570" t="e">
        <f t="shared" si="27"/>
        <v>#N/A</v>
      </c>
      <c r="L570" s="27" t="e">
        <f t="shared" si="28"/>
        <v>#N/A</v>
      </c>
    </row>
    <row r="571" spans="9:12" x14ac:dyDescent="0.25">
      <c r="I571" s="24" t="e">
        <f t="shared" si="29"/>
        <v>#N/A</v>
      </c>
      <c r="J571" t="e">
        <f t="shared" si="27"/>
        <v>#N/A</v>
      </c>
      <c r="K571" t="e">
        <f t="shared" si="27"/>
        <v>#N/A</v>
      </c>
      <c r="L571" s="27" t="e">
        <f t="shared" si="28"/>
        <v>#N/A</v>
      </c>
    </row>
    <row r="572" spans="9:12" x14ac:dyDescent="0.25">
      <c r="I572" s="24" t="e">
        <f t="shared" si="29"/>
        <v>#N/A</v>
      </c>
      <c r="J572" t="e">
        <f t="shared" si="27"/>
        <v>#N/A</v>
      </c>
      <c r="K572" t="e">
        <f t="shared" si="27"/>
        <v>#N/A</v>
      </c>
      <c r="L572" s="27" t="e">
        <f t="shared" si="28"/>
        <v>#N/A</v>
      </c>
    </row>
    <row r="573" spans="9:12" x14ac:dyDescent="0.25">
      <c r="I573" s="24" t="e">
        <f t="shared" si="29"/>
        <v>#N/A</v>
      </c>
      <c r="J573" t="e">
        <f t="shared" si="27"/>
        <v>#N/A</v>
      </c>
      <c r="K573" t="e">
        <f t="shared" si="27"/>
        <v>#N/A</v>
      </c>
      <c r="L573" s="27" t="e">
        <f t="shared" si="28"/>
        <v>#N/A</v>
      </c>
    </row>
    <row r="574" spans="9:12" x14ac:dyDescent="0.25">
      <c r="I574" s="24" t="e">
        <f t="shared" si="29"/>
        <v>#N/A</v>
      </c>
      <c r="J574" t="e">
        <f t="shared" si="27"/>
        <v>#N/A</v>
      </c>
      <c r="K574" t="e">
        <f t="shared" si="27"/>
        <v>#N/A</v>
      </c>
      <c r="L574" s="27" t="e">
        <f t="shared" si="28"/>
        <v>#N/A</v>
      </c>
    </row>
    <row r="575" spans="9:12" x14ac:dyDescent="0.25">
      <c r="I575" s="24" t="e">
        <f t="shared" si="29"/>
        <v>#N/A</v>
      </c>
      <c r="J575" t="e">
        <f t="shared" si="27"/>
        <v>#N/A</v>
      </c>
      <c r="K575" t="e">
        <f t="shared" si="27"/>
        <v>#N/A</v>
      </c>
      <c r="L575" s="27" t="e">
        <f t="shared" si="28"/>
        <v>#N/A</v>
      </c>
    </row>
    <row r="576" spans="9:12" x14ac:dyDescent="0.25">
      <c r="I576" s="24" t="e">
        <f t="shared" si="29"/>
        <v>#N/A</v>
      </c>
      <c r="J576" t="e">
        <f t="shared" si="27"/>
        <v>#N/A</v>
      </c>
      <c r="K576" t="e">
        <f t="shared" si="27"/>
        <v>#N/A</v>
      </c>
      <c r="L576" s="27" t="e">
        <f t="shared" si="28"/>
        <v>#N/A</v>
      </c>
    </row>
    <row r="577" spans="9:12" x14ac:dyDescent="0.25">
      <c r="I577" s="24" t="e">
        <f t="shared" si="29"/>
        <v>#N/A</v>
      </c>
      <c r="J577" t="e">
        <f t="shared" si="27"/>
        <v>#N/A</v>
      </c>
      <c r="K577" t="e">
        <f t="shared" si="27"/>
        <v>#N/A</v>
      </c>
      <c r="L577" s="27" t="e">
        <f t="shared" si="28"/>
        <v>#N/A</v>
      </c>
    </row>
    <row r="578" spans="9:12" x14ac:dyDescent="0.25">
      <c r="I578" s="24" t="e">
        <f t="shared" si="29"/>
        <v>#N/A</v>
      </c>
      <c r="J578" t="e">
        <f t="shared" ref="J578:K641" si="30">D$29*($I578/1000)+D$18*(($I578/1000)-($D$8/1000))*(($I578/1000)&gt;($D$8/1000))+D$19*(($I578/1000)-($D$9/1000))*(($I578/1000)&gt;($D$9/1000))+D$20*(($I578/1000)-($D$10/1000))*(($I578/1000)&gt;($D$10/1000))+D$21*(($I578/1000)-($D$11/1000))*(($I578/1000)&gt;($D$11/1000))</f>
        <v>#N/A</v>
      </c>
      <c r="K578" t="e">
        <f t="shared" si="30"/>
        <v>#N/A</v>
      </c>
      <c r="L578" s="27" t="e">
        <f t="shared" ref="L578:L641" si="31">SQRT((J578^2)+(K578^2))</f>
        <v>#N/A</v>
      </c>
    </row>
    <row r="579" spans="9:12" x14ac:dyDescent="0.25">
      <c r="I579" s="24" t="e">
        <f t="shared" ref="I579:I642" si="32">IF((ROW(A577)*$F$2)&lt;=$D$5, ROW(A577)*$F$2,NA())</f>
        <v>#N/A</v>
      </c>
      <c r="J579" t="e">
        <f t="shared" si="30"/>
        <v>#N/A</v>
      </c>
      <c r="K579" t="e">
        <f t="shared" si="30"/>
        <v>#N/A</v>
      </c>
      <c r="L579" s="27" t="e">
        <f t="shared" si="31"/>
        <v>#N/A</v>
      </c>
    </row>
    <row r="580" spans="9:12" x14ac:dyDescent="0.25">
      <c r="I580" s="24" t="e">
        <f t="shared" si="32"/>
        <v>#N/A</v>
      </c>
      <c r="J580" t="e">
        <f t="shared" si="30"/>
        <v>#N/A</v>
      </c>
      <c r="K580" t="e">
        <f t="shared" si="30"/>
        <v>#N/A</v>
      </c>
      <c r="L580" s="27" t="e">
        <f t="shared" si="31"/>
        <v>#N/A</v>
      </c>
    </row>
    <row r="581" spans="9:12" x14ac:dyDescent="0.25">
      <c r="I581" s="24" t="e">
        <f t="shared" si="32"/>
        <v>#N/A</v>
      </c>
      <c r="J581" t="e">
        <f t="shared" si="30"/>
        <v>#N/A</v>
      </c>
      <c r="K581" t="e">
        <f t="shared" si="30"/>
        <v>#N/A</v>
      </c>
      <c r="L581" s="27" t="e">
        <f t="shared" si="31"/>
        <v>#N/A</v>
      </c>
    </row>
    <row r="582" spans="9:12" x14ac:dyDescent="0.25">
      <c r="I582" s="24" t="e">
        <f t="shared" si="32"/>
        <v>#N/A</v>
      </c>
      <c r="J582" t="e">
        <f t="shared" si="30"/>
        <v>#N/A</v>
      </c>
      <c r="K582" t="e">
        <f t="shared" si="30"/>
        <v>#N/A</v>
      </c>
      <c r="L582" s="27" t="e">
        <f t="shared" si="31"/>
        <v>#N/A</v>
      </c>
    </row>
    <row r="583" spans="9:12" x14ac:dyDescent="0.25">
      <c r="I583" s="24" t="e">
        <f t="shared" si="32"/>
        <v>#N/A</v>
      </c>
      <c r="J583" t="e">
        <f t="shared" si="30"/>
        <v>#N/A</v>
      </c>
      <c r="K583" t="e">
        <f t="shared" si="30"/>
        <v>#N/A</v>
      </c>
      <c r="L583" s="27" t="e">
        <f t="shared" si="31"/>
        <v>#N/A</v>
      </c>
    </row>
    <row r="584" spans="9:12" x14ac:dyDescent="0.25">
      <c r="I584" s="24" t="e">
        <f t="shared" si="32"/>
        <v>#N/A</v>
      </c>
      <c r="J584" t="e">
        <f t="shared" si="30"/>
        <v>#N/A</v>
      </c>
      <c r="K584" t="e">
        <f t="shared" si="30"/>
        <v>#N/A</v>
      </c>
      <c r="L584" s="27" t="e">
        <f t="shared" si="31"/>
        <v>#N/A</v>
      </c>
    </row>
    <row r="585" spans="9:12" x14ac:dyDescent="0.25">
      <c r="I585" s="24" t="e">
        <f t="shared" si="32"/>
        <v>#N/A</v>
      </c>
      <c r="J585" t="e">
        <f t="shared" si="30"/>
        <v>#N/A</v>
      </c>
      <c r="K585" t="e">
        <f t="shared" si="30"/>
        <v>#N/A</v>
      </c>
      <c r="L585" s="27" t="e">
        <f t="shared" si="31"/>
        <v>#N/A</v>
      </c>
    </row>
    <row r="586" spans="9:12" x14ac:dyDescent="0.25">
      <c r="I586" s="24" t="e">
        <f t="shared" si="32"/>
        <v>#N/A</v>
      </c>
      <c r="J586" t="e">
        <f t="shared" si="30"/>
        <v>#N/A</v>
      </c>
      <c r="K586" t="e">
        <f t="shared" si="30"/>
        <v>#N/A</v>
      </c>
      <c r="L586" s="27" t="e">
        <f t="shared" si="31"/>
        <v>#N/A</v>
      </c>
    </row>
    <row r="587" spans="9:12" x14ac:dyDescent="0.25">
      <c r="I587" s="24" t="e">
        <f t="shared" si="32"/>
        <v>#N/A</v>
      </c>
      <c r="J587" t="e">
        <f t="shared" si="30"/>
        <v>#N/A</v>
      </c>
      <c r="K587" t="e">
        <f t="shared" si="30"/>
        <v>#N/A</v>
      </c>
      <c r="L587" s="27" t="e">
        <f t="shared" si="31"/>
        <v>#N/A</v>
      </c>
    </row>
    <row r="588" spans="9:12" x14ac:dyDescent="0.25">
      <c r="I588" s="24" t="e">
        <f t="shared" si="32"/>
        <v>#N/A</v>
      </c>
      <c r="J588" t="e">
        <f t="shared" si="30"/>
        <v>#N/A</v>
      </c>
      <c r="K588" t="e">
        <f t="shared" si="30"/>
        <v>#N/A</v>
      </c>
      <c r="L588" s="27" t="e">
        <f t="shared" si="31"/>
        <v>#N/A</v>
      </c>
    </row>
    <row r="589" spans="9:12" x14ac:dyDescent="0.25">
      <c r="I589" s="24" t="e">
        <f t="shared" si="32"/>
        <v>#N/A</v>
      </c>
      <c r="J589" t="e">
        <f t="shared" si="30"/>
        <v>#N/A</v>
      </c>
      <c r="K589" t="e">
        <f t="shared" si="30"/>
        <v>#N/A</v>
      </c>
      <c r="L589" s="27" t="e">
        <f t="shared" si="31"/>
        <v>#N/A</v>
      </c>
    </row>
    <row r="590" spans="9:12" x14ac:dyDescent="0.25">
      <c r="I590" s="24" t="e">
        <f t="shared" si="32"/>
        <v>#N/A</v>
      </c>
      <c r="J590" t="e">
        <f t="shared" si="30"/>
        <v>#N/A</v>
      </c>
      <c r="K590" t="e">
        <f t="shared" si="30"/>
        <v>#N/A</v>
      </c>
      <c r="L590" s="27" t="e">
        <f t="shared" si="31"/>
        <v>#N/A</v>
      </c>
    </row>
    <row r="591" spans="9:12" x14ac:dyDescent="0.25">
      <c r="I591" s="24" t="e">
        <f t="shared" si="32"/>
        <v>#N/A</v>
      </c>
      <c r="J591" t="e">
        <f t="shared" si="30"/>
        <v>#N/A</v>
      </c>
      <c r="K591" t="e">
        <f t="shared" si="30"/>
        <v>#N/A</v>
      </c>
      <c r="L591" s="27" t="e">
        <f t="shared" si="31"/>
        <v>#N/A</v>
      </c>
    </row>
    <row r="592" spans="9:12" x14ac:dyDescent="0.25">
      <c r="I592" s="24" t="e">
        <f t="shared" si="32"/>
        <v>#N/A</v>
      </c>
      <c r="J592" t="e">
        <f t="shared" si="30"/>
        <v>#N/A</v>
      </c>
      <c r="K592" t="e">
        <f t="shared" si="30"/>
        <v>#N/A</v>
      </c>
      <c r="L592" s="27" t="e">
        <f t="shared" si="31"/>
        <v>#N/A</v>
      </c>
    </row>
    <row r="593" spans="9:12" x14ac:dyDescent="0.25">
      <c r="I593" s="24" t="e">
        <f t="shared" si="32"/>
        <v>#N/A</v>
      </c>
      <c r="J593" t="e">
        <f t="shared" si="30"/>
        <v>#N/A</v>
      </c>
      <c r="K593" t="e">
        <f t="shared" si="30"/>
        <v>#N/A</v>
      </c>
      <c r="L593" s="27" t="e">
        <f t="shared" si="31"/>
        <v>#N/A</v>
      </c>
    </row>
    <row r="594" spans="9:12" x14ac:dyDescent="0.25">
      <c r="I594" s="24" t="e">
        <f t="shared" si="32"/>
        <v>#N/A</v>
      </c>
      <c r="J594" t="e">
        <f t="shared" si="30"/>
        <v>#N/A</v>
      </c>
      <c r="K594" t="e">
        <f t="shared" si="30"/>
        <v>#N/A</v>
      </c>
      <c r="L594" s="27" t="e">
        <f t="shared" si="31"/>
        <v>#N/A</v>
      </c>
    </row>
    <row r="595" spans="9:12" x14ac:dyDescent="0.25">
      <c r="I595" s="24" t="e">
        <f t="shared" si="32"/>
        <v>#N/A</v>
      </c>
      <c r="J595" t="e">
        <f t="shared" si="30"/>
        <v>#N/A</v>
      </c>
      <c r="K595" t="e">
        <f t="shared" si="30"/>
        <v>#N/A</v>
      </c>
      <c r="L595" s="27" t="e">
        <f t="shared" si="31"/>
        <v>#N/A</v>
      </c>
    </row>
    <row r="596" spans="9:12" x14ac:dyDescent="0.25">
      <c r="I596" s="24" t="e">
        <f t="shared" si="32"/>
        <v>#N/A</v>
      </c>
      <c r="J596" t="e">
        <f t="shared" si="30"/>
        <v>#N/A</v>
      </c>
      <c r="K596" t="e">
        <f t="shared" si="30"/>
        <v>#N/A</v>
      </c>
      <c r="L596" s="27" t="e">
        <f t="shared" si="31"/>
        <v>#N/A</v>
      </c>
    </row>
    <row r="597" spans="9:12" x14ac:dyDescent="0.25">
      <c r="I597" s="24" t="e">
        <f t="shared" si="32"/>
        <v>#N/A</v>
      </c>
      <c r="J597" t="e">
        <f t="shared" si="30"/>
        <v>#N/A</v>
      </c>
      <c r="K597" t="e">
        <f t="shared" si="30"/>
        <v>#N/A</v>
      </c>
      <c r="L597" s="27" t="e">
        <f t="shared" si="31"/>
        <v>#N/A</v>
      </c>
    </row>
    <row r="598" spans="9:12" x14ac:dyDescent="0.25">
      <c r="I598" s="24" t="e">
        <f t="shared" si="32"/>
        <v>#N/A</v>
      </c>
      <c r="J598" t="e">
        <f t="shared" si="30"/>
        <v>#N/A</v>
      </c>
      <c r="K598" t="e">
        <f t="shared" si="30"/>
        <v>#N/A</v>
      </c>
      <c r="L598" s="27" t="e">
        <f t="shared" si="31"/>
        <v>#N/A</v>
      </c>
    </row>
    <row r="599" spans="9:12" x14ac:dyDescent="0.25">
      <c r="I599" s="24" t="e">
        <f t="shared" si="32"/>
        <v>#N/A</v>
      </c>
      <c r="J599" t="e">
        <f t="shared" si="30"/>
        <v>#N/A</v>
      </c>
      <c r="K599" t="e">
        <f t="shared" si="30"/>
        <v>#N/A</v>
      </c>
      <c r="L599" s="27" t="e">
        <f t="shared" si="31"/>
        <v>#N/A</v>
      </c>
    </row>
    <row r="600" spans="9:12" x14ac:dyDescent="0.25">
      <c r="I600" s="24" t="e">
        <f t="shared" si="32"/>
        <v>#N/A</v>
      </c>
      <c r="J600" t="e">
        <f t="shared" si="30"/>
        <v>#N/A</v>
      </c>
      <c r="K600" t="e">
        <f t="shared" si="30"/>
        <v>#N/A</v>
      </c>
      <c r="L600" s="27" t="e">
        <f t="shared" si="31"/>
        <v>#N/A</v>
      </c>
    </row>
    <row r="601" spans="9:12" x14ac:dyDescent="0.25">
      <c r="I601" s="24" t="e">
        <f t="shared" si="32"/>
        <v>#N/A</v>
      </c>
      <c r="J601" t="e">
        <f t="shared" si="30"/>
        <v>#N/A</v>
      </c>
      <c r="K601" t="e">
        <f t="shared" si="30"/>
        <v>#N/A</v>
      </c>
      <c r="L601" s="27" t="e">
        <f t="shared" si="31"/>
        <v>#N/A</v>
      </c>
    </row>
    <row r="602" spans="9:12" x14ac:dyDescent="0.25">
      <c r="I602" s="24" t="e">
        <f t="shared" si="32"/>
        <v>#N/A</v>
      </c>
      <c r="J602" t="e">
        <f t="shared" si="30"/>
        <v>#N/A</v>
      </c>
      <c r="K602" t="e">
        <f t="shared" si="30"/>
        <v>#N/A</v>
      </c>
      <c r="L602" s="27" t="e">
        <f t="shared" si="31"/>
        <v>#N/A</v>
      </c>
    </row>
    <row r="603" spans="9:12" x14ac:dyDescent="0.25">
      <c r="I603" s="24" t="e">
        <f t="shared" si="32"/>
        <v>#N/A</v>
      </c>
      <c r="J603" t="e">
        <f t="shared" si="30"/>
        <v>#N/A</v>
      </c>
      <c r="K603" t="e">
        <f t="shared" si="30"/>
        <v>#N/A</v>
      </c>
      <c r="L603" s="27" t="e">
        <f t="shared" si="31"/>
        <v>#N/A</v>
      </c>
    </row>
    <row r="604" spans="9:12" x14ac:dyDescent="0.25">
      <c r="I604" s="24" t="e">
        <f t="shared" si="32"/>
        <v>#N/A</v>
      </c>
      <c r="J604" t="e">
        <f t="shared" si="30"/>
        <v>#N/A</v>
      </c>
      <c r="K604" t="e">
        <f t="shared" si="30"/>
        <v>#N/A</v>
      </c>
      <c r="L604" s="27" t="e">
        <f t="shared" si="31"/>
        <v>#N/A</v>
      </c>
    </row>
    <row r="605" spans="9:12" x14ac:dyDescent="0.25">
      <c r="I605" s="24" t="e">
        <f t="shared" si="32"/>
        <v>#N/A</v>
      </c>
      <c r="J605" t="e">
        <f t="shared" si="30"/>
        <v>#N/A</v>
      </c>
      <c r="K605" t="e">
        <f t="shared" si="30"/>
        <v>#N/A</v>
      </c>
      <c r="L605" s="27" t="e">
        <f t="shared" si="31"/>
        <v>#N/A</v>
      </c>
    </row>
    <row r="606" spans="9:12" x14ac:dyDescent="0.25">
      <c r="I606" s="24" t="e">
        <f t="shared" si="32"/>
        <v>#N/A</v>
      </c>
      <c r="J606" t="e">
        <f t="shared" si="30"/>
        <v>#N/A</v>
      </c>
      <c r="K606" t="e">
        <f t="shared" si="30"/>
        <v>#N/A</v>
      </c>
      <c r="L606" s="27" t="e">
        <f t="shared" si="31"/>
        <v>#N/A</v>
      </c>
    </row>
    <row r="607" spans="9:12" x14ac:dyDescent="0.25">
      <c r="I607" s="24" t="e">
        <f t="shared" si="32"/>
        <v>#N/A</v>
      </c>
      <c r="J607" t="e">
        <f t="shared" si="30"/>
        <v>#N/A</v>
      </c>
      <c r="K607" t="e">
        <f t="shared" si="30"/>
        <v>#N/A</v>
      </c>
      <c r="L607" s="27" t="e">
        <f t="shared" si="31"/>
        <v>#N/A</v>
      </c>
    </row>
    <row r="608" spans="9:12" x14ac:dyDescent="0.25">
      <c r="I608" s="24" t="e">
        <f t="shared" si="32"/>
        <v>#N/A</v>
      </c>
      <c r="J608" t="e">
        <f t="shared" si="30"/>
        <v>#N/A</v>
      </c>
      <c r="K608" t="e">
        <f t="shared" si="30"/>
        <v>#N/A</v>
      </c>
      <c r="L608" s="27" t="e">
        <f t="shared" si="31"/>
        <v>#N/A</v>
      </c>
    </row>
    <row r="609" spans="9:12" x14ac:dyDescent="0.25">
      <c r="I609" s="24" t="e">
        <f t="shared" si="32"/>
        <v>#N/A</v>
      </c>
      <c r="J609" t="e">
        <f t="shared" si="30"/>
        <v>#N/A</v>
      </c>
      <c r="K609" t="e">
        <f t="shared" si="30"/>
        <v>#N/A</v>
      </c>
      <c r="L609" s="27" t="e">
        <f t="shared" si="31"/>
        <v>#N/A</v>
      </c>
    </row>
    <row r="610" spans="9:12" x14ac:dyDescent="0.25">
      <c r="I610" s="24" t="e">
        <f t="shared" si="32"/>
        <v>#N/A</v>
      </c>
      <c r="J610" t="e">
        <f t="shared" si="30"/>
        <v>#N/A</v>
      </c>
      <c r="K610" t="e">
        <f t="shared" si="30"/>
        <v>#N/A</v>
      </c>
      <c r="L610" s="27" t="e">
        <f t="shared" si="31"/>
        <v>#N/A</v>
      </c>
    </row>
    <row r="611" spans="9:12" x14ac:dyDescent="0.25">
      <c r="I611" s="24" t="e">
        <f t="shared" si="32"/>
        <v>#N/A</v>
      </c>
      <c r="J611" t="e">
        <f t="shared" si="30"/>
        <v>#N/A</v>
      </c>
      <c r="K611" t="e">
        <f t="shared" si="30"/>
        <v>#N/A</v>
      </c>
      <c r="L611" s="27" t="e">
        <f t="shared" si="31"/>
        <v>#N/A</v>
      </c>
    </row>
    <row r="612" spans="9:12" x14ac:dyDescent="0.25">
      <c r="I612" s="24" t="e">
        <f t="shared" si="32"/>
        <v>#N/A</v>
      </c>
      <c r="J612" t="e">
        <f t="shared" si="30"/>
        <v>#N/A</v>
      </c>
      <c r="K612" t="e">
        <f t="shared" si="30"/>
        <v>#N/A</v>
      </c>
      <c r="L612" s="27" t="e">
        <f t="shared" si="31"/>
        <v>#N/A</v>
      </c>
    </row>
    <row r="613" spans="9:12" x14ac:dyDescent="0.25">
      <c r="I613" s="24" t="e">
        <f t="shared" si="32"/>
        <v>#N/A</v>
      </c>
      <c r="J613" t="e">
        <f t="shared" si="30"/>
        <v>#N/A</v>
      </c>
      <c r="K613" t="e">
        <f t="shared" si="30"/>
        <v>#N/A</v>
      </c>
      <c r="L613" s="27" t="e">
        <f t="shared" si="31"/>
        <v>#N/A</v>
      </c>
    </row>
    <row r="614" spans="9:12" x14ac:dyDescent="0.25">
      <c r="I614" s="24" t="e">
        <f t="shared" si="32"/>
        <v>#N/A</v>
      </c>
      <c r="J614" t="e">
        <f t="shared" si="30"/>
        <v>#N/A</v>
      </c>
      <c r="K614" t="e">
        <f t="shared" si="30"/>
        <v>#N/A</v>
      </c>
      <c r="L614" s="27" t="e">
        <f t="shared" si="31"/>
        <v>#N/A</v>
      </c>
    </row>
    <row r="615" spans="9:12" x14ac:dyDescent="0.25">
      <c r="I615" s="24" t="e">
        <f t="shared" si="32"/>
        <v>#N/A</v>
      </c>
      <c r="J615" t="e">
        <f t="shared" si="30"/>
        <v>#N/A</v>
      </c>
      <c r="K615" t="e">
        <f t="shared" si="30"/>
        <v>#N/A</v>
      </c>
      <c r="L615" s="27" t="e">
        <f t="shared" si="31"/>
        <v>#N/A</v>
      </c>
    </row>
    <row r="616" spans="9:12" x14ac:dyDescent="0.25">
      <c r="I616" s="24" t="e">
        <f t="shared" si="32"/>
        <v>#N/A</v>
      </c>
      <c r="J616" t="e">
        <f t="shared" si="30"/>
        <v>#N/A</v>
      </c>
      <c r="K616" t="e">
        <f t="shared" si="30"/>
        <v>#N/A</v>
      </c>
      <c r="L616" s="27" t="e">
        <f t="shared" si="31"/>
        <v>#N/A</v>
      </c>
    </row>
    <row r="617" spans="9:12" x14ac:dyDescent="0.25">
      <c r="I617" s="24" t="e">
        <f t="shared" si="32"/>
        <v>#N/A</v>
      </c>
      <c r="J617" t="e">
        <f t="shared" si="30"/>
        <v>#N/A</v>
      </c>
      <c r="K617" t="e">
        <f t="shared" si="30"/>
        <v>#N/A</v>
      </c>
      <c r="L617" s="27" t="e">
        <f t="shared" si="31"/>
        <v>#N/A</v>
      </c>
    </row>
    <row r="618" spans="9:12" x14ac:dyDescent="0.25">
      <c r="I618" s="24" t="e">
        <f t="shared" si="32"/>
        <v>#N/A</v>
      </c>
      <c r="J618" t="e">
        <f t="shared" si="30"/>
        <v>#N/A</v>
      </c>
      <c r="K618" t="e">
        <f t="shared" si="30"/>
        <v>#N/A</v>
      </c>
      <c r="L618" s="27" t="e">
        <f t="shared" si="31"/>
        <v>#N/A</v>
      </c>
    </row>
    <row r="619" spans="9:12" x14ac:dyDescent="0.25">
      <c r="I619" s="24" t="e">
        <f t="shared" si="32"/>
        <v>#N/A</v>
      </c>
      <c r="J619" t="e">
        <f t="shared" si="30"/>
        <v>#N/A</v>
      </c>
      <c r="K619" t="e">
        <f t="shared" si="30"/>
        <v>#N/A</v>
      </c>
      <c r="L619" s="27" t="e">
        <f t="shared" si="31"/>
        <v>#N/A</v>
      </c>
    </row>
    <row r="620" spans="9:12" x14ac:dyDescent="0.25">
      <c r="I620" s="24" t="e">
        <f t="shared" si="32"/>
        <v>#N/A</v>
      </c>
      <c r="J620" t="e">
        <f t="shared" si="30"/>
        <v>#N/A</v>
      </c>
      <c r="K620" t="e">
        <f t="shared" si="30"/>
        <v>#N/A</v>
      </c>
      <c r="L620" s="27" t="e">
        <f t="shared" si="31"/>
        <v>#N/A</v>
      </c>
    </row>
    <row r="621" spans="9:12" x14ac:dyDescent="0.25">
      <c r="I621" s="24" t="e">
        <f t="shared" si="32"/>
        <v>#N/A</v>
      </c>
      <c r="J621" t="e">
        <f t="shared" si="30"/>
        <v>#N/A</v>
      </c>
      <c r="K621" t="e">
        <f t="shared" si="30"/>
        <v>#N/A</v>
      </c>
      <c r="L621" s="27" t="e">
        <f t="shared" si="31"/>
        <v>#N/A</v>
      </c>
    </row>
    <row r="622" spans="9:12" x14ac:dyDescent="0.25">
      <c r="I622" s="24" t="e">
        <f t="shared" si="32"/>
        <v>#N/A</v>
      </c>
      <c r="J622" t="e">
        <f t="shared" si="30"/>
        <v>#N/A</v>
      </c>
      <c r="K622" t="e">
        <f t="shared" si="30"/>
        <v>#N/A</v>
      </c>
      <c r="L622" s="27" t="e">
        <f t="shared" si="31"/>
        <v>#N/A</v>
      </c>
    </row>
    <row r="623" spans="9:12" x14ac:dyDescent="0.25">
      <c r="I623" s="24" t="e">
        <f t="shared" si="32"/>
        <v>#N/A</v>
      </c>
      <c r="J623" t="e">
        <f t="shared" si="30"/>
        <v>#N/A</v>
      </c>
      <c r="K623" t="e">
        <f t="shared" si="30"/>
        <v>#N/A</v>
      </c>
      <c r="L623" s="27" t="e">
        <f t="shared" si="31"/>
        <v>#N/A</v>
      </c>
    </row>
    <row r="624" spans="9:12" x14ac:dyDescent="0.25">
      <c r="I624" s="24" t="e">
        <f t="shared" si="32"/>
        <v>#N/A</v>
      </c>
      <c r="J624" t="e">
        <f t="shared" si="30"/>
        <v>#N/A</v>
      </c>
      <c r="K624" t="e">
        <f t="shared" si="30"/>
        <v>#N/A</v>
      </c>
      <c r="L624" s="27" t="e">
        <f t="shared" si="31"/>
        <v>#N/A</v>
      </c>
    </row>
    <row r="625" spans="9:12" x14ac:dyDescent="0.25">
      <c r="I625" s="24" t="e">
        <f t="shared" si="32"/>
        <v>#N/A</v>
      </c>
      <c r="J625" t="e">
        <f t="shared" si="30"/>
        <v>#N/A</v>
      </c>
      <c r="K625" t="e">
        <f t="shared" si="30"/>
        <v>#N/A</v>
      </c>
      <c r="L625" s="27" t="e">
        <f t="shared" si="31"/>
        <v>#N/A</v>
      </c>
    </row>
    <row r="626" spans="9:12" x14ac:dyDescent="0.25">
      <c r="I626" s="24" t="e">
        <f t="shared" si="32"/>
        <v>#N/A</v>
      </c>
      <c r="J626" t="e">
        <f t="shared" si="30"/>
        <v>#N/A</v>
      </c>
      <c r="K626" t="e">
        <f t="shared" si="30"/>
        <v>#N/A</v>
      </c>
      <c r="L626" s="27" t="e">
        <f t="shared" si="31"/>
        <v>#N/A</v>
      </c>
    </row>
    <row r="627" spans="9:12" x14ac:dyDescent="0.25">
      <c r="I627" s="24" t="e">
        <f t="shared" si="32"/>
        <v>#N/A</v>
      </c>
      <c r="J627" t="e">
        <f t="shared" si="30"/>
        <v>#N/A</v>
      </c>
      <c r="K627" t="e">
        <f t="shared" si="30"/>
        <v>#N/A</v>
      </c>
      <c r="L627" s="27" t="e">
        <f t="shared" si="31"/>
        <v>#N/A</v>
      </c>
    </row>
    <row r="628" spans="9:12" x14ac:dyDescent="0.25">
      <c r="I628" s="24" t="e">
        <f t="shared" si="32"/>
        <v>#N/A</v>
      </c>
      <c r="J628" t="e">
        <f t="shared" si="30"/>
        <v>#N/A</v>
      </c>
      <c r="K628" t="e">
        <f t="shared" si="30"/>
        <v>#N/A</v>
      </c>
      <c r="L628" s="27" t="e">
        <f t="shared" si="31"/>
        <v>#N/A</v>
      </c>
    </row>
    <row r="629" spans="9:12" x14ac:dyDescent="0.25">
      <c r="I629" s="24" t="e">
        <f t="shared" si="32"/>
        <v>#N/A</v>
      </c>
      <c r="J629" t="e">
        <f t="shared" si="30"/>
        <v>#N/A</v>
      </c>
      <c r="K629" t="e">
        <f t="shared" si="30"/>
        <v>#N/A</v>
      </c>
      <c r="L629" s="27" t="e">
        <f t="shared" si="31"/>
        <v>#N/A</v>
      </c>
    </row>
    <row r="630" spans="9:12" x14ac:dyDescent="0.25">
      <c r="I630" s="24" t="e">
        <f t="shared" si="32"/>
        <v>#N/A</v>
      </c>
      <c r="J630" t="e">
        <f t="shared" si="30"/>
        <v>#N/A</v>
      </c>
      <c r="K630" t="e">
        <f t="shared" si="30"/>
        <v>#N/A</v>
      </c>
      <c r="L630" s="27" t="e">
        <f t="shared" si="31"/>
        <v>#N/A</v>
      </c>
    </row>
    <row r="631" spans="9:12" x14ac:dyDescent="0.25">
      <c r="I631" s="24" t="e">
        <f t="shared" si="32"/>
        <v>#N/A</v>
      </c>
      <c r="J631" t="e">
        <f t="shared" si="30"/>
        <v>#N/A</v>
      </c>
      <c r="K631" t="e">
        <f t="shared" si="30"/>
        <v>#N/A</v>
      </c>
      <c r="L631" s="27" t="e">
        <f t="shared" si="31"/>
        <v>#N/A</v>
      </c>
    </row>
    <row r="632" spans="9:12" x14ac:dyDescent="0.25">
      <c r="I632" s="24" t="e">
        <f t="shared" si="32"/>
        <v>#N/A</v>
      </c>
      <c r="J632" t="e">
        <f t="shared" si="30"/>
        <v>#N/A</v>
      </c>
      <c r="K632" t="e">
        <f t="shared" si="30"/>
        <v>#N/A</v>
      </c>
      <c r="L632" s="27" t="e">
        <f t="shared" si="31"/>
        <v>#N/A</v>
      </c>
    </row>
    <row r="633" spans="9:12" x14ac:dyDescent="0.25">
      <c r="I633" s="24" t="e">
        <f t="shared" si="32"/>
        <v>#N/A</v>
      </c>
      <c r="J633" t="e">
        <f t="shared" si="30"/>
        <v>#N/A</v>
      </c>
      <c r="K633" t="e">
        <f t="shared" si="30"/>
        <v>#N/A</v>
      </c>
      <c r="L633" s="27" t="e">
        <f t="shared" si="31"/>
        <v>#N/A</v>
      </c>
    </row>
    <row r="634" spans="9:12" x14ac:dyDescent="0.25">
      <c r="I634" s="24" t="e">
        <f t="shared" si="32"/>
        <v>#N/A</v>
      </c>
      <c r="J634" t="e">
        <f t="shared" si="30"/>
        <v>#N/A</v>
      </c>
      <c r="K634" t="e">
        <f t="shared" si="30"/>
        <v>#N/A</v>
      </c>
      <c r="L634" s="27" t="e">
        <f t="shared" si="31"/>
        <v>#N/A</v>
      </c>
    </row>
    <row r="635" spans="9:12" x14ac:dyDescent="0.25">
      <c r="I635" s="24" t="e">
        <f t="shared" si="32"/>
        <v>#N/A</v>
      </c>
      <c r="J635" t="e">
        <f t="shared" si="30"/>
        <v>#N/A</v>
      </c>
      <c r="K635" t="e">
        <f t="shared" si="30"/>
        <v>#N/A</v>
      </c>
      <c r="L635" s="27" t="e">
        <f t="shared" si="31"/>
        <v>#N/A</v>
      </c>
    </row>
    <row r="636" spans="9:12" x14ac:dyDescent="0.25">
      <c r="I636" s="24" t="e">
        <f t="shared" si="32"/>
        <v>#N/A</v>
      </c>
      <c r="J636" t="e">
        <f t="shared" si="30"/>
        <v>#N/A</v>
      </c>
      <c r="K636" t="e">
        <f t="shared" si="30"/>
        <v>#N/A</v>
      </c>
      <c r="L636" s="27" t="e">
        <f t="shared" si="31"/>
        <v>#N/A</v>
      </c>
    </row>
    <row r="637" spans="9:12" x14ac:dyDescent="0.25">
      <c r="I637" s="24" t="e">
        <f t="shared" si="32"/>
        <v>#N/A</v>
      </c>
      <c r="J637" t="e">
        <f t="shared" si="30"/>
        <v>#N/A</v>
      </c>
      <c r="K637" t="e">
        <f t="shared" si="30"/>
        <v>#N/A</v>
      </c>
      <c r="L637" s="27" t="e">
        <f t="shared" si="31"/>
        <v>#N/A</v>
      </c>
    </row>
    <row r="638" spans="9:12" x14ac:dyDescent="0.25">
      <c r="I638" s="24" t="e">
        <f t="shared" si="32"/>
        <v>#N/A</v>
      </c>
      <c r="J638" t="e">
        <f t="shared" si="30"/>
        <v>#N/A</v>
      </c>
      <c r="K638" t="e">
        <f t="shared" si="30"/>
        <v>#N/A</v>
      </c>
      <c r="L638" s="27" t="e">
        <f t="shared" si="31"/>
        <v>#N/A</v>
      </c>
    </row>
    <row r="639" spans="9:12" x14ac:dyDescent="0.25">
      <c r="I639" s="24" t="e">
        <f t="shared" si="32"/>
        <v>#N/A</v>
      </c>
      <c r="J639" t="e">
        <f t="shared" si="30"/>
        <v>#N/A</v>
      </c>
      <c r="K639" t="e">
        <f t="shared" si="30"/>
        <v>#N/A</v>
      </c>
      <c r="L639" s="27" t="e">
        <f t="shared" si="31"/>
        <v>#N/A</v>
      </c>
    </row>
    <row r="640" spans="9:12" x14ac:dyDescent="0.25">
      <c r="I640" s="24" t="e">
        <f t="shared" si="32"/>
        <v>#N/A</v>
      </c>
      <c r="J640" t="e">
        <f t="shared" si="30"/>
        <v>#N/A</v>
      </c>
      <c r="K640" t="e">
        <f t="shared" si="30"/>
        <v>#N/A</v>
      </c>
      <c r="L640" s="27" t="e">
        <f t="shared" si="31"/>
        <v>#N/A</v>
      </c>
    </row>
    <row r="641" spans="9:12" x14ac:dyDescent="0.25">
      <c r="I641" s="24" t="e">
        <f t="shared" si="32"/>
        <v>#N/A</v>
      </c>
      <c r="J641" t="e">
        <f t="shared" si="30"/>
        <v>#N/A</v>
      </c>
      <c r="K641" t="e">
        <f t="shared" si="30"/>
        <v>#N/A</v>
      </c>
      <c r="L641" s="27" t="e">
        <f t="shared" si="31"/>
        <v>#N/A</v>
      </c>
    </row>
    <row r="642" spans="9:12" x14ac:dyDescent="0.25">
      <c r="I642" s="24" t="e">
        <f t="shared" si="32"/>
        <v>#N/A</v>
      </c>
      <c r="J642" t="e">
        <f t="shared" ref="J642:K705" si="33">D$29*($I642/1000)+D$18*(($I642/1000)-($D$8/1000))*(($I642/1000)&gt;($D$8/1000))+D$19*(($I642/1000)-($D$9/1000))*(($I642/1000)&gt;($D$9/1000))+D$20*(($I642/1000)-($D$10/1000))*(($I642/1000)&gt;($D$10/1000))+D$21*(($I642/1000)-($D$11/1000))*(($I642/1000)&gt;($D$11/1000))</f>
        <v>#N/A</v>
      </c>
      <c r="K642" t="e">
        <f t="shared" si="33"/>
        <v>#N/A</v>
      </c>
      <c r="L642" s="27" t="e">
        <f t="shared" ref="L642:L705" si="34">SQRT((J642^2)+(K642^2))</f>
        <v>#N/A</v>
      </c>
    </row>
    <row r="643" spans="9:12" x14ac:dyDescent="0.25">
      <c r="I643" s="24" t="e">
        <f t="shared" ref="I643:I706" si="35">IF((ROW(A641)*$F$2)&lt;=$D$5, ROW(A641)*$F$2,NA())</f>
        <v>#N/A</v>
      </c>
      <c r="J643" t="e">
        <f t="shared" si="33"/>
        <v>#N/A</v>
      </c>
      <c r="K643" t="e">
        <f t="shared" si="33"/>
        <v>#N/A</v>
      </c>
      <c r="L643" s="27" t="e">
        <f t="shared" si="34"/>
        <v>#N/A</v>
      </c>
    </row>
    <row r="644" spans="9:12" x14ac:dyDescent="0.25">
      <c r="I644" s="24" t="e">
        <f t="shared" si="35"/>
        <v>#N/A</v>
      </c>
      <c r="J644" t="e">
        <f t="shared" si="33"/>
        <v>#N/A</v>
      </c>
      <c r="K644" t="e">
        <f t="shared" si="33"/>
        <v>#N/A</v>
      </c>
      <c r="L644" s="27" t="e">
        <f t="shared" si="34"/>
        <v>#N/A</v>
      </c>
    </row>
    <row r="645" spans="9:12" x14ac:dyDescent="0.25">
      <c r="I645" s="24" t="e">
        <f t="shared" si="35"/>
        <v>#N/A</v>
      </c>
      <c r="J645" t="e">
        <f t="shared" si="33"/>
        <v>#N/A</v>
      </c>
      <c r="K645" t="e">
        <f t="shared" si="33"/>
        <v>#N/A</v>
      </c>
      <c r="L645" s="27" t="e">
        <f t="shared" si="34"/>
        <v>#N/A</v>
      </c>
    </row>
    <row r="646" spans="9:12" x14ac:dyDescent="0.25">
      <c r="I646" s="24" t="e">
        <f t="shared" si="35"/>
        <v>#N/A</v>
      </c>
      <c r="J646" t="e">
        <f t="shared" si="33"/>
        <v>#N/A</v>
      </c>
      <c r="K646" t="e">
        <f t="shared" si="33"/>
        <v>#N/A</v>
      </c>
      <c r="L646" s="27" t="e">
        <f t="shared" si="34"/>
        <v>#N/A</v>
      </c>
    </row>
    <row r="647" spans="9:12" x14ac:dyDescent="0.25">
      <c r="I647" s="24" t="e">
        <f t="shared" si="35"/>
        <v>#N/A</v>
      </c>
      <c r="J647" t="e">
        <f t="shared" si="33"/>
        <v>#N/A</v>
      </c>
      <c r="K647" t="e">
        <f t="shared" si="33"/>
        <v>#N/A</v>
      </c>
      <c r="L647" s="27" t="e">
        <f t="shared" si="34"/>
        <v>#N/A</v>
      </c>
    </row>
    <row r="648" spans="9:12" x14ac:dyDescent="0.25">
      <c r="I648" s="24" t="e">
        <f t="shared" si="35"/>
        <v>#N/A</v>
      </c>
      <c r="J648" t="e">
        <f t="shared" si="33"/>
        <v>#N/A</v>
      </c>
      <c r="K648" t="e">
        <f t="shared" si="33"/>
        <v>#N/A</v>
      </c>
      <c r="L648" s="27" t="e">
        <f t="shared" si="34"/>
        <v>#N/A</v>
      </c>
    </row>
    <row r="649" spans="9:12" x14ac:dyDescent="0.25">
      <c r="I649" s="24" t="e">
        <f t="shared" si="35"/>
        <v>#N/A</v>
      </c>
      <c r="J649" t="e">
        <f t="shared" si="33"/>
        <v>#N/A</v>
      </c>
      <c r="K649" t="e">
        <f t="shared" si="33"/>
        <v>#N/A</v>
      </c>
      <c r="L649" s="27" t="e">
        <f t="shared" si="34"/>
        <v>#N/A</v>
      </c>
    </row>
    <row r="650" spans="9:12" x14ac:dyDescent="0.25">
      <c r="I650" s="24" t="e">
        <f t="shared" si="35"/>
        <v>#N/A</v>
      </c>
      <c r="J650" t="e">
        <f t="shared" si="33"/>
        <v>#N/A</v>
      </c>
      <c r="K650" t="e">
        <f t="shared" si="33"/>
        <v>#N/A</v>
      </c>
      <c r="L650" s="27" t="e">
        <f t="shared" si="34"/>
        <v>#N/A</v>
      </c>
    </row>
    <row r="651" spans="9:12" x14ac:dyDescent="0.25">
      <c r="I651" s="24" t="e">
        <f t="shared" si="35"/>
        <v>#N/A</v>
      </c>
      <c r="J651" t="e">
        <f t="shared" si="33"/>
        <v>#N/A</v>
      </c>
      <c r="K651" t="e">
        <f t="shared" si="33"/>
        <v>#N/A</v>
      </c>
      <c r="L651" s="27" t="e">
        <f t="shared" si="34"/>
        <v>#N/A</v>
      </c>
    </row>
    <row r="652" spans="9:12" x14ac:dyDescent="0.25">
      <c r="I652" s="24" t="e">
        <f t="shared" si="35"/>
        <v>#N/A</v>
      </c>
      <c r="J652" t="e">
        <f t="shared" si="33"/>
        <v>#N/A</v>
      </c>
      <c r="K652" t="e">
        <f t="shared" si="33"/>
        <v>#N/A</v>
      </c>
      <c r="L652" s="27" t="e">
        <f t="shared" si="34"/>
        <v>#N/A</v>
      </c>
    </row>
    <row r="653" spans="9:12" x14ac:dyDescent="0.25">
      <c r="I653" s="24" t="e">
        <f t="shared" si="35"/>
        <v>#N/A</v>
      </c>
      <c r="J653" t="e">
        <f t="shared" si="33"/>
        <v>#N/A</v>
      </c>
      <c r="K653" t="e">
        <f t="shared" si="33"/>
        <v>#N/A</v>
      </c>
      <c r="L653" s="27" t="e">
        <f t="shared" si="34"/>
        <v>#N/A</v>
      </c>
    </row>
    <row r="654" spans="9:12" x14ac:dyDescent="0.25">
      <c r="I654" s="24" t="e">
        <f t="shared" si="35"/>
        <v>#N/A</v>
      </c>
      <c r="J654" t="e">
        <f t="shared" si="33"/>
        <v>#N/A</v>
      </c>
      <c r="K654" t="e">
        <f t="shared" si="33"/>
        <v>#N/A</v>
      </c>
      <c r="L654" s="27" t="e">
        <f t="shared" si="34"/>
        <v>#N/A</v>
      </c>
    </row>
    <row r="655" spans="9:12" x14ac:dyDescent="0.25">
      <c r="I655" s="24" t="e">
        <f t="shared" si="35"/>
        <v>#N/A</v>
      </c>
      <c r="J655" t="e">
        <f t="shared" si="33"/>
        <v>#N/A</v>
      </c>
      <c r="K655" t="e">
        <f t="shared" si="33"/>
        <v>#N/A</v>
      </c>
      <c r="L655" s="27" t="e">
        <f t="shared" si="34"/>
        <v>#N/A</v>
      </c>
    </row>
    <row r="656" spans="9:12" x14ac:dyDescent="0.25">
      <c r="I656" s="24" t="e">
        <f t="shared" si="35"/>
        <v>#N/A</v>
      </c>
      <c r="J656" t="e">
        <f t="shared" si="33"/>
        <v>#N/A</v>
      </c>
      <c r="K656" t="e">
        <f t="shared" si="33"/>
        <v>#N/A</v>
      </c>
      <c r="L656" s="27" t="e">
        <f t="shared" si="34"/>
        <v>#N/A</v>
      </c>
    </row>
    <row r="657" spans="9:12" x14ac:dyDescent="0.25">
      <c r="I657" s="24" t="e">
        <f t="shared" si="35"/>
        <v>#N/A</v>
      </c>
      <c r="J657" t="e">
        <f t="shared" si="33"/>
        <v>#N/A</v>
      </c>
      <c r="K657" t="e">
        <f t="shared" si="33"/>
        <v>#N/A</v>
      </c>
      <c r="L657" s="27" t="e">
        <f t="shared" si="34"/>
        <v>#N/A</v>
      </c>
    </row>
    <row r="658" spans="9:12" x14ac:dyDescent="0.25">
      <c r="I658" s="24" t="e">
        <f t="shared" si="35"/>
        <v>#N/A</v>
      </c>
      <c r="J658" t="e">
        <f t="shared" si="33"/>
        <v>#N/A</v>
      </c>
      <c r="K658" t="e">
        <f t="shared" si="33"/>
        <v>#N/A</v>
      </c>
      <c r="L658" s="27" t="e">
        <f t="shared" si="34"/>
        <v>#N/A</v>
      </c>
    </row>
    <row r="659" spans="9:12" x14ac:dyDescent="0.25">
      <c r="I659" s="24" t="e">
        <f t="shared" si="35"/>
        <v>#N/A</v>
      </c>
      <c r="J659" t="e">
        <f t="shared" si="33"/>
        <v>#N/A</v>
      </c>
      <c r="K659" t="e">
        <f t="shared" si="33"/>
        <v>#N/A</v>
      </c>
      <c r="L659" s="27" t="e">
        <f t="shared" si="34"/>
        <v>#N/A</v>
      </c>
    </row>
    <row r="660" spans="9:12" x14ac:dyDescent="0.25">
      <c r="I660" s="24" t="e">
        <f t="shared" si="35"/>
        <v>#N/A</v>
      </c>
      <c r="J660" t="e">
        <f t="shared" si="33"/>
        <v>#N/A</v>
      </c>
      <c r="K660" t="e">
        <f t="shared" si="33"/>
        <v>#N/A</v>
      </c>
      <c r="L660" s="27" t="e">
        <f t="shared" si="34"/>
        <v>#N/A</v>
      </c>
    </row>
    <row r="661" spans="9:12" x14ac:dyDescent="0.25">
      <c r="I661" s="24" t="e">
        <f t="shared" si="35"/>
        <v>#N/A</v>
      </c>
      <c r="J661" t="e">
        <f t="shared" si="33"/>
        <v>#N/A</v>
      </c>
      <c r="K661" t="e">
        <f t="shared" si="33"/>
        <v>#N/A</v>
      </c>
      <c r="L661" s="27" t="e">
        <f t="shared" si="34"/>
        <v>#N/A</v>
      </c>
    </row>
    <row r="662" spans="9:12" x14ac:dyDescent="0.25">
      <c r="I662" s="24" t="e">
        <f t="shared" si="35"/>
        <v>#N/A</v>
      </c>
      <c r="J662" t="e">
        <f t="shared" si="33"/>
        <v>#N/A</v>
      </c>
      <c r="K662" t="e">
        <f t="shared" si="33"/>
        <v>#N/A</v>
      </c>
      <c r="L662" s="27" t="e">
        <f t="shared" si="34"/>
        <v>#N/A</v>
      </c>
    </row>
    <row r="663" spans="9:12" x14ac:dyDescent="0.25">
      <c r="I663" s="24" t="e">
        <f t="shared" si="35"/>
        <v>#N/A</v>
      </c>
      <c r="J663" t="e">
        <f t="shared" si="33"/>
        <v>#N/A</v>
      </c>
      <c r="K663" t="e">
        <f t="shared" si="33"/>
        <v>#N/A</v>
      </c>
      <c r="L663" s="27" t="e">
        <f t="shared" si="34"/>
        <v>#N/A</v>
      </c>
    </row>
    <row r="664" spans="9:12" x14ac:dyDescent="0.25">
      <c r="I664" s="24" t="e">
        <f t="shared" si="35"/>
        <v>#N/A</v>
      </c>
      <c r="J664" t="e">
        <f t="shared" si="33"/>
        <v>#N/A</v>
      </c>
      <c r="K664" t="e">
        <f t="shared" si="33"/>
        <v>#N/A</v>
      </c>
      <c r="L664" s="27" t="e">
        <f t="shared" si="34"/>
        <v>#N/A</v>
      </c>
    </row>
    <row r="665" spans="9:12" x14ac:dyDescent="0.25">
      <c r="I665" s="24" t="e">
        <f t="shared" si="35"/>
        <v>#N/A</v>
      </c>
      <c r="J665" t="e">
        <f t="shared" si="33"/>
        <v>#N/A</v>
      </c>
      <c r="K665" t="e">
        <f t="shared" si="33"/>
        <v>#N/A</v>
      </c>
      <c r="L665" s="27" t="e">
        <f t="shared" si="34"/>
        <v>#N/A</v>
      </c>
    </row>
    <row r="666" spans="9:12" x14ac:dyDescent="0.25">
      <c r="I666" s="24" t="e">
        <f t="shared" si="35"/>
        <v>#N/A</v>
      </c>
      <c r="J666" t="e">
        <f t="shared" si="33"/>
        <v>#N/A</v>
      </c>
      <c r="K666" t="e">
        <f t="shared" si="33"/>
        <v>#N/A</v>
      </c>
      <c r="L666" s="27" t="e">
        <f t="shared" si="34"/>
        <v>#N/A</v>
      </c>
    </row>
    <row r="667" spans="9:12" x14ac:dyDescent="0.25">
      <c r="I667" s="24" t="e">
        <f t="shared" si="35"/>
        <v>#N/A</v>
      </c>
      <c r="J667" t="e">
        <f t="shared" si="33"/>
        <v>#N/A</v>
      </c>
      <c r="K667" t="e">
        <f t="shared" si="33"/>
        <v>#N/A</v>
      </c>
      <c r="L667" s="27" t="e">
        <f t="shared" si="34"/>
        <v>#N/A</v>
      </c>
    </row>
    <row r="668" spans="9:12" x14ac:dyDescent="0.25">
      <c r="I668" s="24" t="e">
        <f t="shared" si="35"/>
        <v>#N/A</v>
      </c>
      <c r="J668" t="e">
        <f t="shared" si="33"/>
        <v>#N/A</v>
      </c>
      <c r="K668" t="e">
        <f t="shared" si="33"/>
        <v>#N/A</v>
      </c>
      <c r="L668" s="27" t="e">
        <f t="shared" si="34"/>
        <v>#N/A</v>
      </c>
    </row>
    <row r="669" spans="9:12" x14ac:dyDescent="0.25">
      <c r="I669" s="24" t="e">
        <f t="shared" si="35"/>
        <v>#N/A</v>
      </c>
      <c r="J669" t="e">
        <f t="shared" si="33"/>
        <v>#N/A</v>
      </c>
      <c r="K669" t="e">
        <f t="shared" si="33"/>
        <v>#N/A</v>
      </c>
      <c r="L669" s="27" t="e">
        <f t="shared" si="34"/>
        <v>#N/A</v>
      </c>
    </row>
    <row r="670" spans="9:12" x14ac:dyDescent="0.25">
      <c r="I670" s="24" t="e">
        <f t="shared" si="35"/>
        <v>#N/A</v>
      </c>
      <c r="J670" t="e">
        <f t="shared" si="33"/>
        <v>#N/A</v>
      </c>
      <c r="K670" t="e">
        <f t="shared" si="33"/>
        <v>#N/A</v>
      </c>
      <c r="L670" s="27" t="e">
        <f t="shared" si="34"/>
        <v>#N/A</v>
      </c>
    </row>
    <row r="671" spans="9:12" x14ac:dyDescent="0.25">
      <c r="I671" s="24" t="e">
        <f t="shared" si="35"/>
        <v>#N/A</v>
      </c>
      <c r="J671" t="e">
        <f t="shared" si="33"/>
        <v>#N/A</v>
      </c>
      <c r="K671" t="e">
        <f t="shared" si="33"/>
        <v>#N/A</v>
      </c>
      <c r="L671" s="27" t="e">
        <f t="shared" si="34"/>
        <v>#N/A</v>
      </c>
    </row>
    <row r="672" spans="9:12" x14ac:dyDescent="0.25">
      <c r="I672" s="24" t="e">
        <f t="shared" si="35"/>
        <v>#N/A</v>
      </c>
      <c r="J672" t="e">
        <f t="shared" si="33"/>
        <v>#N/A</v>
      </c>
      <c r="K672" t="e">
        <f t="shared" si="33"/>
        <v>#N/A</v>
      </c>
      <c r="L672" s="27" t="e">
        <f t="shared" si="34"/>
        <v>#N/A</v>
      </c>
    </row>
    <row r="673" spans="9:12" x14ac:dyDescent="0.25">
      <c r="I673" s="24" t="e">
        <f t="shared" si="35"/>
        <v>#N/A</v>
      </c>
      <c r="J673" t="e">
        <f t="shared" si="33"/>
        <v>#N/A</v>
      </c>
      <c r="K673" t="e">
        <f t="shared" si="33"/>
        <v>#N/A</v>
      </c>
      <c r="L673" s="27" t="e">
        <f t="shared" si="34"/>
        <v>#N/A</v>
      </c>
    </row>
    <row r="674" spans="9:12" x14ac:dyDescent="0.25">
      <c r="I674" s="24" t="e">
        <f t="shared" si="35"/>
        <v>#N/A</v>
      </c>
      <c r="J674" t="e">
        <f t="shared" si="33"/>
        <v>#N/A</v>
      </c>
      <c r="K674" t="e">
        <f t="shared" si="33"/>
        <v>#N/A</v>
      </c>
      <c r="L674" s="27" t="e">
        <f t="shared" si="34"/>
        <v>#N/A</v>
      </c>
    </row>
    <row r="675" spans="9:12" x14ac:dyDescent="0.25">
      <c r="I675" s="24" t="e">
        <f t="shared" si="35"/>
        <v>#N/A</v>
      </c>
      <c r="J675" t="e">
        <f t="shared" si="33"/>
        <v>#N/A</v>
      </c>
      <c r="K675" t="e">
        <f t="shared" si="33"/>
        <v>#N/A</v>
      </c>
      <c r="L675" s="27" t="e">
        <f t="shared" si="34"/>
        <v>#N/A</v>
      </c>
    </row>
    <row r="676" spans="9:12" x14ac:dyDescent="0.25">
      <c r="I676" s="24" t="e">
        <f t="shared" si="35"/>
        <v>#N/A</v>
      </c>
      <c r="J676" t="e">
        <f t="shared" si="33"/>
        <v>#N/A</v>
      </c>
      <c r="K676" t="e">
        <f t="shared" si="33"/>
        <v>#N/A</v>
      </c>
      <c r="L676" s="27" t="e">
        <f t="shared" si="34"/>
        <v>#N/A</v>
      </c>
    </row>
    <row r="677" spans="9:12" x14ac:dyDescent="0.25">
      <c r="I677" s="24" t="e">
        <f t="shared" si="35"/>
        <v>#N/A</v>
      </c>
      <c r="J677" t="e">
        <f t="shared" si="33"/>
        <v>#N/A</v>
      </c>
      <c r="K677" t="e">
        <f t="shared" si="33"/>
        <v>#N/A</v>
      </c>
      <c r="L677" s="27" t="e">
        <f t="shared" si="34"/>
        <v>#N/A</v>
      </c>
    </row>
    <row r="678" spans="9:12" x14ac:dyDescent="0.25">
      <c r="I678" s="24" t="e">
        <f t="shared" si="35"/>
        <v>#N/A</v>
      </c>
      <c r="J678" t="e">
        <f t="shared" si="33"/>
        <v>#N/A</v>
      </c>
      <c r="K678" t="e">
        <f t="shared" si="33"/>
        <v>#N/A</v>
      </c>
      <c r="L678" s="27" t="e">
        <f t="shared" si="34"/>
        <v>#N/A</v>
      </c>
    </row>
    <row r="679" spans="9:12" x14ac:dyDescent="0.25">
      <c r="I679" s="24" t="e">
        <f t="shared" si="35"/>
        <v>#N/A</v>
      </c>
      <c r="J679" t="e">
        <f t="shared" si="33"/>
        <v>#N/A</v>
      </c>
      <c r="K679" t="e">
        <f t="shared" si="33"/>
        <v>#N/A</v>
      </c>
      <c r="L679" s="27" t="e">
        <f t="shared" si="34"/>
        <v>#N/A</v>
      </c>
    </row>
    <row r="680" spans="9:12" x14ac:dyDescent="0.25">
      <c r="I680" s="24" t="e">
        <f t="shared" si="35"/>
        <v>#N/A</v>
      </c>
      <c r="J680" t="e">
        <f t="shared" si="33"/>
        <v>#N/A</v>
      </c>
      <c r="K680" t="e">
        <f t="shared" si="33"/>
        <v>#N/A</v>
      </c>
      <c r="L680" s="27" t="e">
        <f t="shared" si="34"/>
        <v>#N/A</v>
      </c>
    </row>
    <row r="681" spans="9:12" x14ac:dyDescent="0.25">
      <c r="I681" s="24" t="e">
        <f t="shared" si="35"/>
        <v>#N/A</v>
      </c>
      <c r="J681" t="e">
        <f t="shared" si="33"/>
        <v>#N/A</v>
      </c>
      <c r="K681" t="e">
        <f t="shared" si="33"/>
        <v>#N/A</v>
      </c>
      <c r="L681" s="27" t="e">
        <f t="shared" si="34"/>
        <v>#N/A</v>
      </c>
    </row>
    <row r="682" spans="9:12" x14ac:dyDescent="0.25">
      <c r="I682" s="24" t="e">
        <f t="shared" si="35"/>
        <v>#N/A</v>
      </c>
      <c r="J682" t="e">
        <f t="shared" si="33"/>
        <v>#N/A</v>
      </c>
      <c r="K682" t="e">
        <f t="shared" si="33"/>
        <v>#N/A</v>
      </c>
      <c r="L682" s="27" t="e">
        <f t="shared" si="34"/>
        <v>#N/A</v>
      </c>
    </row>
    <row r="683" spans="9:12" x14ac:dyDescent="0.25">
      <c r="I683" s="24" t="e">
        <f t="shared" si="35"/>
        <v>#N/A</v>
      </c>
      <c r="J683" t="e">
        <f t="shared" si="33"/>
        <v>#N/A</v>
      </c>
      <c r="K683" t="e">
        <f t="shared" si="33"/>
        <v>#N/A</v>
      </c>
      <c r="L683" s="27" t="e">
        <f t="shared" si="34"/>
        <v>#N/A</v>
      </c>
    </row>
    <row r="684" spans="9:12" x14ac:dyDescent="0.25">
      <c r="I684" s="24" t="e">
        <f t="shared" si="35"/>
        <v>#N/A</v>
      </c>
      <c r="J684" t="e">
        <f t="shared" si="33"/>
        <v>#N/A</v>
      </c>
      <c r="K684" t="e">
        <f t="shared" si="33"/>
        <v>#N/A</v>
      </c>
      <c r="L684" s="27" t="e">
        <f t="shared" si="34"/>
        <v>#N/A</v>
      </c>
    </row>
    <row r="685" spans="9:12" x14ac:dyDescent="0.25">
      <c r="I685" s="24" t="e">
        <f t="shared" si="35"/>
        <v>#N/A</v>
      </c>
      <c r="J685" t="e">
        <f t="shared" si="33"/>
        <v>#N/A</v>
      </c>
      <c r="K685" t="e">
        <f t="shared" si="33"/>
        <v>#N/A</v>
      </c>
      <c r="L685" s="27" t="e">
        <f t="shared" si="34"/>
        <v>#N/A</v>
      </c>
    </row>
    <row r="686" spans="9:12" x14ac:dyDescent="0.25">
      <c r="I686" s="24" t="e">
        <f t="shared" si="35"/>
        <v>#N/A</v>
      </c>
      <c r="J686" t="e">
        <f t="shared" si="33"/>
        <v>#N/A</v>
      </c>
      <c r="K686" t="e">
        <f t="shared" si="33"/>
        <v>#N/A</v>
      </c>
      <c r="L686" s="27" t="e">
        <f t="shared" si="34"/>
        <v>#N/A</v>
      </c>
    </row>
    <row r="687" spans="9:12" x14ac:dyDescent="0.25">
      <c r="I687" s="24" t="e">
        <f t="shared" si="35"/>
        <v>#N/A</v>
      </c>
      <c r="J687" t="e">
        <f t="shared" si="33"/>
        <v>#N/A</v>
      </c>
      <c r="K687" t="e">
        <f t="shared" si="33"/>
        <v>#N/A</v>
      </c>
      <c r="L687" s="27" t="e">
        <f t="shared" si="34"/>
        <v>#N/A</v>
      </c>
    </row>
    <row r="688" spans="9:12" x14ac:dyDescent="0.25">
      <c r="I688" s="24" t="e">
        <f t="shared" si="35"/>
        <v>#N/A</v>
      </c>
      <c r="J688" t="e">
        <f t="shared" si="33"/>
        <v>#N/A</v>
      </c>
      <c r="K688" t="e">
        <f t="shared" si="33"/>
        <v>#N/A</v>
      </c>
      <c r="L688" s="27" t="e">
        <f t="shared" si="34"/>
        <v>#N/A</v>
      </c>
    </row>
    <row r="689" spans="9:12" x14ac:dyDescent="0.25">
      <c r="I689" s="24" t="e">
        <f t="shared" si="35"/>
        <v>#N/A</v>
      </c>
      <c r="J689" t="e">
        <f t="shared" si="33"/>
        <v>#N/A</v>
      </c>
      <c r="K689" t="e">
        <f t="shared" si="33"/>
        <v>#N/A</v>
      </c>
      <c r="L689" s="27" t="e">
        <f t="shared" si="34"/>
        <v>#N/A</v>
      </c>
    </row>
    <row r="690" spans="9:12" x14ac:dyDescent="0.25">
      <c r="I690" s="24" t="e">
        <f t="shared" si="35"/>
        <v>#N/A</v>
      </c>
      <c r="J690" t="e">
        <f t="shared" si="33"/>
        <v>#N/A</v>
      </c>
      <c r="K690" t="e">
        <f t="shared" si="33"/>
        <v>#N/A</v>
      </c>
      <c r="L690" s="27" t="e">
        <f t="shared" si="34"/>
        <v>#N/A</v>
      </c>
    </row>
    <row r="691" spans="9:12" x14ac:dyDescent="0.25">
      <c r="I691" s="24" t="e">
        <f t="shared" si="35"/>
        <v>#N/A</v>
      </c>
      <c r="J691" t="e">
        <f t="shared" si="33"/>
        <v>#N/A</v>
      </c>
      <c r="K691" t="e">
        <f t="shared" si="33"/>
        <v>#N/A</v>
      </c>
      <c r="L691" s="27" t="e">
        <f t="shared" si="34"/>
        <v>#N/A</v>
      </c>
    </row>
    <row r="692" spans="9:12" x14ac:dyDescent="0.25">
      <c r="I692" s="24" t="e">
        <f t="shared" si="35"/>
        <v>#N/A</v>
      </c>
      <c r="J692" t="e">
        <f t="shared" si="33"/>
        <v>#N/A</v>
      </c>
      <c r="K692" t="e">
        <f t="shared" si="33"/>
        <v>#N/A</v>
      </c>
      <c r="L692" s="27" t="e">
        <f t="shared" si="34"/>
        <v>#N/A</v>
      </c>
    </row>
    <row r="693" spans="9:12" x14ac:dyDescent="0.25">
      <c r="I693" s="24" t="e">
        <f t="shared" si="35"/>
        <v>#N/A</v>
      </c>
      <c r="J693" t="e">
        <f t="shared" si="33"/>
        <v>#N/A</v>
      </c>
      <c r="K693" t="e">
        <f t="shared" si="33"/>
        <v>#N/A</v>
      </c>
      <c r="L693" s="27" t="e">
        <f t="shared" si="34"/>
        <v>#N/A</v>
      </c>
    </row>
    <row r="694" spans="9:12" x14ac:dyDescent="0.25">
      <c r="I694" s="24" t="e">
        <f t="shared" si="35"/>
        <v>#N/A</v>
      </c>
      <c r="J694" t="e">
        <f t="shared" si="33"/>
        <v>#N/A</v>
      </c>
      <c r="K694" t="e">
        <f t="shared" si="33"/>
        <v>#N/A</v>
      </c>
      <c r="L694" s="27" t="e">
        <f t="shared" si="34"/>
        <v>#N/A</v>
      </c>
    </row>
    <row r="695" spans="9:12" x14ac:dyDescent="0.25">
      <c r="I695" s="24" t="e">
        <f t="shared" si="35"/>
        <v>#N/A</v>
      </c>
      <c r="J695" t="e">
        <f t="shared" si="33"/>
        <v>#N/A</v>
      </c>
      <c r="K695" t="e">
        <f t="shared" si="33"/>
        <v>#N/A</v>
      </c>
      <c r="L695" s="27" t="e">
        <f t="shared" si="34"/>
        <v>#N/A</v>
      </c>
    </row>
    <row r="696" spans="9:12" x14ac:dyDescent="0.25">
      <c r="I696" s="24" t="e">
        <f t="shared" si="35"/>
        <v>#N/A</v>
      </c>
      <c r="J696" t="e">
        <f t="shared" si="33"/>
        <v>#N/A</v>
      </c>
      <c r="K696" t="e">
        <f t="shared" si="33"/>
        <v>#N/A</v>
      </c>
      <c r="L696" s="27" t="e">
        <f t="shared" si="34"/>
        <v>#N/A</v>
      </c>
    </row>
    <row r="697" spans="9:12" x14ac:dyDescent="0.25">
      <c r="I697" s="24" t="e">
        <f t="shared" si="35"/>
        <v>#N/A</v>
      </c>
      <c r="J697" t="e">
        <f t="shared" si="33"/>
        <v>#N/A</v>
      </c>
      <c r="K697" t="e">
        <f t="shared" si="33"/>
        <v>#N/A</v>
      </c>
      <c r="L697" s="27" t="e">
        <f t="shared" si="34"/>
        <v>#N/A</v>
      </c>
    </row>
    <row r="698" spans="9:12" x14ac:dyDescent="0.25">
      <c r="I698" s="24" t="e">
        <f t="shared" si="35"/>
        <v>#N/A</v>
      </c>
      <c r="J698" t="e">
        <f t="shared" si="33"/>
        <v>#N/A</v>
      </c>
      <c r="K698" t="e">
        <f t="shared" si="33"/>
        <v>#N/A</v>
      </c>
      <c r="L698" s="27" t="e">
        <f t="shared" si="34"/>
        <v>#N/A</v>
      </c>
    </row>
    <row r="699" spans="9:12" x14ac:dyDescent="0.25">
      <c r="I699" s="24" t="e">
        <f t="shared" si="35"/>
        <v>#N/A</v>
      </c>
      <c r="J699" t="e">
        <f t="shared" si="33"/>
        <v>#N/A</v>
      </c>
      <c r="K699" t="e">
        <f t="shared" si="33"/>
        <v>#N/A</v>
      </c>
      <c r="L699" s="27" t="e">
        <f t="shared" si="34"/>
        <v>#N/A</v>
      </c>
    </row>
    <row r="700" spans="9:12" x14ac:dyDescent="0.25">
      <c r="I700" s="24" t="e">
        <f t="shared" si="35"/>
        <v>#N/A</v>
      </c>
      <c r="J700" t="e">
        <f t="shared" si="33"/>
        <v>#N/A</v>
      </c>
      <c r="K700" t="e">
        <f t="shared" si="33"/>
        <v>#N/A</v>
      </c>
      <c r="L700" s="27" t="e">
        <f t="shared" si="34"/>
        <v>#N/A</v>
      </c>
    </row>
    <row r="701" spans="9:12" x14ac:dyDescent="0.25">
      <c r="I701" s="24" t="e">
        <f t="shared" si="35"/>
        <v>#N/A</v>
      </c>
      <c r="J701" t="e">
        <f t="shared" si="33"/>
        <v>#N/A</v>
      </c>
      <c r="K701" t="e">
        <f t="shared" si="33"/>
        <v>#N/A</v>
      </c>
      <c r="L701" s="27" t="e">
        <f t="shared" si="34"/>
        <v>#N/A</v>
      </c>
    </row>
    <row r="702" spans="9:12" x14ac:dyDescent="0.25">
      <c r="I702" s="24" t="e">
        <f t="shared" si="35"/>
        <v>#N/A</v>
      </c>
      <c r="J702" t="e">
        <f t="shared" si="33"/>
        <v>#N/A</v>
      </c>
      <c r="K702" t="e">
        <f t="shared" si="33"/>
        <v>#N/A</v>
      </c>
      <c r="L702" s="27" t="e">
        <f t="shared" si="34"/>
        <v>#N/A</v>
      </c>
    </row>
    <row r="703" spans="9:12" x14ac:dyDescent="0.25">
      <c r="I703" s="24" t="e">
        <f t="shared" si="35"/>
        <v>#N/A</v>
      </c>
      <c r="J703" t="e">
        <f t="shared" si="33"/>
        <v>#N/A</v>
      </c>
      <c r="K703" t="e">
        <f t="shared" si="33"/>
        <v>#N/A</v>
      </c>
      <c r="L703" s="27" t="e">
        <f t="shared" si="34"/>
        <v>#N/A</v>
      </c>
    </row>
    <row r="704" spans="9:12" x14ac:dyDescent="0.25">
      <c r="I704" s="24" t="e">
        <f t="shared" si="35"/>
        <v>#N/A</v>
      </c>
      <c r="J704" t="e">
        <f t="shared" si="33"/>
        <v>#N/A</v>
      </c>
      <c r="K704" t="e">
        <f t="shared" si="33"/>
        <v>#N/A</v>
      </c>
      <c r="L704" s="27" t="e">
        <f t="shared" si="34"/>
        <v>#N/A</v>
      </c>
    </row>
    <row r="705" spans="9:12" x14ac:dyDescent="0.25">
      <c r="I705" s="24" t="e">
        <f t="shared" si="35"/>
        <v>#N/A</v>
      </c>
      <c r="J705" t="e">
        <f t="shared" si="33"/>
        <v>#N/A</v>
      </c>
      <c r="K705" t="e">
        <f t="shared" si="33"/>
        <v>#N/A</v>
      </c>
      <c r="L705" s="27" t="e">
        <f t="shared" si="34"/>
        <v>#N/A</v>
      </c>
    </row>
    <row r="706" spans="9:12" x14ac:dyDescent="0.25">
      <c r="I706" s="24" t="e">
        <f t="shared" si="35"/>
        <v>#N/A</v>
      </c>
      <c r="J706" t="e">
        <f t="shared" ref="J706:K769" si="36">D$29*($I706/1000)+D$18*(($I706/1000)-($D$8/1000))*(($I706/1000)&gt;($D$8/1000))+D$19*(($I706/1000)-($D$9/1000))*(($I706/1000)&gt;($D$9/1000))+D$20*(($I706/1000)-($D$10/1000))*(($I706/1000)&gt;($D$10/1000))+D$21*(($I706/1000)-($D$11/1000))*(($I706/1000)&gt;($D$11/1000))</f>
        <v>#N/A</v>
      </c>
      <c r="K706" t="e">
        <f t="shared" si="36"/>
        <v>#N/A</v>
      </c>
      <c r="L706" s="27" t="e">
        <f t="shared" ref="L706:L769" si="37">SQRT((J706^2)+(K706^2))</f>
        <v>#N/A</v>
      </c>
    </row>
    <row r="707" spans="9:12" x14ac:dyDescent="0.25">
      <c r="I707" s="24" t="e">
        <f t="shared" ref="I707:I770" si="38">IF((ROW(A705)*$F$2)&lt;=$D$5, ROW(A705)*$F$2,NA())</f>
        <v>#N/A</v>
      </c>
      <c r="J707" t="e">
        <f t="shared" si="36"/>
        <v>#N/A</v>
      </c>
      <c r="K707" t="e">
        <f t="shared" si="36"/>
        <v>#N/A</v>
      </c>
      <c r="L707" s="27" t="e">
        <f t="shared" si="37"/>
        <v>#N/A</v>
      </c>
    </row>
    <row r="708" spans="9:12" x14ac:dyDescent="0.25">
      <c r="I708" s="24" t="e">
        <f t="shared" si="38"/>
        <v>#N/A</v>
      </c>
      <c r="J708" t="e">
        <f t="shared" si="36"/>
        <v>#N/A</v>
      </c>
      <c r="K708" t="e">
        <f t="shared" si="36"/>
        <v>#N/A</v>
      </c>
      <c r="L708" s="27" t="e">
        <f t="shared" si="37"/>
        <v>#N/A</v>
      </c>
    </row>
    <row r="709" spans="9:12" x14ac:dyDescent="0.25">
      <c r="I709" s="24" t="e">
        <f t="shared" si="38"/>
        <v>#N/A</v>
      </c>
      <c r="J709" t="e">
        <f t="shared" si="36"/>
        <v>#N/A</v>
      </c>
      <c r="K709" t="e">
        <f t="shared" si="36"/>
        <v>#N/A</v>
      </c>
      <c r="L709" s="27" t="e">
        <f t="shared" si="37"/>
        <v>#N/A</v>
      </c>
    </row>
    <row r="710" spans="9:12" x14ac:dyDescent="0.25">
      <c r="I710" s="24" t="e">
        <f t="shared" si="38"/>
        <v>#N/A</v>
      </c>
      <c r="J710" t="e">
        <f t="shared" si="36"/>
        <v>#N/A</v>
      </c>
      <c r="K710" t="e">
        <f t="shared" si="36"/>
        <v>#N/A</v>
      </c>
      <c r="L710" s="27" t="e">
        <f t="shared" si="37"/>
        <v>#N/A</v>
      </c>
    </row>
    <row r="711" spans="9:12" x14ac:dyDescent="0.25">
      <c r="I711" s="24" t="e">
        <f t="shared" si="38"/>
        <v>#N/A</v>
      </c>
      <c r="J711" t="e">
        <f t="shared" si="36"/>
        <v>#N/A</v>
      </c>
      <c r="K711" t="e">
        <f t="shared" si="36"/>
        <v>#N/A</v>
      </c>
      <c r="L711" s="27" t="e">
        <f t="shared" si="37"/>
        <v>#N/A</v>
      </c>
    </row>
    <row r="712" spans="9:12" x14ac:dyDescent="0.25">
      <c r="I712" s="24" t="e">
        <f t="shared" si="38"/>
        <v>#N/A</v>
      </c>
      <c r="J712" t="e">
        <f t="shared" si="36"/>
        <v>#N/A</v>
      </c>
      <c r="K712" t="e">
        <f t="shared" si="36"/>
        <v>#N/A</v>
      </c>
      <c r="L712" s="27" t="e">
        <f t="shared" si="37"/>
        <v>#N/A</v>
      </c>
    </row>
    <row r="713" spans="9:12" x14ac:dyDescent="0.25">
      <c r="I713" s="24" t="e">
        <f t="shared" si="38"/>
        <v>#N/A</v>
      </c>
      <c r="J713" t="e">
        <f t="shared" si="36"/>
        <v>#N/A</v>
      </c>
      <c r="K713" t="e">
        <f t="shared" si="36"/>
        <v>#N/A</v>
      </c>
      <c r="L713" s="27" t="e">
        <f t="shared" si="37"/>
        <v>#N/A</v>
      </c>
    </row>
    <row r="714" spans="9:12" x14ac:dyDescent="0.25">
      <c r="I714" s="24" t="e">
        <f t="shared" si="38"/>
        <v>#N/A</v>
      </c>
      <c r="J714" t="e">
        <f t="shared" si="36"/>
        <v>#N/A</v>
      </c>
      <c r="K714" t="e">
        <f t="shared" si="36"/>
        <v>#N/A</v>
      </c>
      <c r="L714" s="27" t="e">
        <f t="shared" si="37"/>
        <v>#N/A</v>
      </c>
    </row>
    <row r="715" spans="9:12" x14ac:dyDescent="0.25">
      <c r="I715" s="24" t="e">
        <f t="shared" si="38"/>
        <v>#N/A</v>
      </c>
      <c r="J715" t="e">
        <f t="shared" si="36"/>
        <v>#N/A</v>
      </c>
      <c r="K715" t="e">
        <f t="shared" si="36"/>
        <v>#N/A</v>
      </c>
      <c r="L715" s="27" t="e">
        <f t="shared" si="37"/>
        <v>#N/A</v>
      </c>
    </row>
    <row r="716" spans="9:12" x14ac:dyDescent="0.25">
      <c r="I716" s="24" t="e">
        <f t="shared" si="38"/>
        <v>#N/A</v>
      </c>
      <c r="J716" t="e">
        <f t="shared" si="36"/>
        <v>#N/A</v>
      </c>
      <c r="K716" t="e">
        <f t="shared" si="36"/>
        <v>#N/A</v>
      </c>
      <c r="L716" s="27" t="e">
        <f t="shared" si="37"/>
        <v>#N/A</v>
      </c>
    </row>
    <row r="717" spans="9:12" x14ac:dyDescent="0.25">
      <c r="I717" s="24" t="e">
        <f t="shared" si="38"/>
        <v>#N/A</v>
      </c>
      <c r="J717" t="e">
        <f t="shared" si="36"/>
        <v>#N/A</v>
      </c>
      <c r="K717" t="e">
        <f t="shared" si="36"/>
        <v>#N/A</v>
      </c>
      <c r="L717" s="27" t="e">
        <f t="shared" si="37"/>
        <v>#N/A</v>
      </c>
    </row>
    <row r="718" spans="9:12" x14ac:dyDescent="0.25">
      <c r="I718" s="24" t="e">
        <f t="shared" si="38"/>
        <v>#N/A</v>
      </c>
      <c r="J718" t="e">
        <f t="shared" si="36"/>
        <v>#N/A</v>
      </c>
      <c r="K718" t="e">
        <f t="shared" si="36"/>
        <v>#N/A</v>
      </c>
      <c r="L718" s="27" t="e">
        <f t="shared" si="37"/>
        <v>#N/A</v>
      </c>
    </row>
    <row r="719" spans="9:12" x14ac:dyDescent="0.25">
      <c r="I719" s="24" t="e">
        <f t="shared" si="38"/>
        <v>#N/A</v>
      </c>
      <c r="J719" t="e">
        <f t="shared" si="36"/>
        <v>#N/A</v>
      </c>
      <c r="K719" t="e">
        <f t="shared" si="36"/>
        <v>#N/A</v>
      </c>
      <c r="L719" s="27" t="e">
        <f t="shared" si="37"/>
        <v>#N/A</v>
      </c>
    </row>
    <row r="720" spans="9:12" x14ac:dyDescent="0.25">
      <c r="I720" s="24" t="e">
        <f t="shared" si="38"/>
        <v>#N/A</v>
      </c>
      <c r="J720" t="e">
        <f t="shared" si="36"/>
        <v>#N/A</v>
      </c>
      <c r="K720" t="e">
        <f t="shared" si="36"/>
        <v>#N/A</v>
      </c>
      <c r="L720" s="27" t="e">
        <f t="shared" si="37"/>
        <v>#N/A</v>
      </c>
    </row>
    <row r="721" spans="9:12" x14ac:dyDescent="0.25">
      <c r="I721" s="24" t="e">
        <f t="shared" si="38"/>
        <v>#N/A</v>
      </c>
      <c r="J721" t="e">
        <f t="shared" si="36"/>
        <v>#N/A</v>
      </c>
      <c r="K721" t="e">
        <f t="shared" si="36"/>
        <v>#N/A</v>
      </c>
      <c r="L721" s="27" t="e">
        <f t="shared" si="37"/>
        <v>#N/A</v>
      </c>
    </row>
    <row r="722" spans="9:12" x14ac:dyDescent="0.25">
      <c r="I722" s="24" t="e">
        <f t="shared" si="38"/>
        <v>#N/A</v>
      </c>
      <c r="J722" t="e">
        <f t="shared" si="36"/>
        <v>#N/A</v>
      </c>
      <c r="K722" t="e">
        <f t="shared" si="36"/>
        <v>#N/A</v>
      </c>
      <c r="L722" s="27" t="e">
        <f t="shared" si="37"/>
        <v>#N/A</v>
      </c>
    </row>
    <row r="723" spans="9:12" x14ac:dyDescent="0.25">
      <c r="I723" s="24" t="e">
        <f t="shared" si="38"/>
        <v>#N/A</v>
      </c>
      <c r="J723" t="e">
        <f t="shared" si="36"/>
        <v>#N/A</v>
      </c>
      <c r="K723" t="e">
        <f t="shared" si="36"/>
        <v>#N/A</v>
      </c>
      <c r="L723" s="27" t="e">
        <f t="shared" si="37"/>
        <v>#N/A</v>
      </c>
    </row>
    <row r="724" spans="9:12" x14ac:dyDescent="0.25">
      <c r="I724" s="24" t="e">
        <f t="shared" si="38"/>
        <v>#N/A</v>
      </c>
      <c r="J724" t="e">
        <f t="shared" si="36"/>
        <v>#N/A</v>
      </c>
      <c r="K724" t="e">
        <f t="shared" si="36"/>
        <v>#N/A</v>
      </c>
      <c r="L724" s="27" t="e">
        <f t="shared" si="37"/>
        <v>#N/A</v>
      </c>
    </row>
    <row r="725" spans="9:12" x14ac:dyDescent="0.25">
      <c r="I725" s="24" t="e">
        <f t="shared" si="38"/>
        <v>#N/A</v>
      </c>
      <c r="J725" t="e">
        <f t="shared" si="36"/>
        <v>#N/A</v>
      </c>
      <c r="K725" t="e">
        <f t="shared" si="36"/>
        <v>#N/A</v>
      </c>
      <c r="L725" s="27" t="e">
        <f t="shared" si="37"/>
        <v>#N/A</v>
      </c>
    </row>
    <row r="726" spans="9:12" x14ac:dyDescent="0.25">
      <c r="I726" s="24" t="e">
        <f t="shared" si="38"/>
        <v>#N/A</v>
      </c>
      <c r="J726" t="e">
        <f t="shared" si="36"/>
        <v>#N/A</v>
      </c>
      <c r="K726" t="e">
        <f t="shared" si="36"/>
        <v>#N/A</v>
      </c>
      <c r="L726" s="27" t="e">
        <f t="shared" si="37"/>
        <v>#N/A</v>
      </c>
    </row>
    <row r="727" spans="9:12" x14ac:dyDescent="0.25">
      <c r="I727" s="24" t="e">
        <f t="shared" si="38"/>
        <v>#N/A</v>
      </c>
      <c r="J727" t="e">
        <f t="shared" si="36"/>
        <v>#N/A</v>
      </c>
      <c r="K727" t="e">
        <f t="shared" si="36"/>
        <v>#N/A</v>
      </c>
      <c r="L727" s="27" t="e">
        <f t="shared" si="37"/>
        <v>#N/A</v>
      </c>
    </row>
    <row r="728" spans="9:12" x14ac:dyDescent="0.25">
      <c r="I728" s="24" t="e">
        <f t="shared" si="38"/>
        <v>#N/A</v>
      </c>
      <c r="J728" t="e">
        <f t="shared" si="36"/>
        <v>#N/A</v>
      </c>
      <c r="K728" t="e">
        <f t="shared" si="36"/>
        <v>#N/A</v>
      </c>
      <c r="L728" s="27" t="e">
        <f t="shared" si="37"/>
        <v>#N/A</v>
      </c>
    </row>
    <row r="729" spans="9:12" x14ac:dyDescent="0.25">
      <c r="I729" s="24" t="e">
        <f t="shared" si="38"/>
        <v>#N/A</v>
      </c>
      <c r="J729" t="e">
        <f t="shared" si="36"/>
        <v>#N/A</v>
      </c>
      <c r="K729" t="e">
        <f t="shared" si="36"/>
        <v>#N/A</v>
      </c>
      <c r="L729" s="27" t="e">
        <f t="shared" si="37"/>
        <v>#N/A</v>
      </c>
    </row>
    <row r="730" spans="9:12" x14ac:dyDescent="0.25">
      <c r="I730" s="24" t="e">
        <f t="shared" si="38"/>
        <v>#N/A</v>
      </c>
      <c r="J730" t="e">
        <f t="shared" si="36"/>
        <v>#N/A</v>
      </c>
      <c r="K730" t="e">
        <f t="shared" si="36"/>
        <v>#N/A</v>
      </c>
      <c r="L730" s="27" t="e">
        <f t="shared" si="37"/>
        <v>#N/A</v>
      </c>
    </row>
    <row r="731" spans="9:12" x14ac:dyDescent="0.25">
      <c r="I731" s="24" t="e">
        <f t="shared" si="38"/>
        <v>#N/A</v>
      </c>
      <c r="J731" t="e">
        <f t="shared" si="36"/>
        <v>#N/A</v>
      </c>
      <c r="K731" t="e">
        <f t="shared" si="36"/>
        <v>#N/A</v>
      </c>
      <c r="L731" s="27" t="e">
        <f t="shared" si="37"/>
        <v>#N/A</v>
      </c>
    </row>
    <row r="732" spans="9:12" x14ac:dyDescent="0.25">
      <c r="I732" s="24" t="e">
        <f t="shared" si="38"/>
        <v>#N/A</v>
      </c>
      <c r="J732" t="e">
        <f t="shared" si="36"/>
        <v>#N/A</v>
      </c>
      <c r="K732" t="e">
        <f t="shared" si="36"/>
        <v>#N/A</v>
      </c>
      <c r="L732" s="27" t="e">
        <f t="shared" si="37"/>
        <v>#N/A</v>
      </c>
    </row>
    <row r="733" spans="9:12" x14ac:dyDescent="0.25">
      <c r="I733" s="24" t="e">
        <f t="shared" si="38"/>
        <v>#N/A</v>
      </c>
      <c r="J733" t="e">
        <f t="shared" si="36"/>
        <v>#N/A</v>
      </c>
      <c r="K733" t="e">
        <f t="shared" si="36"/>
        <v>#N/A</v>
      </c>
      <c r="L733" s="27" t="e">
        <f t="shared" si="37"/>
        <v>#N/A</v>
      </c>
    </row>
    <row r="734" spans="9:12" x14ac:dyDescent="0.25">
      <c r="I734" s="24" t="e">
        <f t="shared" si="38"/>
        <v>#N/A</v>
      </c>
      <c r="J734" t="e">
        <f t="shared" si="36"/>
        <v>#N/A</v>
      </c>
      <c r="K734" t="e">
        <f t="shared" si="36"/>
        <v>#N/A</v>
      </c>
      <c r="L734" s="27" t="e">
        <f t="shared" si="37"/>
        <v>#N/A</v>
      </c>
    </row>
    <row r="735" spans="9:12" x14ac:dyDescent="0.25">
      <c r="I735" s="24" t="e">
        <f t="shared" si="38"/>
        <v>#N/A</v>
      </c>
      <c r="J735" t="e">
        <f t="shared" si="36"/>
        <v>#N/A</v>
      </c>
      <c r="K735" t="e">
        <f t="shared" si="36"/>
        <v>#N/A</v>
      </c>
      <c r="L735" s="27" t="e">
        <f t="shared" si="37"/>
        <v>#N/A</v>
      </c>
    </row>
    <row r="736" spans="9:12" x14ac:dyDescent="0.25">
      <c r="I736" s="24" t="e">
        <f t="shared" si="38"/>
        <v>#N/A</v>
      </c>
      <c r="J736" t="e">
        <f t="shared" si="36"/>
        <v>#N/A</v>
      </c>
      <c r="K736" t="e">
        <f t="shared" si="36"/>
        <v>#N/A</v>
      </c>
      <c r="L736" s="27" t="e">
        <f t="shared" si="37"/>
        <v>#N/A</v>
      </c>
    </row>
    <row r="737" spans="9:12" x14ac:dyDescent="0.25">
      <c r="I737" s="24" t="e">
        <f t="shared" si="38"/>
        <v>#N/A</v>
      </c>
      <c r="J737" t="e">
        <f t="shared" si="36"/>
        <v>#N/A</v>
      </c>
      <c r="K737" t="e">
        <f t="shared" si="36"/>
        <v>#N/A</v>
      </c>
      <c r="L737" s="27" t="e">
        <f t="shared" si="37"/>
        <v>#N/A</v>
      </c>
    </row>
    <row r="738" spans="9:12" x14ac:dyDescent="0.25">
      <c r="I738" s="24" t="e">
        <f t="shared" si="38"/>
        <v>#N/A</v>
      </c>
      <c r="J738" t="e">
        <f t="shared" si="36"/>
        <v>#N/A</v>
      </c>
      <c r="K738" t="e">
        <f t="shared" si="36"/>
        <v>#N/A</v>
      </c>
      <c r="L738" s="27" t="e">
        <f t="shared" si="37"/>
        <v>#N/A</v>
      </c>
    </row>
    <row r="739" spans="9:12" x14ac:dyDescent="0.25">
      <c r="I739" s="24" t="e">
        <f t="shared" si="38"/>
        <v>#N/A</v>
      </c>
      <c r="J739" t="e">
        <f t="shared" si="36"/>
        <v>#N/A</v>
      </c>
      <c r="K739" t="e">
        <f t="shared" si="36"/>
        <v>#N/A</v>
      </c>
      <c r="L739" s="27" t="e">
        <f t="shared" si="37"/>
        <v>#N/A</v>
      </c>
    </row>
    <row r="740" spans="9:12" x14ac:dyDescent="0.25">
      <c r="I740" s="24" t="e">
        <f t="shared" si="38"/>
        <v>#N/A</v>
      </c>
      <c r="J740" t="e">
        <f t="shared" si="36"/>
        <v>#N/A</v>
      </c>
      <c r="K740" t="e">
        <f t="shared" si="36"/>
        <v>#N/A</v>
      </c>
      <c r="L740" s="27" t="e">
        <f t="shared" si="37"/>
        <v>#N/A</v>
      </c>
    </row>
    <row r="741" spans="9:12" x14ac:dyDescent="0.25">
      <c r="I741" s="24" t="e">
        <f t="shared" si="38"/>
        <v>#N/A</v>
      </c>
      <c r="J741" t="e">
        <f t="shared" si="36"/>
        <v>#N/A</v>
      </c>
      <c r="K741" t="e">
        <f t="shared" si="36"/>
        <v>#N/A</v>
      </c>
      <c r="L741" s="27" t="e">
        <f t="shared" si="37"/>
        <v>#N/A</v>
      </c>
    </row>
    <row r="742" spans="9:12" x14ac:dyDescent="0.25">
      <c r="I742" s="24" t="e">
        <f t="shared" si="38"/>
        <v>#N/A</v>
      </c>
      <c r="J742" t="e">
        <f t="shared" si="36"/>
        <v>#N/A</v>
      </c>
      <c r="K742" t="e">
        <f t="shared" si="36"/>
        <v>#N/A</v>
      </c>
      <c r="L742" s="27" t="e">
        <f t="shared" si="37"/>
        <v>#N/A</v>
      </c>
    </row>
    <row r="743" spans="9:12" x14ac:dyDescent="0.25">
      <c r="I743" s="24" t="e">
        <f t="shared" si="38"/>
        <v>#N/A</v>
      </c>
      <c r="J743" t="e">
        <f t="shared" si="36"/>
        <v>#N/A</v>
      </c>
      <c r="K743" t="e">
        <f t="shared" si="36"/>
        <v>#N/A</v>
      </c>
      <c r="L743" s="27" t="e">
        <f t="shared" si="37"/>
        <v>#N/A</v>
      </c>
    </row>
    <row r="744" spans="9:12" x14ac:dyDescent="0.25">
      <c r="I744" s="24" t="e">
        <f t="shared" si="38"/>
        <v>#N/A</v>
      </c>
      <c r="J744" t="e">
        <f t="shared" si="36"/>
        <v>#N/A</v>
      </c>
      <c r="K744" t="e">
        <f t="shared" si="36"/>
        <v>#N/A</v>
      </c>
      <c r="L744" s="27" t="e">
        <f t="shared" si="37"/>
        <v>#N/A</v>
      </c>
    </row>
    <row r="745" spans="9:12" x14ac:dyDescent="0.25">
      <c r="I745" s="24" t="e">
        <f t="shared" si="38"/>
        <v>#N/A</v>
      </c>
      <c r="J745" t="e">
        <f t="shared" si="36"/>
        <v>#N/A</v>
      </c>
      <c r="K745" t="e">
        <f t="shared" si="36"/>
        <v>#N/A</v>
      </c>
      <c r="L745" s="27" t="e">
        <f t="shared" si="37"/>
        <v>#N/A</v>
      </c>
    </row>
    <row r="746" spans="9:12" x14ac:dyDescent="0.25">
      <c r="I746" s="24" t="e">
        <f t="shared" si="38"/>
        <v>#N/A</v>
      </c>
      <c r="J746" t="e">
        <f t="shared" si="36"/>
        <v>#N/A</v>
      </c>
      <c r="K746" t="e">
        <f t="shared" si="36"/>
        <v>#N/A</v>
      </c>
      <c r="L746" s="27" t="e">
        <f t="shared" si="37"/>
        <v>#N/A</v>
      </c>
    </row>
    <row r="747" spans="9:12" x14ac:dyDescent="0.25">
      <c r="I747" s="24" t="e">
        <f t="shared" si="38"/>
        <v>#N/A</v>
      </c>
      <c r="J747" t="e">
        <f t="shared" si="36"/>
        <v>#N/A</v>
      </c>
      <c r="K747" t="e">
        <f t="shared" si="36"/>
        <v>#N/A</v>
      </c>
      <c r="L747" s="27" t="e">
        <f t="shared" si="37"/>
        <v>#N/A</v>
      </c>
    </row>
    <row r="748" spans="9:12" x14ac:dyDescent="0.25">
      <c r="I748" s="24" t="e">
        <f t="shared" si="38"/>
        <v>#N/A</v>
      </c>
      <c r="J748" t="e">
        <f t="shared" si="36"/>
        <v>#N/A</v>
      </c>
      <c r="K748" t="e">
        <f t="shared" si="36"/>
        <v>#N/A</v>
      </c>
      <c r="L748" s="27" t="e">
        <f t="shared" si="37"/>
        <v>#N/A</v>
      </c>
    </row>
    <row r="749" spans="9:12" x14ac:dyDescent="0.25">
      <c r="I749" s="24" t="e">
        <f t="shared" si="38"/>
        <v>#N/A</v>
      </c>
      <c r="J749" t="e">
        <f t="shared" si="36"/>
        <v>#N/A</v>
      </c>
      <c r="K749" t="e">
        <f t="shared" si="36"/>
        <v>#N/A</v>
      </c>
      <c r="L749" s="27" t="e">
        <f t="shared" si="37"/>
        <v>#N/A</v>
      </c>
    </row>
    <row r="750" spans="9:12" x14ac:dyDescent="0.25">
      <c r="I750" s="24" t="e">
        <f t="shared" si="38"/>
        <v>#N/A</v>
      </c>
      <c r="J750" t="e">
        <f t="shared" si="36"/>
        <v>#N/A</v>
      </c>
      <c r="K750" t="e">
        <f t="shared" si="36"/>
        <v>#N/A</v>
      </c>
      <c r="L750" s="27" t="e">
        <f t="shared" si="37"/>
        <v>#N/A</v>
      </c>
    </row>
    <row r="751" spans="9:12" x14ac:dyDescent="0.25">
      <c r="I751" s="24" t="e">
        <f t="shared" si="38"/>
        <v>#N/A</v>
      </c>
      <c r="J751" t="e">
        <f t="shared" si="36"/>
        <v>#N/A</v>
      </c>
      <c r="K751" t="e">
        <f t="shared" si="36"/>
        <v>#N/A</v>
      </c>
      <c r="L751" s="27" t="e">
        <f t="shared" si="37"/>
        <v>#N/A</v>
      </c>
    </row>
    <row r="752" spans="9:12" x14ac:dyDescent="0.25">
      <c r="I752" s="24" t="e">
        <f t="shared" si="38"/>
        <v>#N/A</v>
      </c>
      <c r="J752" t="e">
        <f t="shared" si="36"/>
        <v>#N/A</v>
      </c>
      <c r="K752" t="e">
        <f t="shared" si="36"/>
        <v>#N/A</v>
      </c>
      <c r="L752" s="27" t="e">
        <f t="shared" si="37"/>
        <v>#N/A</v>
      </c>
    </row>
    <row r="753" spans="9:12" x14ac:dyDescent="0.25">
      <c r="I753" s="24" t="e">
        <f t="shared" si="38"/>
        <v>#N/A</v>
      </c>
      <c r="J753" t="e">
        <f t="shared" si="36"/>
        <v>#N/A</v>
      </c>
      <c r="K753" t="e">
        <f t="shared" si="36"/>
        <v>#N/A</v>
      </c>
      <c r="L753" s="27" t="e">
        <f t="shared" si="37"/>
        <v>#N/A</v>
      </c>
    </row>
    <row r="754" spans="9:12" x14ac:dyDescent="0.25">
      <c r="I754" s="24" t="e">
        <f t="shared" si="38"/>
        <v>#N/A</v>
      </c>
      <c r="J754" t="e">
        <f t="shared" si="36"/>
        <v>#N/A</v>
      </c>
      <c r="K754" t="e">
        <f t="shared" si="36"/>
        <v>#N/A</v>
      </c>
      <c r="L754" s="27" t="e">
        <f t="shared" si="37"/>
        <v>#N/A</v>
      </c>
    </row>
    <row r="755" spans="9:12" x14ac:dyDescent="0.25">
      <c r="I755" s="24" t="e">
        <f t="shared" si="38"/>
        <v>#N/A</v>
      </c>
      <c r="J755" t="e">
        <f t="shared" si="36"/>
        <v>#N/A</v>
      </c>
      <c r="K755" t="e">
        <f t="shared" si="36"/>
        <v>#N/A</v>
      </c>
      <c r="L755" s="27" t="e">
        <f t="shared" si="37"/>
        <v>#N/A</v>
      </c>
    </row>
    <row r="756" spans="9:12" x14ac:dyDescent="0.25">
      <c r="I756" s="24" t="e">
        <f t="shared" si="38"/>
        <v>#N/A</v>
      </c>
      <c r="J756" t="e">
        <f t="shared" si="36"/>
        <v>#N/A</v>
      </c>
      <c r="K756" t="e">
        <f t="shared" si="36"/>
        <v>#N/A</v>
      </c>
      <c r="L756" s="27" t="e">
        <f t="shared" si="37"/>
        <v>#N/A</v>
      </c>
    </row>
    <row r="757" spans="9:12" x14ac:dyDescent="0.25">
      <c r="I757" s="24" t="e">
        <f t="shared" si="38"/>
        <v>#N/A</v>
      </c>
      <c r="J757" t="e">
        <f t="shared" si="36"/>
        <v>#N/A</v>
      </c>
      <c r="K757" t="e">
        <f t="shared" si="36"/>
        <v>#N/A</v>
      </c>
      <c r="L757" s="27" t="e">
        <f t="shared" si="37"/>
        <v>#N/A</v>
      </c>
    </row>
    <row r="758" spans="9:12" x14ac:dyDescent="0.25">
      <c r="I758" s="24" t="e">
        <f t="shared" si="38"/>
        <v>#N/A</v>
      </c>
      <c r="J758" t="e">
        <f t="shared" si="36"/>
        <v>#N/A</v>
      </c>
      <c r="K758" t="e">
        <f t="shared" si="36"/>
        <v>#N/A</v>
      </c>
      <c r="L758" s="27" t="e">
        <f t="shared" si="37"/>
        <v>#N/A</v>
      </c>
    </row>
    <row r="759" spans="9:12" x14ac:dyDescent="0.25">
      <c r="I759" s="24" t="e">
        <f t="shared" si="38"/>
        <v>#N/A</v>
      </c>
      <c r="J759" t="e">
        <f t="shared" si="36"/>
        <v>#N/A</v>
      </c>
      <c r="K759" t="e">
        <f t="shared" si="36"/>
        <v>#N/A</v>
      </c>
      <c r="L759" s="27" t="e">
        <f t="shared" si="37"/>
        <v>#N/A</v>
      </c>
    </row>
    <row r="760" spans="9:12" x14ac:dyDescent="0.25">
      <c r="I760" s="24" t="e">
        <f t="shared" si="38"/>
        <v>#N/A</v>
      </c>
      <c r="J760" t="e">
        <f t="shared" si="36"/>
        <v>#N/A</v>
      </c>
      <c r="K760" t="e">
        <f t="shared" si="36"/>
        <v>#N/A</v>
      </c>
      <c r="L760" s="27" t="e">
        <f t="shared" si="37"/>
        <v>#N/A</v>
      </c>
    </row>
    <row r="761" spans="9:12" x14ac:dyDescent="0.25">
      <c r="I761" s="24" t="e">
        <f t="shared" si="38"/>
        <v>#N/A</v>
      </c>
      <c r="J761" t="e">
        <f t="shared" si="36"/>
        <v>#N/A</v>
      </c>
      <c r="K761" t="e">
        <f t="shared" si="36"/>
        <v>#N/A</v>
      </c>
      <c r="L761" s="27" t="e">
        <f t="shared" si="37"/>
        <v>#N/A</v>
      </c>
    </row>
    <row r="762" spans="9:12" x14ac:dyDescent="0.25">
      <c r="I762" s="24" t="e">
        <f t="shared" si="38"/>
        <v>#N/A</v>
      </c>
      <c r="J762" t="e">
        <f t="shared" si="36"/>
        <v>#N/A</v>
      </c>
      <c r="K762" t="e">
        <f t="shared" si="36"/>
        <v>#N/A</v>
      </c>
      <c r="L762" s="27" t="e">
        <f t="shared" si="37"/>
        <v>#N/A</v>
      </c>
    </row>
    <row r="763" spans="9:12" x14ac:dyDescent="0.25">
      <c r="I763" s="24" t="e">
        <f t="shared" si="38"/>
        <v>#N/A</v>
      </c>
      <c r="J763" t="e">
        <f t="shared" si="36"/>
        <v>#N/A</v>
      </c>
      <c r="K763" t="e">
        <f t="shared" si="36"/>
        <v>#N/A</v>
      </c>
      <c r="L763" s="27" t="e">
        <f t="shared" si="37"/>
        <v>#N/A</v>
      </c>
    </row>
    <row r="764" spans="9:12" x14ac:dyDescent="0.25">
      <c r="I764" s="24" t="e">
        <f t="shared" si="38"/>
        <v>#N/A</v>
      </c>
      <c r="J764" t="e">
        <f t="shared" si="36"/>
        <v>#N/A</v>
      </c>
      <c r="K764" t="e">
        <f t="shared" si="36"/>
        <v>#N/A</v>
      </c>
      <c r="L764" s="27" t="e">
        <f t="shared" si="37"/>
        <v>#N/A</v>
      </c>
    </row>
    <row r="765" spans="9:12" x14ac:dyDescent="0.25">
      <c r="I765" s="24" t="e">
        <f t="shared" si="38"/>
        <v>#N/A</v>
      </c>
      <c r="J765" t="e">
        <f t="shared" si="36"/>
        <v>#N/A</v>
      </c>
      <c r="K765" t="e">
        <f t="shared" si="36"/>
        <v>#N/A</v>
      </c>
      <c r="L765" s="27" t="e">
        <f t="shared" si="37"/>
        <v>#N/A</v>
      </c>
    </row>
    <row r="766" spans="9:12" x14ac:dyDescent="0.25">
      <c r="I766" s="24" t="e">
        <f t="shared" si="38"/>
        <v>#N/A</v>
      </c>
      <c r="J766" t="e">
        <f t="shared" si="36"/>
        <v>#N/A</v>
      </c>
      <c r="K766" t="e">
        <f t="shared" si="36"/>
        <v>#N/A</v>
      </c>
      <c r="L766" s="27" t="e">
        <f t="shared" si="37"/>
        <v>#N/A</v>
      </c>
    </row>
    <row r="767" spans="9:12" x14ac:dyDescent="0.25">
      <c r="I767" s="24" t="e">
        <f t="shared" si="38"/>
        <v>#N/A</v>
      </c>
      <c r="J767" t="e">
        <f t="shared" si="36"/>
        <v>#N/A</v>
      </c>
      <c r="K767" t="e">
        <f t="shared" si="36"/>
        <v>#N/A</v>
      </c>
      <c r="L767" s="27" t="e">
        <f t="shared" si="37"/>
        <v>#N/A</v>
      </c>
    </row>
    <row r="768" spans="9:12" x14ac:dyDescent="0.25">
      <c r="I768" s="24" t="e">
        <f t="shared" si="38"/>
        <v>#N/A</v>
      </c>
      <c r="J768" t="e">
        <f t="shared" si="36"/>
        <v>#N/A</v>
      </c>
      <c r="K768" t="e">
        <f t="shared" si="36"/>
        <v>#N/A</v>
      </c>
      <c r="L768" s="27" t="e">
        <f t="shared" si="37"/>
        <v>#N/A</v>
      </c>
    </row>
    <row r="769" spans="9:12" x14ac:dyDescent="0.25">
      <c r="I769" s="24" t="e">
        <f t="shared" si="38"/>
        <v>#N/A</v>
      </c>
      <c r="J769" t="e">
        <f t="shared" si="36"/>
        <v>#N/A</v>
      </c>
      <c r="K769" t="e">
        <f t="shared" si="36"/>
        <v>#N/A</v>
      </c>
      <c r="L769" s="27" t="e">
        <f t="shared" si="37"/>
        <v>#N/A</v>
      </c>
    </row>
    <row r="770" spans="9:12" x14ac:dyDescent="0.25">
      <c r="I770" s="24" t="e">
        <f t="shared" si="38"/>
        <v>#N/A</v>
      </c>
      <c r="J770" t="e">
        <f t="shared" ref="J770:K833" si="39">D$29*($I770/1000)+D$18*(($I770/1000)-($D$8/1000))*(($I770/1000)&gt;($D$8/1000))+D$19*(($I770/1000)-($D$9/1000))*(($I770/1000)&gt;($D$9/1000))+D$20*(($I770/1000)-($D$10/1000))*(($I770/1000)&gt;($D$10/1000))+D$21*(($I770/1000)-($D$11/1000))*(($I770/1000)&gt;($D$11/1000))</f>
        <v>#N/A</v>
      </c>
      <c r="K770" t="e">
        <f t="shared" si="39"/>
        <v>#N/A</v>
      </c>
      <c r="L770" s="27" t="e">
        <f t="shared" ref="L770:L833" si="40">SQRT((J770^2)+(K770^2))</f>
        <v>#N/A</v>
      </c>
    </row>
    <row r="771" spans="9:12" x14ac:dyDescent="0.25">
      <c r="I771" s="24" t="e">
        <f t="shared" ref="I771:I834" si="41">IF((ROW(A769)*$F$2)&lt;=$D$5, ROW(A769)*$F$2,NA())</f>
        <v>#N/A</v>
      </c>
      <c r="J771" t="e">
        <f t="shared" si="39"/>
        <v>#N/A</v>
      </c>
      <c r="K771" t="e">
        <f t="shared" si="39"/>
        <v>#N/A</v>
      </c>
      <c r="L771" s="27" t="e">
        <f t="shared" si="40"/>
        <v>#N/A</v>
      </c>
    </row>
    <row r="772" spans="9:12" x14ac:dyDescent="0.25">
      <c r="I772" s="24" t="e">
        <f t="shared" si="41"/>
        <v>#N/A</v>
      </c>
      <c r="J772" t="e">
        <f t="shared" si="39"/>
        <v>#N/A</v>
      </c>
      <c r="K772" t="e">
        <f t="shared" si="39"/>
        <v>#N/A</v>
      </c>
      <c r="L772" s="27" t="e">
        <f t="shared" si="40"/>
        <v>#N/A</v>
      </c>
    </row>
    <row r="773" spans="9:12" x14ac:dyDescent="0.25">
      <c r="I773" s="24" t="e">
        <f t="shared" si="41"/>
        <v>#N/A</v>
      </c>
      <c r="J773" t="e">
        <f t="shared" si="39"/>
        <v>#N/A</v>
      </c>
      <c r="K773" t="e">
        <f t="shared" si="39"/>
        <v>#N/A</v>
      </c>
      <c r="L773" s="27" t="e">
        <f t="shared" si="40"/>
        <v>#N/A</v>
      </c>
    </row>
    <row r="774" spans="9:12" x14ac:dyDescent="0.25">
      <c r="I774" s="24" t="e">
        <f t="shared" si="41"/>
        <v>#N/A</v>
      </c>
      <c r="J774" t="e">
        <f t="shared" si="39"/>
        <v>#N/A</v>
      </c>
      <c r="K774" t="e">
        <f t="shared" si="39"/>
        <v>#N/A</v>
      </c>
      <c r="L774" s="27" t="e">
        <f t="shared" si="40"/>
        <v>#N/A</v>
      </c>
    </row>
    <row r="775" spans="9:12" x14ac:dyDescent="0.25">
      <c r="I775" s="24" t="e">
        <f t="shared" si="41"/>
        <v>#N/A</v>
      </c>
      <c r="J775" t="e">
        <f t="shared" si="39"/>
        <v>#N/A</v>
      </c>
      <c r="K775" t="e">
        <f t="shared" si="39"/>
        <v>#N/A</v>
      </c>
      <c r="L775" s="27" t="e">
        <f t="shared" si="40"/>
        <v>#N/A</v>
      </c>
    </row>
    <row r="776" spans="9:12" x14ac:dyDescent="0.25">
      <c r="I776" s="24" t="e">
        <f t="shared" si="41"/>
        <v>#N/A</v>
      </c>
      <c r="J776" t="e">
        <f t="shared" si="39"/>
        <v>#N/A</v>
      </c>
      <c r="K776" t="e">
        <f t="shared" si="39"/>
        <v>#N/A</v>
      </c>
      <c r="L776" s="27" t="e">
        <f t="shared" si="40"/>
        <v>#N/A</v>
      </c>
    </row>
    <row r="777" spans="9:12" x14ac:dyDescent="0.25">
      <c r="I777" s="24" t="e">
        <f t="shared" si="41"/>
        <v>#N/A</v>
      </c>
      <c r="J777" t="e">
        <f t="shared" si="39"/>
        <v>#N/A</v>
      </c>
      <c r="K777" t="e">
        <f t="shared" si="39"/>
        <v>#N/A</v>
      </c>
      <c r="L777" s="27" t="e">
        <f t="shared" si="40"/>
        <v>#N/A</v>
      </c>
    </row>
    <row r="778" spans="9:12" x14ac:dyDescent="0.25">
      <c r="I778" s="24" t="e">
        <f t="shared" si="41"/>
        <v>#N/A</v>
      </c>
      <c r="J778" t="e">
        <f t="shared" si="39"/>
        <v>#N/A</v>
      </c>
      <c r="K778" t="e">
        <f t="shared" si="39"/>
        <v>#N/A</v>
      </c>
      <c r="L778" s="27" t="e">
        <f t="shared" si="40"/>
        <v>#N/A</v>
      </c>
    </row>
    <row r="779" spans="9:12" x14ac:dyDescent="0.25">
      <c r="I779" s="24" t="e">
        <f t="shared" si="41"/>
        <v>#N/A</v>
      </c>
      <c r="J779" t="e">
        <f t="shared" si="39"/>
        <v>#N/A</v>
      </c>
      <c r="K779" t="e">
        <f t="shared" si="39"/>
        <v>#N/A</v>
      </c>
      <c r="L779" s="27" t="e">
        <f t="shared" si="40"/>
        <v>#N/A</v>
      </c>
    </row>
    <row r="780" spans="9:12" x14ac:dyDescent="0.25">
      <c r="I780" s="24" t="e">
        <f t="shared" si="41"/>
        <v>#N/A</v>
      </c>
      <c r="J780" t="e">
        <f t="shared" si="39"/>
        <v>#N/A</v>
      </c>
      <c r="K780" t="e">
        <f t="shared" si="39"/>
        <v>#N/A</v>
      </c>
      <c r="L780" s="27" t="e">
        <f t="shared" si="40"/>
        <v>#N/A</v>
      </c>
    </row>
    <row r="781" spans="9:12" x14ac:dyDescent="0.25">
      <c r="I781" s="24" t="e">
        <f t="shared" si="41"/>
        <v>#N/A</v>
      </c>
      <c r="J781" t="e">
        <f t="shared" si="39"/>
        <v>#N/A</v>
      </c>
      <c r="K781" t="e">
        <f t="shared" si="39"/>
        <v>#N/A</v>
      </c>
      <c r="L781" s="27" t="e">
        <f t="shared" si="40"/>
        <v>#N/A</v>
      </c>
    </row>
    <row r="782" spans="9:12" x14ac:dyDescent="0.25">
      <c r="I782" s="24" t="e">
        <f t="shared" si="41"/>
        <v>#N/A</v>
      </c>
      <c r="J782" t="e">
        <f t="shared" si="39"/>
        <v>#N/A</v>
      </c>
      <c r="K782" t="e">
        <f t="shared" si="39"/>
        <v>#N/A</v>
      </c>
      <c r="L782" s="27" t="e">
        <f t="shared" si="40"/>
        <v>#N/A</v>
      </c>
    </row>
    <row r="783" spans="9:12" x14ac:dyDescent="0.25">
      <c r="I783" s="24" t="e">
        <f t="shared" si="41"/>
        <v>#N/A</v>
      </c>
      <c r="J783" t="e">
        <f t="shared" si="39"/>
        <v>#N/A</v>
      </c>
      <c r="K783" t="e">
        <f t="shared" si="39"/>
        <v>#N/A</v>
      </c>
      <c r="L783" s="27" t="e">
        <f t="shared" si="40"/>
        <v>#N/A</v>
      </c>
    </row>
    <row r="784" spans="9:12" x14ac:dyDescent="0.25">
      <c r="I784" s="24" t="e">
        <f t="shared" si="41"/>
        <v>#N/A</v>
      </c>
      <c r="J784" t="e">
        <f t="shared" si="39"/>
        <v>#N/A</v>
      </c>
      <c r="K784" t="e">
        <f t="shared" si="39"/>
        <v>#N/A</v>
      </c>
      <c r="L784" s="27" t="e">
        <f t="shared" si="40"/>
        <v>#N/A</v>
      </c>
    </row>
    <row r="785" spans="9:12" x14ac:dyDescent="0.25">
      <c r="I785" s="24" t="e">
        <f t="shared" si="41"/>
        <v>#N/A</v>
      </c>
      <c r="J785" t="e">
        <f t="shared" si="39"/>
        <v>#N/A</v>
      </c>
      <c r="K785" t="e">
        <f t="shared" si="39"/>
        <v>#N/A</v>
      </c>
      <c r="L785" s="27" t="e">
        <f t="shared" si="40"/>
        <v>#N/A</v>
      </c>
    </row>
    <row r="786" spans="9:12" x14ac:dyDescent="0.25">
      <c r="I786" s="24" t="e">
        <f t="shared" si="41"/>
        <v>#N/A</v>
      </c>
      <c r="J786" t="e">
        <f t="shared" si="39"/>
        <v>#N/A</v>
      </c>
      <c r="K786" t="e">
        <f t="shared" si="39"/>
        <v>#N/A</v>
      </c>
      <c r="L786" s="27" t="e">
        <f t="shared" si="40"/>
        <v>#N/A</v>
      </c>
    </row>
    <row r="787" spans="9:12" x14ac:dyDescent="0.25">
      <c r="I787" s="24" t="e">
        <f t="shared" si="41"/>
        <v>#N/A</v>
      </c>
      <c r="J787" t="e">
        <f t="shared" si="39"/>
        <v>#N/A</v>
      </c>
      <c r="K787" t="e">
        <f t="shared" si="39"/>
        <v>#N/A</v>
      </c>
      <c r="L787" s="27" t="e">
        <f t="shared" si="40"/>
        <v>#N/A</v>
      </c>
    </row>
    <row r="788" spans="9:12" x14ac:dyDescent="0.25">
      <c r="I788" s="24" t="e">
        <f t="shared" si="41"/>
        <v>#N/A</v>
      </c>
      <c r="J788" t="e">
        <f t="shared" si="39"/>
        <v>#N/A</v>
      </c>
      <c r="K788" t="e">
        <f t="shared" si="39"/>
        <v>#N/A</v>
      </c>
      <c r="L788" s="27" t="e">
        <f t="shared" si="40"/>
        <v>#N/A</v>
      </c>
    </row>
    <row r="789" spans="9:12" x14ac:dyDescent="0.25">
      <c r="I789" s="24" t="e">
        <f t="shared" si="41"/>
        <v>#N/A</v>
      </c>
      <c r="J789" t="e">
        <f t="shared" si="39"/>
        <v>#N/A</v>
      </c>
      <c r="K789" t="e">
        <f t="shared" si="39"/>
        <v>#N/A</v>
      </c>
      <c r="L789" s="27" t="e">
        <f t="shared" si="40"/>
        <v>#N/A</v>
      </c>
    </row>
    <row r="790" spans="9:12" x14ac:dyDescent="0.25">
      <c r="I790" s="24" t="e">
        <f t="shared" si="41"/>
        <v>#N/A</v>
      </c>
      <c r="J790" t="e">
        <f t="shared" si="39"/>
        <v>#N/A</v>
      </c>
      <c r="K790" t="e">
        <f t="shared" si="39"/>
        <v>#N/A</v>
      </c>
      <c r="L790" s="27" t="e">
        <f t="shared" si="40"/>
        <v>#N/A</v>
      </c>
    </row>
    <row r="791" spans="9:12" x14ac:dyDescent="0.25">
      <c r="I791" s="24" t="e">
        <f t="shared" si="41"/>
        <v>#N/A</v>
      </c>
      <c r="J791" t="e">
        <f t="shared" si="39"/>
        <v>#N/A</v>
      </c>
      <c r="K791" t="e">
        <f t="shared" si="39"/>
        <v>#N/A</v>
      </c>
      <c r="L791" s="27" t="e">
        <f t="shared" si="40"/>
        <v>#N/A</v>
      </c>
    </row>
    <row r="792" spans="9:12" x14ac:dyDescent="0.25">
      <c r="I792" s="24" t="e">
        <f t="shared" si="41"/>
        <v>#N/A</v>
      </c>
      <c r="J792" t="e">
        <f t="shared" si="39"/>
        <v>#N/A</v>
      </c>
      <c r="K792" t="e">
        <f t="shared" si="39"/>
        <v>#N/A</v>
      </c>
      <c r="L792" s="27" t="e">
        <f t="shared" si="40"/>
        <v>#N/A</v>
      </c>
    </row>
    <row r="793" spans="9:12" x14ac:dyDescent="0.25">
      <c r="I793" s="24" t="e">
        <f t="shared" si="41"/>
        <v>#N/A</v>
      </c>
      <c r="J793" t="e">
        <f t="shared" si="39"/>
        <v>#N/A</v>
      </c>
      <c r="K793" t="e">
        <f t="shared" si="39"/>
        <v>#N/A</v>
      </c>
      <c r="L793" s="27" t="e">
        <f t="shared" si="40"/>
        <v>#N/A</v>
      </c>
    </row>
    <row r="794" spans="9:12" x14ac:dyDescent="0.25">
      <c r="I794" s="24" t="e">
        <f t="shared" si="41"/>
        <v>#N/A</v>
      </c>
      <c r="J794" t="e">
        <f t="shared" si="39"/>
        <v>#N/A</v>
      </c>
      <c r="K794" t="e">
        <f t="shared" si="39"/>
        <v>#N/A</v>
      </c>
      <c r="L794" s="27" t="e">
        <f t="shared" si="40"/>
        <v>#N/A</v>
      </c>
    </row>
    <row r="795" spans="9:12" x14ac:dyDescent="0.25">
      <c r="I795" s="24" t="e">
        <f t="shared" si="41"/>
        <v>#N/A</v>
      </c>
      <c r="J795" t="e">
        <f t="shared" si="39"/>
        <v>#N/A</v>
      </c>
      <c r="K795" t="e">
        <f t="shared" si="39"/>
        <v>#N/A</v>
      </c>
      <c r="L795" s="27" t="e">
        <f t="shared" si="40"/>
        <v>#N/A</v>
      </c>
    </row>
    <row r="796" spans="9:12" x14ac:dyDescent="0.25">
      <c r="I796" s="24" t="e">
        <f t="shared" si="41"/>
        <v>#N/A</v>
      </c>
      <c r="J796" t="e">
        <f t="shared" si="39"/>
        <v>#N/A</v>
      </c>
      <c r="K796" t="e">
        <f t="shared" si="39"/>
        <v>#N/A</v>
      </c>
      <c r="L796" s="27" t="e">
        <f t="shared" si="40"/>
        <v>#N/A</v>
      </c>
    </row>
    <row r="797" spans="9:12" x14ac:dyDescent="0.25">
      <c r="I797" s="24" t="e">
        <f t="shared" si="41"/>
        <v>#N/A</v>
      </c>
      <c r="J797" t="e">
        <f t="shared" si="39"/>
        <v>#N/A</v>
      </c>
      <c r="K797" t="e">
        <f t="shared" si="39"/>
        <v>#N/A</v>
      </c>
      <c r="L797" s="27" t="e">
        <f t="shared" si="40"/>
        <v>#N/A</v>
      </c>
    </row>
    <row r="798" spans="9:12" x14ac:dyDescent="0.25">
      <c r="I798" s="24" t="e">
        <f t="shared" si="41"/>
        <v>#N/A</v>
      </c>
      <c r="J798" t="e">
        <f t="shared" si="39"/>
        <v>#N/A</v>
      </c>
      <c r="K798" t="e">
        <f t="shared" si="39"/>
        <v>#N/A</v>
      </c>
      <c r="L798" s="27" t="e">
        <f t="shared" si="40"/>
        <v>#N/A</v>
      </c>
    </row>
    <row r="799" spans="9:12" x14ac:dyDescent="0.25">
      <c r="I799" s="24" t="e">
        <f t="shared" si="41"/>
        <v>#N/A</v>
      </c>
      <c r="J799" t="e">
        <f t="shared" si="39"/>
        <v>#N/A</v>
      </c>
      <c r="K799" t="e">
        <f t="shared" si="39"/>
        <v>#N/A</v>
      </c>
      <c r="L799" s="27" t="e">
        <f t="shared" si="40"/>
        <v>#N/A</v>
      </c>
    </row>
    <row r="800" spans="9:12" x14ac:dyDescent="0.25">
      <c r="I800" s="24" t="e">
        <f t="shared" si="41"/>
        <v>#N/A</v>
      </c>
      <c r="J800" t="e">
        <f t="shared" si="39"/>
        <v>#N/A</v>
      </c>
      <c r="K800" t="e">
        <f t="shared" si="39"/>
        <v>#N/A</v>
      </c>
      <c r="L800" s="27" t="e">
        <f t="shared" si="40"/>
        <v>#N/A</v>
      </c>
    </row>
    <row r="801" spans="9:12" x14ac:dyDescent="0.25">
      <c r="I801" s="24" t="e">
        <f t="shared" si="41"/>
        <v>#N/A</v>
      </c>
      <c r="J801" t="e">
        <f t="shared" si="39"/>
        <v>#N/A</v>
      </c>
      <c r="K801" t="e">
        <f t="shared" si="39"/>
        <v>#N/A</v>
      </c>
      <c r="L801" s="27" t="e">
        <f t="shared" si="40"/>
        <v>#N/A</v>
      </c>
    </row>
    <row r="802" spans="9:12" x14ac:dyDescent="0.25">
      <c r="I802" s="24" t="e">
        <f t="shared" si="41"/>
        <v>#N/A</v>
      </c>
      <c r="J802" t="e">
        <f t="shared" si="39"/>
        <v>#N/A</v>
      </c>
      <c r="K802" t="e">
        <f t="shared" si="39"/>
        <v>#N/A</v>
      </c>
      <c r="L802" s="27" t="e">
        <f t="shared" si="40"/>
        <v>#N/A</v>
      </c>
    </row>
    <row r="803" spans="9:12" x14ac:dyDescent="0.25">
      <c r="I803" s="24" t="e">
        <f t="shared" si="41"/>
        <v>#N/A</v>
      </c>
      <c r="J803" t="e">
        <f t="shared" si="39"/>
        <v>#N/A</v>
      </c>
      <c r="K803" t="e">
        <f t="shared" si="39"/>
        <v>#N/A</v>
      </c>
      <c r="L803" s="27" t="e">
        <f t="shared" si="40"/>
        <v>#N/A</v>
      </c>
    </row>
    <row r="804" spans="9:12" x14ac:dyDescent="0.25">
      <c r="I804" s="24" t="e">
        <f t="shared" si="41"/>
        <v>#N/A</v>
      </c>
      <c r="J804" t="e">
        <f t="shared" si="39"/>
        <v>#N/A</v>
      </c>
      <c r="K804" t="e">
        <f t="shared" si="39"/>
        <v>#N/A</v>
      </c>
      <c r="L804" s="27" t="e">
        <f t="shared" si="40"/>
        <v>#N/A</v>
      </c>
    </row>
    <row r="805" spans="9:12" x14ac:dyDescent="0.25">
      <c r="I805" s="24" t="e">
        <f t="shared" si="41"/>
        <v>#N/A</v>
      </c>
      <c r="J805" t="e">
        <f t="shared" si="39"/>
        <v>#N/A</v>
      </c>
      <c r="K805" t="e">
        <f t="shared" si="39"/>
        <v>#N/A</v>
      </c>
      <c r="L805" s="27" t="e">
        <f t="shared" si="40"/>
        <v>#N/A</v>
      </c>
    </row>
    <row r="806" spans="9:12" x14ac:dyDescent="0.25">
      <c r="I806" s="24" t="e">
        <f t="shared" si="41"/>
        <v>#N/A</v>
      </c>
      <c r="J806" t="e">
        <f t="shared" si="39"/>
        <v>#N/A</v>
      </c>
      <c r="K806" t="e">
        <f t="shared" si="39"/>
        <v>#N/A</v>
      </c>
      <c r="L806" s="27" t="e">
        <f t="shared" si="40"/>
        <v>#N/A</v>
      </c>
    </row>
    <row r="807" spans="9:12" x14ac:dyDescent="0.25">
      <c r="I807" s="24" t="e">
        <f t="shared" si="41"/>
        <v>#N/A</v>
      </c>
      <c r="J807" t="e">
        <f t="shared" si="39"/>
        <v>#N/A</v>
      </c>
      <c r="K807" t="e">
        <f t="shared" si="39"/>
        <v>#N/A</v>
      </c>
      <c r="L807" s="27" t="e">
        <f t="shared" si="40"/>
        <v>#N/A</v>
      </c>
    </row>
    <row r="808" spans="9:12" x14ac:dyDescent="0.25">
      <c r="I808" s="24" t="e">
        <f t="shared" si="41"/>
        <v>#N/A</v>
      </c>
      <c r="J808" t="e">
        <f t="shared" si="39"/>
        <v>#N/A</v>
      </c>
      <c r="K808" t="e">
        <f t="shared" si="39"/>
        <v>#N/A</v>
      </c>
      <c r="L808" s="27" t="e">
        <f t="shared" si="40"/>
        <v>#N/A</v>
      </c>
    </row>
    <row r="809" spans="9:12" x14ac:dyDescent="0.25">
      <c r="I809" s="24" t="e">
        <f t="shared" si="41"/>
        <v>#N/A</v>
      </c>
      <c r="J809" t="e">
        <f t="shared" si="39"/>
        <v>#N/A</v>
      </c>
      <c r="K809" t="e">
        <f t="shared" si="39"/>
        <v>#N/A</v>
      </c>
      <c r="L809" s="27" t="e">
        <f t="shared" si="40"/>
        <v>#N/A</v>
      </c>
    </row>
    <row r="810" spans="9:12" x14ac:dyDescent="0.25">
      <c r="I810" s="24" t="e">
        <f t="shared" si="41"/>
        <v>#N/A</v>
      </c>
      <c r="J810" t="e">
        <f t="shared" si="39"/>
        <v>#N/A</v>
      </c>
      <c r="K810" t="e">
        <f t="shared" si="39"/>
        <v>#N/A</v>
      </c>
      <c r="L810" s="27" t="e">
        <f t="shared" si="40"/>
        <v>#N/A</v>
      </c>
    </row>
    <row r="811" spans="9:12" x14ac:dyDescent="0.25">
      <c r="I811" s="24" t="e">
        <f t="shared" si="41"/>
        <v>#N/A</v>
      </c>
      <c r="J811" t="e">
        <f t="shared" si="39"/>
        <v>#N/A</v>
      </c>
      <c r="K811" t="e">
        <f t="shared" si="39"/>
        <v>#N/A</v>
      </c>
      <c r="L811" s="27" t="e">
        <f t="shared" si="40"/>
        <v>#N/A</v>
      </c>
    </row>
    <row r="812" spans="9:12" x14ac:dyDescent="0.25">
      <c r="I812" s="24" t="e">
        <f t="shared" si="41"/>
        <v>#N/A</v>
      </c>
      <c r="J812" t="e">
        <f t="shared" si="39"/>
        <v>#N/A</v>
      </c>
      <c r="K812" t="e">
        <f t="shared" si="39"/>
        <v>#N/A</v>
      </c>
      <c r="L812" s="27" t="e">
        <f t="shared" si="40"/>
        <v>#N/A</v>
      </c>
    </row>
    <row r="813" spans="9:12" x14ac:dyDescent="0.25">
      <c r="I813" s="24" t="e">
        <f t="shared" si="41"/>
        <v>#N/A</v>
      </c>
      <c r="J813" t="e">
        <f t="shared" si="39"/>
        <v>#N/A</v>
      </c>
      <c r="K813" t="e">
        <f t="shared" si="39"/>
        <v>#N/A</v>
      </c>
      <c r="L813" s="27" t="e">
        <f t="shared" si="40"/>
        <v>#N/A</v>
      </c>
    </row>
    <row r="814" spans="9:12" x14ac:dyDescent="0.25">
      <c r="I814" s="24" t="e">
        <f t="shared" si="41"/>
        <v>#N/A</v>
      </c>
      <c r="J814" t="e">
        <f t="shared" si="39"/>
        <v>#N/A</v>
      </c>
      <c r="K814" t="e">
        <f t="shared" si="39"/>
        <v>#N/A</v>
      </c>
      <c r="L814" s="27" t="e">
        <f t="shared" si="40"/>
        <v>#N/A</v>
      </c>
    </row>
    <row r="815" spans="9:12" x14ac:dyDescent="0.25">
      <c r="I815" s="24" t="e">
        <f t="shared" si="41"/>
        <v>#N/A</v>
      </c>
      <c r="J815" t="e">
        <f t="shared" si="39"/>
        <v>#N/A</v>
      </c>
      <c r="K815" t="e">
        <f t="shared" si="39"/>
        <v>#N/A</v>
      </c>
      <c r="L815" s="27" t="e">
        <f t="shared" si="40"/>
        <v>#N/A</v>
      </c>
    </row>
    <row r="816" spans="9:12" x14ac:dyDescent="0.25">
      <c r="I816" s="24" t="e">
        <f t="shared" si="41"/>
        <v>#N/A</v>
      </c>
      <c r="J816" t="e">
        <f t="shared" si="39"/>
        <v>#N/A</v>
      </c>
      <c r="K816" t="e">
        <f t="shared" si="39"/>
        <v>#N/A</v>
      </c>
      <c r="L816" s="27" t="e">
        <f t="shared" si="40"/>
        <v>#N/A</v>
      </c>
    </row>
    <row r="817" spans="9:12" x14ac:dyDescent="0.25">
      <c r="I817" s="24" t="e">
        <f t="shared" si="41"/>
        <v>#N/A</v>
      </c>
      <c r="J817" t="e">
        <f t="shared" si="39"/>
        <v>#N/A</v>
      </c>
      <c r="K817" t="e">
        <f t="shared" si="39"/>
        <v>#N/A</v>
      </c>
      <c r="L817" s="27" t="e">
        <f t="shared" si="40"/>
        <v>#N/A</v>
      </c>
    </row>
    <row r="818" spans="9:12" x14ac:dyDescent="0.25">
      <c r="I818" s="24" t="e">
        <f t="shared" si="41"/>
        <v>#N/A</v>
      </c>
      <c r="J818" t="e">
        <f t="shared" si="39"/>
        <v>#N/A</v>
      </c>
      <c r="K818" t="e">
        <f t="shared" si="39"/>
        <v>#N/A</v>
      </c>
      <c r="L818" s="27" t="e">
        <f t="shared" si="40"/>
        <v>#N/A</v>
      </c>
    </row>
    <row r="819" spans="9:12" x14ac:dyDescent="0.25">
      <c r="I819" s="24" t="e">
        <f t="shared" si="41"/>
        <v>#N/A</v>
      </c>
      <c r="J819" t="e">
        <f t="shared" si="39"/>
        <v>#N/A</v>
      </c>
      <c r="K819" t="e">
        <f t="shared" si="39"/>
        <v>#N/A</v>
      </c>
      <c r="L819" s="27" t="e">
        <f t="shared" si="40"/>
        <v>#N/A</v>
      </c>
    </row>
    <row r="820" spans="9:12" x14ac:dyDescent="0.25">
      <c r="I820" s="24" t="e">
        <f t="shared" si="41"/>
        <v>#N/A</v>
      </c>
      <c r="J820" t="e">
        <f t="shared" si="39"/>
        <v>#N/A</v>
      </c>
      <c r="K820" t="e">
        <f t="shared" si="39"/>
        <v>#N/A</v>
      </c>
      <c r="L820" s="27" t="e">
        <f t="shared" si="40"/>
        <v>#N/A</v>
      </c>
    </row>
    <row r="821" spans="9:12" x14ac:dyDescent="0.25">
      <c r="I821" s="24" t="e">
        <f t="shared" si="41"/>
        <v>#N/A</v>
      </c>
      <c r="J821" t="e">
        <f t="shared" si="39"/>
        <v>#N/A</v>
      </c>
      <c r="K821" t="e">
        <f t="shared" si="39"/>
        <v>#N/A</v>
      </c>
      <c r="L821" s="27" t="e">
        <f t="shared" si="40"/>
        <v>#N/A</v>
      </c>
    </row>
    <row r="822" spans="9:12" x14ac:dyDescent="0.25">
      <c r="I822" s="24" t="e">
        <f t="shared" si="41"/>
        <v>#N/A</v>
      </c>
      <c r="J822" t="e">
        <f t="shared" si="39"/>
        <v>#N/A</v>
      </c>
      <c r="K822" t="e">
        <f t="shared" si="39"/>
        <v>#N/A</v>
      </c>
      <c r="L822" s="27" t="e">
        <f t="shared" si="40"/>
        <v>#N/A</v>
      </c>
    </row>
    <row r="823" spans="9:12" x14ac:dyDescent="0.25">
      <c r="I823" s="24" t="e">
        <f t="shared" si="41"/>
        <v>#N/A</v>
      </c>
      <c r="J823" t="e">
        <f t="shared" si="39"/>
        <v>#N/A</v>
      </c>
      <c r="K823" t="e">
        <f t="shared" si="39"/>
        <v>#N/A</v>
      </c>
      <c r="L823" s="27" t="e">
        <f t="shared" si="40"/>
        <v>#N/A</v>
      </c>
    </row>
    <row r="824" spans="9:12" x14ac:dyDescent="0.25">
      <c r="I824" s="24" t="e">
        <f t="shared" si="41"/>
        <v>#N/A</v>
      </c>
      <c r="J824" t="e">
        <f t="shared" si="39"/>
        <v>#N/A</v>
      </c>
      <c r="K824" t="e">
        <f t="shared" si="39"/>
        <v>#N/A</v>
      </c>
      <c r="L824" s="27" t="e">
        <f t="shared" si="40"/>
        <v>#N/A</v>
      </c>
    </row>
    <row r="825" spans="9:12" x14ac:dyDescent="0.25">
      <c r="I825" s="24" t="e">
        <f t="shared" si="41"/>
        <v>#N/A</v>
      </c>
      <c r="J825" t="e">
        <f t="shared" si="39"/>
        <v>#N/A</v>
      </c>
      <c r="K825" t="e">
        <f t="shared" si="39"/>
        <v>#N/A</v>
      </c>
      <c r="L825" s="27" t="e">
        <f t="shared" si="40"/>
        <v>#N/A</v>
      </c>
    </row>
    <row r="826" spans="9:12" x14ac:dyDescent="0.25">
      <c r="I826" s="24" t="e">
        <f t="shared" si="41"/>
        <v>#N/A</v>
      </c>
      <c r="J826" t="e">
        <f t="shared" si="39"/>
        <v>#N/A</v>
      </c>
      <c r="K826" t="e">
        <f t="shared" si="39"/>
        <v>#N/A</v>
      </c>
      <c r="L826" s="27" t="e">
        <f t="shared" si="40"/>
        <v>#N/A</v>
      </c>
    </row>
    <row r="827" spans="9:12" x14ac:dyDescent="0.25">
      <c r="I827" s="24" t="e">
        <f t="shared" si="41"/>
        <v>#N/A</v>
      </c>
      <c r="J827" t="e">
        <f t="shared" si="39"/>
        <v>#N/A</v>
      </c>
      <c r="K827" t="e">
        <f t="shared" si="39"/>
        <v>#N/A</v>
      </c>
      <c r="L827" s="27" t="e">
        <f t="shared" si="40"/>
        <v>#N/A</v>
      </c>
    </row>
    <row r="828" spans="9:12" x14ac:dyDescent="0.25">
      <c r="I828" s="24" t="e">
        <f t="shared" si="41"/>
        <v>#N/A</v>
      </c>
      <c r="J828" t="e">
        <f t="shared" si="39"/>
        <v>#N/A</v>
      </c>
      <c r="K828" t="e">
        <f t="shared" si="39"/>
        <v>#N/A</v>
      </c>
      <c r="L828" s="27" t="e">
        <f t="shared" si="40"/>
        <v>#N/A</v>
      </c>
    </row>
    <row r="829" spans="9:12" x14ac:dyDescent="0.25">
      <c r="I829" s="24" t="e">
        <f t="shared" si="41"/>
        <v>#N/A</v>
      </c>
      <c r="J829" t="e">
        <f t="shared" si="39"/>
        <v>#N/A</v>
      </c>
      <c r="K829" t="e">
        <f t="shared" si="39"/>
        <v>#N/A</v>
      </c>
      <c r="L829" s="27" t="e">
        <f t="shared" si="40"/>
        <v>#N/A</v>
      </c>
    </row>
    <row r="830" spans="9:12" x14ac:dyDescent="0.25">
      <c r="I830" s="24" t="e">
        <f t="shared" si="41"/>
        <v>#N/A</v>
      </c>
      <c r="J830" t="e">
        <f t="shared" si="39"/>
        <v>#N/A</v>
      </c>
      <c r="K830" t="e">
        <f t="shared" si="39"/>
        <v>#N/A</v>
      </c>
      <c r="L830" s="27" t="e">
        <f t="shared" si="40"/>
        <v>#N/A</v>
      </c>
    </row>
    <row r="831" spans="9:12" x14ac:dyDescent="0.25">
      <c r="I831" s="24" t="e">
        <f t="shared" si="41"/>
        <v>#N/A</v>
      </c>
      <c r="J831" t="e">
        <f t="shared" si="39"/>
        <v>#N/A</v>
      </c>
      <c r="K831" t="e">
        <f t="shared" si="39"/>
        <v>#N/A</v>
      </c>
      <c r="L831" s="27" t="e">
        <f t="shared" si="40"/>
        <v>#N/A</v>
      </c>
    </row>
    <row r="832" spans="9:12" x14ac:dyDescent="0.25">
      <c r="I832" s="24" t="e">
        <f t="shared" si="41"/>
        <v>#N/A</v>
      </c>
      <c r="J832" t="e">
        <f t="shared" si="39"/>
        <v>#N/A</v>
      </c>
      <c r="K832" t="e">
        <f t="shared" si="39"/>
        <v>#N/A</v>
      </c>
      <c r="L832" s="27" t="e">
        <f t="shared" si="40"/>
        <v>#N/A</v>
      </c>
    </row>
    <row r="833" spans="9:12" x14ac:dyDescent="0.25">
      <c r="I833" s="24" t="e">
        <f t="shared" si="41"/>
        <v>#N/A</v>
      </c>
      <c r="J833" t="e">
        <f t="shared" si="39"/>
        <v>#N/A</v>
      </c>
      <c r="K833" t="e">
        <f t="shared" si="39"/>
        <v>#N/A</v>
      </c>
      <c r="L833" s="27" t="e">
        <f t="shared" si="40"/>
        <v>#N/A</v>
      </c>
    </row>
    <row r="834" spans="9:12" x14ac:dyDescent="0.25">
      <c r="I834" s="24" t="e">
        <f t="shared" si="41"/>
        <v>#N/A</v>
      </c>
      <c r="J834" t="e">
        <f t="shared" ref="J834:K897" si="42">D$29*($I834/1000)+D$18*(($I834/1000)-($D$8/1000))*(($I834/1000)&gt;($D$8/1000))+D$19*(($I834/1000)-($D$9/1000))*(($I834/1000)&gt;($D$9/1000))+D$20*(($I834/1000)-($D$10/1000))*(($I834/1000)&gt;($D$10/1000))+D$21*(($I834/1000)-($D$11/1000))*(($I834/1000)&gt;($D$11/1000))</f>
        <v>#N/A</v>
      </c>
      <c r="K834" t="e">
        <f t="shared" si="42"/>
        <v>#N/A</v>
      </c>
      <c r="L834" s="27" t="e">
        <f t="shared" ref="L834:L897" si="43">SQRT((J834^2)+(K834^2))</f>
        <v>#N/A</v>
      </c>
    </row>
    <row r="835" spans="9:12" x14ac:dyDescent="0.25">
      <c r="I835" s="24" t="e">
        <f t="shared" ref="I835:I898" si="44">IF((ROW(A833)*$F$2)&lt;=$D$5, ROW(A833)*$F$2,NA())</f>
        <v>#N/A</v>
      </c>
      <c r="J835" t="e">
        <f t="shared" si="42"/>
        <v>#N/A</v>
      </c>
      <c r="K835" t="e">
        <f t="shared" si="42"/>
        <v>#N/A</v>
      </c>
      <c r="L835" s="27" t="e">
        <f t="shared" si="43"/>
        <v>#N/A</v>
      </c>
    </row>
    <row r="836" spans="9:12" x14ac:dyDescent="0.25">
      <c r="I836" s="24" t="e">
        <f t="shared" si="44"/>
        <v>#N/A</v>
      </c>
      <c r="J836" t="e">
        <f t="shared" si="42"/>
        <v>#N/A</v>
      </c>
      <c r="K836" t="e">
        <f t="shared" si="42"/>
        <v>#N/A</v>
      </c>
      <c r="L836" s="27" t="e">
        <f t="shared" si="43"/>
        <v>#N/A</v>
      </c>
    </row>
    <row r="837" spans="9:12" x14ac:dyDescent="0.25">
      <c r="I837" s="24" t="e">
        <f t="shared" si="44"/>
        <v>#N/A</v>
      </c>
      <c r="J837" t="e">
        <f t="shared" si="42"/>
        <v>#N/A</v>
      </c>
      <c r="K837" t="e">
        <f t="shared" si="42"/>
        <v>#N/A</v>
      </c>
      <c r="L837" s="27" t="e">
        <f t="shared" si="43"/>
        <v>#N/A</v>
      </c>
    </row>
    <row r="838" spans="9:12" x14ac:dyDescent="0.25">
      <c r="I838" s="24" t="e">
        <f t="shared" si="44"/>
        <v>#N/A</v>
      </c>
      <c r="J838" t="e">
        <f t="shared" si="42"/>
        <v>#N/A</v>
      </c>
      <c r="K838" t="e">
        <f t="shared" si="42"/>
        <v>#N/A</v>
      </c>
      <c r="L838" s="27" t="e">
        <f t="shared" si="43"/>
        <v>#N/A</v>
      </c>
    </row>
    <row r="839" spans="9:12" x14ac:dyDescent="0.25">
      <c r="I839" s="24" t="e">
        <f t="shared" si="44"/>
        <v>#N/A</v>
      </c>
      <c r="J839" t="e">
        <f t="shared" si="42"/>
        <v>#N/A</v>
      </c>
      <c r="K839" t="e">
        <f t="shared" si="42"/>
        <v>#N/A</v>
      </c>
      <c r="L839" s="27" t="e">
        <f t="shared" si="43"/>
        <v>#N/A</v>
      </c>
    </row>
    <row r="840" spans="9:12" x14ac:dyDescent="0.25">
      <c r="I840" s="24" t="e">
        <f t="shared" si="44"/>
        <v>#N/A</v>
      </c>
      <c r="J840" t="e">
        <f t="shared" si="42"/>
        <v>#N/A</v>
      </c>
      <c r="K840" t="e">
        <f t="shared" si="42"/>
        <v>#N/A</v>
      </c>
      <c r="L840" s="27" t="e">
        <f t="shared" si="43"/>
        <v>#N/A</v>
      </c>
    </row>
    <row r="841" spans="9:12" x14ac:dyDescent="0.25">
      <c r="I841" s="24" t="e">
        <f t="shared" si="44"/>
        <v>#N/A</v>
      </c>
      <c r="J841" t="e">
        <f t="shared" si="42"/>
        <v>#N/A</v>
      </c>
      <c r="K841" t="e">
        <f t="shared" si="42"/>
        <v>#N/A</v>
      </c>
      <c r="L841" s="27" t="e">
        <f t="shared" si="43"/>
        <v>#N/A</v>
      </c>
    </row>
    <row r="842" spans="9:12" x14ac:dyDescent="0.25">
      <c r="I842" s="24" t="e">
        <f t="shared" si="44"/>
        <v>#N/A</v>
      </c>
      <c r="J842" t="e">
        <f t="shared" si="42"/>
        <v>#N/A</v>
      </c>
      <c r="K842" t="e">
        <f t="shared" si="42"/>
        <v>#N/A</v>
      </c>
      <c r="L842" s="27" t="e">
        <f t="shared" si="43"/>
        <v>#N/A</v>
      </c>
    </row>
    <row r="843" spans="9:12" x14ac:dyDescent="0.25">
      <c r="I843" s="24" t="e">
        <f t="shared" si="44"/>
        <v>#N/A</v>
      </c>
      <c r="J843" t="e">
        <f t="shared" si="42"/>
        <v>#N/A</v>
      </c>
      <c r="K843" t="e">
        <f t="shared" si="42"/>
        <v>#N/A</v>
      </c>
      <c r="L843" s="27" t="e">
        <f t="shared" si="43"/>
        <v>#N/A</v>
      </c>
    </row>
    <row r="844" spans="9:12" x14ac:dyDescent="0.25">
      <c r="I844" s="24" t="e">
        <f t="shared" si="44"/>
        <v>#N/A</v>
      </c>
      <c r="J844" t="e">
        <f t="shared" si="42"/>
        <v>#N/A</v>
      </c>
      <c r="K844" t="e">
        <f t="shared" si="42"/>
        <v>#N/A</v>
      </c>
      <c r="L844" s="27" t="e">
        <f t="shared" si="43"/>
        <v>#N/A</v>
      </c>
    </row>
    <row r="845" spans="9:12" x14ac:dyDescent="0.25">
      <c r="I845" s="24" t="e">
        <f t="shared" si="44"/>
        <v>#N/A</v>
      </c>
      <c r="J845" t="e">
        <f t="shared" si="42"/>
        <v>#N/A</v>
      </c>
      <c r="K845" t="e">
        <f t="shared" si="42"/>
        <v>#N/A</v>
      </c>
      <c r="L845" s="27" t="e">
        <f t="shared" si="43"/>
        <v>#N/A</v>
      </c>
    </row>
    <row r="846" spans="9:12" x14ac:dyDescent="0.25">
      <c r="I846" s="24" t="e">
        <f t="shared" si="44"/>
        <v>#N/A</v>
      </c>
      <c r="J846" t="e">
        <f t="shared" si="42"/>
        <v>#N/A</v>
      </c>
      <c r="K846" t="e">
        <f t="shared" si="42"/>
        <v>#N/A</v>
      </c>
      <c r="L846" s="27" t="e">
        <f t="shared" si="43"/>
        <v>#N/A</v>
      </c>
    </row>
    <row r="847" spans="9:12" x14ac:dyDescent="0.25">
      <c r="I847" s="24" t="e">
        <f t="shared" si="44"/>
        <v>#N/A</v>
      </c>
      <c r="J847" t="e">
        <f t="shared" si="42"/>
        <v>#N/A</v>
      </c>
      <c r="K847" t="e">
        <f t="shared" si="42"/>
        <v>#N/A</v>
      </c>
      <c r="L847" s="27" t="e">
        <f t="shared" si="43"/>
        <v>#N/A</v>
      </c>
    </row>
    <row r="848" spans="9:12" x14ac:dyDescent="0.25">
      <c r="I848" s="24" t="e">
        <f t="shared" si="44"/>
        <v>#N/A</v>
      </c>
      <c r="J848" t="e">
        <f t="shared" si="42"/>
        <v>#N/A</v>
      </c>
      <c r="K848" t="e">
        <f t="shared" si="42"/>
        <v>#N/A</v>
      </c>
      <c r="L848" s="27" t="e">
        <f t="shared" si="43"/>
        <v>#N/A</v>
      </c>
    </row>
    <row r="849" spans="9:12" x14ac:dyDescent="0.25">
      <c r="I849" s="24" t="e">
        <f t="shared" si="44"/>
        <v>#N/A</v>
      </c>
      <c r="J849" t="e">
        <f t="shared" si="42"/>
        <v>#N/A</v>
      </c>
      <c r="K849" t="e">
        <f t="shared" si="42"/>
        <v>#N/A</v>
      </c>
      <c r="L849" s="27" t="e">
        <f t="shared" si="43"/>
        <v>#N/A</v>
      </c>
    </row>
    <row r="850" spans="9:12" x14ac:dyDescent="0.25">
      <c r="I850" s="24" t="e">
        <f t="shared" si="44"/>
        <v>#N/A</v>
      </c>
      <c r="J850" t="e">
        <f t="shared" si="42"/>
        <v>#N/A</v>
      </c>
      <c r="K850" t="e">
        <f t="shared" si="42"/>
        <v>#N/A</v>
      </c>
      <c r="L850" s="27" t="e">
        <f t="shared" si="43"/>
        <v>#N/A</v>
      </c>
    </row>
    <row r="851" spans="9:12" x14ac:dyDescent="0.25">
      <c r="I851" s="24" t="e">
        <f t="shared" si="44"/>
        <v>#N/A</v>
      </c>
      <c r="J851" t="e">
        <f t="shared" si="42"/>
        <v>#N/A</v>
      </c>
      <c r="K851" t="e">
        <f t="shared" si="42"/>
        <v>#N/A</v>
      </c>
      <c r="L851" s="27" t="e">
        <f t="shared" si="43"/>
        <v>#N/A</v>
      </c>
    </row>
    <row r="852" spans="9:12" x14ac:dyDescent="0.25">
      <c r="I852" s="24" t="e">
        <f t="shared" si="44"/>
        <v>#N/A</v>
      </c>
      <c r="J852" t="e">
        <f t="shared" si="42"/>
        <v>#N/A</v>
      </c>
      <c r="K852" t="e">
        <f t="shared" si="42"/>
        <v>#N/A</v>
      </c>
      <c r="L852" s="27" t="e">
        <f t="shared" si="43"/>
        <v>#N/A</v>
      </c>
    </row>
    <row r="853" spans="9:12" x14ac:dyDescent="0.25">
      <c r="I853" s="24" t="e">
        <f t="shared" si="44"/>
        <v>#N/A</v>
      </c>
      <c r="J853" t="e">
        <f t="shared" si="42"/>
        <v>#N/A</v>
      </c>
      <c r="K853" t="e">
        <f t="shared" si="42"/>
        <v>#N/A</v>
      </c>
      <c r="L853" s="27" t="e">
        <f t="shared" si="43"/>
        <v>#N/A</v>
      </c>
    </row>
    <row r="854" spans="9:12" x14ac:dyDescent="0.25">
      <c r="I854" s="24" t="e">
        <f t="shared" si="44"/>
        <v>#N/A</v>
      </c>
      <c r="J854" t="e">
        <f t="shared" si="42"/>
        <v>#N/A</v>
      </c>
      <c r="K854" t="e">
        <f t="shared" si="42"/>
        <v>#N/A</v>
      </c>
      <c r="L854" s="27" t="e">
        <f t="shared" si="43"/>
        <v>#N/A</v>
      </c>
    </row>
    <row r="855" spans="9:12" x14ac:dyDescent="0.25">
      <c r="I855" s="24" t="e">
        <f t="shared" si="44"/>
        <v>#N/A</v>
      </c>
      <c r="J855" t="e">
        <f t="shared" si="42"/>
        <v>#N/A</v>
      </c>
      <c r="K855" t="e">
        <f t="shared" si="42"/>
        <v>#N/A</v>
      </c>
      <c r="L855" s="27" t="e">
        <f t="shared" si="43"/>
        <v>#N/A</v>
      </c>
    </row>
    <row r="856" spans="9:12" x14ac:dyDescent="0.25">
      <c r="I856" s="24" t="e">
        <f t="shared" si="44"/>
        <v>#N/A</v>
      </c>
      <c r="J856" t="e">
        <f t="shared" si="42"/>
        <v>#N/A</v>
      </c>
      <c r="K856" t="e">
        <f t="shared" si="42"/>
        <v>#N/A</v>
      </c>
      <c r="L856" s="27" t="e">
        <f t="shared" si="43"/>
        <v>#N/A</v>
      </c>
    </row>
    <row r="857" spans="9:12" x14ac:dyDescent="0.25">
      <c r="I857" s="24" t="e">
        <f t="shared" si="44"/>
        <v>#N/A</v>
      </c>
      <c r="J857" t="e">
        <f t="shared" si="42"/>
        <v>#N/A</v>
      </c>
      <c r="K857" t="e">
        <f t="shared" si="42"/>
        <v>#N/A</v>
      </c>
      <c r="L857" s="27" t="e">
        <f t="shared" si="43"/>
        <v>#N/A</v>
      </c>
    </row>
    <row r="858" spans="9:12" x14ac:dyDescent="0.25">
      <c r="I858" s="24" t="e">
        <f t="shared" si="44"/>
        <v>#N/A</v>
      </c>
      <c r="J858" t="e">
        <f t="shared" si="42"/>
        <v>#N/A</v>
      </c>
      <c r="K858" t="e">
        <f t="shared" si="42"/>
        <v>#N/A</v>
      </c>
      <c r="L858" s="27" t="e">
        <f t="shared" si="43"/>
        <v>#N/A</v>
      </c>
    </row>
    <row r="859" spans="9:12" x14ac:dyDescent="0.25">
      <c r="I859" s="24" t="e">
        <f t="shared" si="44"/>
        <v>#N/A</v>
      </c>
      <c r="J859" t="e">
        <f t="shared" si="42"/>
        <v>#N/A</v>
      </c>
      <c r="K859" t="e">
        <f t="shared" si="42"/>
        <v>#N/A</v>
      </c>
      <c r="L859" s="27" t="e">
        <f t="shared" si="43"/>
        <v>#N/A</v>
      </c>
    </row>
    <row r="860" spans="9:12" x14ac:dyDescent="0.25">
      <c r="I860" s="24" t="e">
        <f t="shared" si="44"/>
        <v>#N/A</v>
      </c>
      <c r="J860" t="e">
        <f t="shared" si="42"/>
        <v>#N/A</v>
      </c>
      <c r="K860" t="e">
        <f t="shared" si="42"/>
        <v>#N/A</v>
      </c>
      <c r="L860" s="27" t="e">
        <f t="shared" si="43"/>
        <v>#N/A</v>
      </c>
    </row>
    <row r="861" spans="9:12" x14ac:dyDescent="0.25">
      <c r="I861" s="24" t="e">
        <f t="shared" si="44"/>
        <v>#N/A</v>
      </c>
      <c r="J861" t="e">
        <f t="shared" si="42"/>
        <v>#N/A</v>
      </c>
      <c r="K861" t="e">
        <f t="shared" si="42"/>
        <v>#N/A</v>
      </c>
      <c r="L861" s="27" t="e">
        <f t="shared" si="43"/>
        <v>#N/A</v>
      </c>
    </row>
    <row r="862" spans="9:12" x14ac:dyDescent="0.25">
      <c r="I862" s="24" t="e">
        <f t="shared" si="44"/>
        <v>#N/A</v>
      </c>
      <c r="J862" t="e">
        <f t="shared" si="42"/>
        <v>#N/A</v>
      </c>
      <c r="K862" t="e">
        <f t="shared" si="42"/>
        <v>#N/A</v>
      </c>
      <c r="L862" s="27" t="e">
        <f t="shared" si="43"/>
        <v>#N/A</v>
      </c>
    </row>
    <row r="863" spans="9:12" x14ac:dyDescent="0.25">
      <c r="I863" s="24" t="e">
        <f t="shared" si="44"/>
        <v>#N/A</v>
      </c>
      <c r="J863" t="e">
        <f t="shared" si="42"/>
        <v>#N/A</v>
      </c>
      <c r="K863" t="e">
        <f t="shared" si="42"/>
        <v>#N/A</v>
      </c>
      <c r="L863" s="27" t="e">
        <f t="shared" si="43"/>
        <v>#N/A</v>
      </c>
    </row>
    <row r="864" spans="9:12" x14ac:dyDescent="0.25">
      <c r="I864" s="24" t="e">
        <f t="shared" si="44"/>
        <v>#N/A</v>
      </c>
      <c r="J864" t="e">
        <f t="shared" si="42"/>
        <v>#N/A</v>
      </c>
      <c r="K864" t="e">
        <f t="shared" si="42"/>
        <v>#N/A</v>
      </c>
      <c r="L864" s="27" t="e">
        <f t="shared" si="43"/>
        <v>#N/A</v>
      </c>
    </row>
    <row r="865" spans="9:12" x14ac:dyDescent="0.25">
      <c r="I865" s="24" t="e">
        <f t="shared" si="44"/>
        <v>#N/A</v>
      </c>
      <c r="J865" t="e">
        <f t="shared" si="42"/>
        <v>#N/A</v>
      </c>
      <c r="K865" t="e">
        <f t="shared" si="42"/>
        <v>#N/A</v>
      </c>
      <c r="L865" s="27" t="e">
        <f t="shared" si="43"/>
        <v>#N/A</v>
      </c>
    </row>
    <row r="866" spans="9:12" x14ac:dyDescent="0.25">
      <c r="I866" s="24" t="e">
        <f t="shared" si="44"/>
        <v>#N/A</v>
      </c>
      <c r="J866" t="e">
        <f t="shared" si="42"/>
        <v>#N/A</v>
      </c>
      <c r="K866" t="e">
        <f t="shared" si="42"/>
        <v>#N/A</v>
      </c>
      <c r="L866" s="27" t="e">
        <f t="shared" si="43"/>
        <v>#N/A</v>
      </c>
    </row>
    <row r="867" spans="9:12" x14ac:dyDescent="0.25">
      <c r="I867" s="24" t="e">
        <f t="shared" si="44"/>
        <v>#N/A</v>
      </c>
      <c r="J867" t="e">
        <f t="shared" si="42"/>
        <v>#N/A</v>
      </c>
      <c r="K867" t="e">
        <f t="shared" si="42"/>
        <v>#N/A</v>
      </c>
      <c r="L867" s="27" t="e">
        <f t="shared" si="43"/>
        <v>#N/A</v>
      </c>
    </row>
    <row r="868" spans="9:12" x14ac:dyDescent="0.25">
      <c r="I868" s="24" t="e">
        <f t="shared" si="44"/>
        <v>#N/A</v>
      </c>
      <c r="J868" t="e">
        <f t="shared" si="42"/>
        <v>#N/A</v>
      </c>
      <c r="K868" t="e">
        <f t="shared" si="42"/>
        <v>#N/A</v>
      </c>
      <c r="L868" s="27" t="e">
        <f t="shared" si="43"/>
        <v>#N/A</v>
      </c>
    </row>
    <row r="869" spans="9:12" x14ac:dyDescent="0.25">
      <c r="I869" s="24" t="e">
        <f t="shared" si="44"/>
        <v>#N/A</v>
      </c>
      <c r="J869" t="e">
        <f t="shared" si="42"/>
        <v>#N/A</v>
      </c>
      <c r="K869" t="e">
        <f t="shared" si="42"/>
        <v>#N/A</v>
      </c>
      <c r="L869" s="27" t="e">
        <f t="shared" si="43"/>
        <v>#N/A</v>
      </c>
    </row>
    <row r="870" spans="9:12" x14ac:dyDescent="0.25">
      <c r="I870" s="24" t="e">
        <f t="shared" si="44"/>
        <v>#N/A</v>
      </c>
      <c r="J870" t="e">
        <f t="shared" si="42"/>
        <v>#N/A</v>
      </c>
      <c r="K870" t="e">
        <f t="shared" si="42"/>
        <v>#N/A</v>
      </c>
      <c r="L870" s="27" t="e">
        <f t="shared" si="43"/>
        <v>#N/A</v>
      </c>
    </row>
    <row r="871" spans="9:12" x14ac:dyDescent="0.25">
      <c r="I871" s="24" t="e">
        <f t="shared" si="44"/>
        <v>#N/A</v>
      </c>
      <c r="J871" t="e">
        <f t="shared" si="42"/>
        <v>#N/A</v>
      </c>
      <c r="K871" t="e">
        <f t="shared" si="42"/>
        <v>#N/A</v>
      </c>
      <c r="L871" s="27" t="e">
        <f t="shared" si="43"/>
        <v>#N/A</v>
      </c>
    </row>
    <row r="872" spans="9:12" x14ac:dyDescent="0.25">
      <c r="I872" s="24" t="e">
        <f t="shared" si="44"/>
        <v>#N/A</v>
      </c>
      <c r="J872" t="e">
        <f t="shared" si="42"/>
        <v>#N/A</v>
      </c>
      <c r="K872" t="e">
        <f t="shared" si="42"/>
        <v>#N/A</v>
      </c>
      <c r="L872" s="27" t="e">
        <f t="shared" si="43"/>
        <v>#N/A</v>
      </c>
    </row>
    <row r="873" spans="9:12" x14ac:dyDescent="0.25">
      <c r="I873" s="24" t="e">
        <f t="shared" si="44"/>
        <v>#N/A</v>
      </c>
      <c r="J873" t="e">
        <f t="shared" si="42"/>
        <v>#N/A</v>
      </c>
      <c r="K873" t="e">
        <f t="shared" si="42"/>
        <v>#N/A</v>
      </c>
      <c r="L873" s="27" t="e">
        <f t="shared" si="43"/>
        <v>#N/A</v>
      </c>
    </row>
    <row r="874" spans="9:12" x14ac:dyDescent="0.25">
      <c r="I874" s="24" t="e">
        <f t="shared" si="44"/>
        <v>#N/A</v>
      </c>
      <c r="J874" t="e">
        <f t="shared" si="42"/>
        <v>#N/A</v>
      </c>
      <c r="K874" t="e">
        <f t="shared" si="42"/>
        <v>#N/A</v>
      </c>
      <c r="L874" s="27" t="e">
        <f t="shared" si="43"/>
        <v>#N/A</v>
      </c>
    </row>
    <row r="875" spans="9:12" x14ac:dyDescent="0.25">
      <c r="I875" s="24" t="e">
        <f t="shared" si="44"/>
        <v>#N/A</v>
      </c>
      <c r="J875" t="e">
        <f t="shared" si="42"/>
        <v>#N/A</v>
      </c>
      <c r="K875" t="e">
        <f t="shared" si="42"/>
        <v>#N/A</v>
      </c>
      <c r="L875" s="27" t="e">
        <f t="shared" si="43"/>
        <v>#N/A</v>
      </c>
    </row>
    <row r="876" spans="9:12" x14ac:dyDescent="0.25">
      <c r="I876" s="24" t="e">
        <f t="shared" si="44"/>
        <v>#N/A</v>
      </c>
      <c r="J876" t="e">
        <f t="shared" si="42"/>
        <v>#N/A</v>
      </c>
      <c r="K876" t="e">
        <f t="shared" si="42"/>
        <v>#N/A</v>
      </c>
      <c r="L876" s="27" t="e">
        <f t="shared" si="43"/>
        <v>#N/A</v>
      </c>
    </row>
    <row r="877" spans="9:12" x14ac:dyDescent="0.25">
      <c r="I877" s="24" t="e">
        <f t="shared" si="44"/>
        <v>#N/A</v>
      </c>
      <c r="J877" t="e">
        <f t="shared" si="42"/>
        <v>#N/A</v>
      </c>
      <c r="K877" t="e">
        <f t="shared" si="42"/>
        <v>#N/A</v>
      </c>
      <c r="L877" s="27" t="e">
        <f t="shared" si="43"/>
        <v>#N/A</v>
      </c>
    </row>
    <row r="878" spans="9:12" x14ac:dyDescent="0.25">
      <c r="I878" s="24" t="e">
        <f t="shared" si="44"/>
        <v>#N/A</v>
      </c>
      <c r="J878" t="e">
        <f t="shared" si="42"/>
        <v>#N/A</v>
      </c>
      <c r="K878" t="e">
        <f t="shared" si="42"/>
        <v>#N/A</v>
      </c>
      <c r="L878" s="27" t="e">
        <f t="shared" si="43"/>
        <v>#N/A</v>
      </c>
    </row>
    <row r="879" spans="9:12" x14ac:dyDescent="0.25">
      <c r="I879" s="24" t="e">
        <f t="shared" si="44"/>
        <v>#N/A</v>
      </c>
      <c r="J879" t="e">
        <f t="shared" si="42"/>
        <v>#N/A</v>
      </c>
      <c r="K879" t="e">
        <f t="shared" si="42"/>
        <v>#N/A</v>
      </c>
      <c r="L879" s="27" t="e">
        <f t="shared" si="43"/>
        <v>#N/A</v>
      </c>
    </row>
    <row r="880" spans="9:12" x14ac:dyDescent="0.25">
      <c r="I880" s="24" t="e">
        <f t="shared" si="44"/>
        <v>#N/A</v>
      </c>
      <c r="J880" t="e">
        <f t="shared" si="42"/>
        <v>#N/A</v>
      </c>
      <c r="K880" t="e">
        <f t="shared" si="42"/>
        <v>#N/A</v>
      </c>
      <c r="L880" s="27" t="e">
        <f t="shared" si="43"/>
        <v>#N/A</v>
      </c>
    </row>
    <row r="881" spans="9:12" x14ac:dyDescent="0.25">
      <c r="I881" s="24" t="e">
        <f t="shared" si="44"/>
        <v>#N/A</v>
      </c>
      <c r="J881" t="e">
        <f t="shared" si="42"/>
        <v>#N/A</v>
      </c>
      <c r="K881" t="e">
        <f t="shared" si="42"/>
        <v>#N/A</v>
      </c>
      <c r="L881" s="27" t="e">
        <f t="shared" si="43"/>
        <v>#N/A</v>
      </c>
    </row>
    <row r="882" spans="9:12" x14ac:dyDescent="0.25">
      <c r="I882" s="24" t="e">
        <f t="shared" si="44"/>
        <v>#N/A</v>
      </c>
      <c r="J882" t="e">
        <f t="shared" si="42"/>
        <v>#N/A</v>
      </c>
      <c r="K882" t="e">
        <f t="shared" si="42"/>
        <v>#N/A</v>
      </c>
      <c r="L882" s="27" t="e">
        <f t="shared" si="43"/>
        <v>#N/A</v>
      </c>
    </row>
    <row r="883" spans="9:12" x14ac:dyDescent="0.25">
      <c r="I883" s="24" t="e">
        <f t="shared" si="44"/>
        <v>#N/A</v>
      </c>
      <c r="J883" t="e">
        <f t="shared" si="42"/>
        <v>#N/A</v>
      </c>
      <c r="K883" t="e">
        <f t="shared" si="42"/>
        <v>#N/A</v>
      </c>
      <c r="L883" s="27" t="e">
        <f t="shared" si="43"/>
        <v>#N/A</v>
      </c>
    </row>
    <row r="884" spans="9:12" x14ac:dyDescent="0.25">
      <c r="I884" s="24" t="e">
        <f t="shared" si="44"/>
        <v>#N/A</v>
      </c>
      <c r="J884" t="e">
        <f t="shared" si="42"/>
        <v>#N/A</v>
      </c>
      <c r="K884" t="e">
        <f t="shared" si="42"/>
        <v>#N/A</v>
      </c>
      <c r="L884" s="27" t="e">
        <f t="shared" si="43"/>
        <v>#N/A</v>
      </c>
    </row>
    <row r="885" spans="9:12" x14ac:dyDescent="0.25">
      <c r="I885" s="24" t="e">
        <f t="shared" si="44"/>
        <v>#N/A</v>
      </c>
      <c r="J885" t="e">
        <f t="shared" si="42"/>
        <v>#N/A</v>
      </c>
      <c r="K885" t="e">
        <f t="shared" si="42"/>
        <v>#N/A</v>
      </c>
      <c r="L885" s="27" t="e">
        <f t="shared" si="43"/>
        <v>#N/A</v>
      </c>
    </row>
    <row r="886" spans="9:12" x14ac:dyDescent="0.25">
      <c r="I886" s="24" t="e">
        <f t="shared" si="44"/>
        <v>#N/A</v>
      </c>
      <c r="J886" t="e">
        <f t="shared" si="42"/>
        <v>#N/A</v>
      </c>
      <c r="K886" t="e">
        <f t="shared" si="42"/>
        <v>#N/A</v>
      </c>
      <c r="L886" s="27" t="e">
        <f t="shared" si="43"/>
        <v>#N/A</v>
      </c>
    </row>
    <row r="887" spans="9:12" x14ac:dyDescent="0.25">
      <c r="I887" s="24" t="e">
        <f t="shared" si="44"/>
        <v>#N/A</v>
      </c>
      <c r="J887" t="e">
        <f t="shared" si="42"/>
        <v>#N/A</v>
      </c>
      <c r="K887" t="e">
        <f t="shared" si="42"/>
        <v>#N/A</v>
      </c>
      <c r="L887" s="27" t="e">
        <f t="shared" si="43"/>
        <v>#N/A</v>
      </c>
    </row>
    <row r="888" spans="9:12" x14ac:dyDescent="0.25">
      <c r="I888" s="24" t="e">
        <f t="shared" si="44"/>
        <v>#N/A</v>
      </c>
      <c r="J888" t="e">
        <f t="shared" si="42"/>
        <v>#N/A</v>
      </c>
      <c r="K888" t="e">
        <f t="shared" si="42"/>
        <v>#N/A</v>
      </c>
      <c r="L888" s="27" t="e">
        <f t="shared" si="43"/>
        <v>#N/A</v>
      </c>
    </row>
    <row r="889" spans="9:12" x14ac:dyDescent="0.25">
      <c r="I889" s="24" t="e">
        <f t="shared" si="44"/>
        <v>#N/A</v>
      </c>
      <c r="J889" t="e">
        <f t="shared" si="42"/>
        <v>#N/A</v>
      </c>
      <c r="K889" t="e">
        <f t="shared" si="42"/>
        <v>#N/A</v>
      </c>
      <c r="L889" s="27" t="e">
        <f t="shared" si="43"/>
        <v>#N/A</v>
      </c>
    </row>
    <row r="890" spans="9:12" x14ac:dyDescent="0.25">
      <c r="I890" s="24" t="e">
        <f t="shared" si="44"/>
        <v>#N/A</v>
      </c>
      <c r="J890" t="e">
        <f t="shared" si="42"/>
        <v>#N/A</v>
      </c>
      <c r="K890" t="e">
        <f t="shared" si="42"/>
        <v>#N/A</v>
      </c>
      <c r="L890" s="27" t="e">
        <f t="shared" si="43"/>
        <v>#N/A</v>
      </c>
    </row>
    <row r="891" spans="9:12" x14ac:dyDescent="0.25">
      <c r="I891" s="24" t="e">
        <f t="shared" si="44"/>
        <v>#N/A</v>
      </c>
      <c r="J891" t="e">
        <f t="shared" si="42"/>
        <v>#N/A</v>
      </c>
      <c r="K891" t="e">
        <f t="shared" si="42"/>
        <v>#N/A</v>
      </c>
      <c r="L891" s="27" t="e">
        <f t="shared" si="43"/>
        <v>#N/A</v>
      </c>
    </row>
    <row r="892" spans="9:12" x14ac:dyDescent="0.25">
      <c r="I892" s="24" t="e">
        <f t="shared" si="44"/>
        <v>#N/A</v>
      </c>
      <c r="J892" t="e">
        <f t="shared" si="42"/>
        <v>#N/A</v>
      </c>
      <c r="K892" t="e">
        <f t="shared" si="42"/>
        <v>#N/A</v>
      </c>
      <c r="L892" s="27" t="e">
        <f t="shared" si="43"/>
        <v>#N/A</v>
      </c>
    </row>
    <row r="893" spans="9:12" x14ac:dyDescent="0.25">
      <c r="I893" s="24" t="e">
        <f t="shared" si="44"/>
        <v>#N/A</v>
      </c>
      <c r="J893" t="e">
        <f t="shared" si="42"/>
        <v>#N/A</v>
      </c>
      <c r="K893" t="e">
        <f t="shared" si="42"/>
        <v>#N/A</v>
      </c>
      <c r="L893" s="27" t="e">
        <f t="shared" si="43"/>
        <v>#N/A</v>
      </c>
    </row>
    <row r="894" spans="9:12" x14ac:dyDescent="0.25">
      <c r="I894" s="24" t="e">
        <f t="shared" si="44"/>
        <v>#N/A</v>
      </c>
      <c r="J894" t="e">
        <f t="shared" si="42"/>
        <v>#N/A</v>
      </c>
      <c r="K894" t="e">
        <f t="shared" si="42"/>
        <v>#N/A</v>
      </c>
      <c r="L894" s="27" t="e">
        <f t="shared" si="43"/>
        <v>#N/A</v>
      </c>
    </row>
    <row r="895" spans="9:12" x14ac:dyDescent="0.25">
      <c r="I895" s="24" t="e">
        <f t="shared" si="44"/>
        <v>#N/A</v>
      </c>
      <c r="J895" t="e">
        <f t="shared" si="42"/>
        <v>#N/A</v>
      </c>
      <c r="K895" t="e">
        <f t="shared" si="42"/>
        <v>#N/A</v>
      </c>
      <c r="L895" s="27" t="e">
        <f t="shared" si="43"/>
        <v>#N/A</v>
      </c>
    </row>
    <row r="896" spans="9:12" x14ac:dyDescent="0.25">
      <c r="I896" s="24" t="e">
        <f t="shared" si="44"/>
        <v>#N/A</v>
      </c>
      <c r="J896" t="e">
        <f t="shared" si="42"/>
        <v>#N/A</v>
      </c>
      <c r="K896" t="e">
        <f t="shared" si="42"/>
        <v>#N/A</v>
      </c>
      <c r="L896" s="27" t="e">
        <f t="shared" si="43"/>
        <v>#N/A</v>
      </c>
    </row>
    <row r="897" spans="9:12" x14ac:dyDescent="0.25">
      <c r="I897" s="24" t="e">
        <f t="shared" si="44"/>
        <v>#N/A</v>
      </c>
      <c r="J897" t="e">
        <f t="shared" si="42"/>
        <v>#N/A</v>
      </c>
      <c r="K897" t="e">
        <f t="shared" si="42"/>
        <v>#N/A</v>
      </c>
      <c r="L897" s="27" t="e">
        <f t="shared" si="43"/>
        <v>#N/A</v>
      </c>
    </row>
    <row r="898" spans="9:12" x14ac:dyDescent="0.25">
      <c r="I898" s="24" t="e">
        <f t="shared" si="44"/>
        <v>#N/A</v>
      </c>
      <c r="J898" t="e">
        <f t="shared" ref="J898:K961" si="45">D$29*($I898/1000)+D$18*(($I898/1000)-($D$8/1000))*(($I898/1000)&gt;($D$8/1000))+D$19*(($I898/1000)-($D$9/1000))*(($I898/1000)&gt;($D$9/1000))+D$20*(($I898/1000)-($D$10/1000))*(($I898/1000)&gt;($D$10/1000))+D$21*(($I898/1000)-($D$11/1000))*(($I898/1000)&gt;($D$11/1000))</f>
        <v>#N/A</v>
      </c>
      <c r="K898" t="e">
        <f t="shared" si="45"/>
        <v>#N/A</v>
      </c>
      <c r="L898" s="27" t="e">
        <f t="shared" ref="L898:L961" si="46">SQRT((J898^2)+(K898^2))</f>
        <v>#N/A</v>
      </c>
    </row>
    <row r="899" spans="9:12" x14ac:dyDescent="0.25">
      <c r="I899" s="24" t="e">
        <f t="shared" ref="I899:I962" si="47">IF((ROW(A897)*$F$2)&lt;=$D$5, ROW(A897)*$F$2,NA())</f>
        <v>#N/A</v>
      </c>
      <c r="J899" t="e">
        <f t="shared" si="45"/>
        <v>#N/A</v>
      </c>
      <c r="K899" t="e">
        <f t="shared" si="45"/>
        <v>#N/A</v>
      </c>
      <c r="L899" s="27" t="e">
        <f t="shared" si="46"/>
        <v>#N/A</v>
      </c>
    </row>
    <row r="900" spans="9:12" x14ac:dyDescent="0.25">
      <c r="I900" s="24" t="e">
        <f t="shared" si="47"/>
        <v>#N/A</v>
      </c>
      <c r="J900" t="e">
        <f t="shared" si="45"/>
        <v>#N/A</v>
      </c>
      <c r="K900" t="e">
        <f t="shared" si="45"/>
        <v>#N/A</v>
      </c>
      <c r="L900" s="27" t="e">
        <f t="shared" si="46"/>
        <v>#N/A</v>
      </c>
    </row>
    <row r="901" spans="9:12" x14ac:dyDescent="0.25">
      <c r="I901" s="24" t="e">
        <f t="shared" si="47"/>
        <v>#N/A</v>
      </c>
      <c r="J901" t="e">
        <f t="shared" si="45"/>
        <v>#N/A</v>
      </c>
      <c r="K901" t="e">
        <f t="shared" si="45"/>
        <v>#N/A</v>
      </c>
      <c r="L901" s="27" t="e">
        <f t="shared" si="46"/>
        <v>#N/A</v>
      </c>
    </row>
    <row r="902" spans="9:12" x14ac:dyDescent="0.25">
      <c r="I902" s="24" t="e">
        <f t="shared" si="47"/>
        <v>#N/A</v>
      </c>
      <c r="J902" t="e">
        <f t="shared" si="45"/>
        <v>#N/A</v>
      </c>
      <c r="K902" t="e">
        <f t="shared" si="45"/>
        <v>#N/A</v>
      </c>
      <c r="L902" s="27" t="e">
        <f t="shared" si="46"/>
        <v>#N/A</v>
      </c>
    </row>
    <row r="903" spans="9:12" x14ac:dyDescent="0.25">
      <c r="I903" s="24" t="e">
        <f t="shared" si="47"/>
        <v>#N/A</v>
      </c>
      <c r="J903" t="e">
        <f t="shared" si="45"/>
        <v>#N/A</v>
      </c>
      <c r="K903" t="e">
        <f t="shared" si="45"/>
        <v>#N/A</v>
      </c>
      <c r="L903" s="27" t="e">
        <f t="shared" si="46"/>
        <v>#N/A</v>
      </c>
    </row>
    <row r="904" spans="9:12" x14ac:dyDescent="0.25">
      <c r="I904" s="24" t="e">
        <f t="shared" si="47"/>
        <v>#N/A</v>
      </c>
      <c r="J904" t="e">
        <f t="shared" si="45"/>
        <v>#N/A</v>
      </c>
      <c r="K904" t="e">
        <f t="shared" si="45"/>
        <v>#N/A</v>
      </c>
      <c r="L904" s="27" t="e">
        <f t="shared" si="46"/>
        <v>#N/A</v>
      </c>
    </row>
    <row r="905" spans="9:12" x14ac:dyDescent="0.25">
      <c r="I905" s="24" t="e">
        <f t="shared" si="47"/>
        <v>#N/A</v>
      </c>
      <c r="J905" t="e">
        <f t="shared" si="45"/>
        <v>#N/A</v>
      </c>
      <c r="K905" t="e">
        <f t="shared" si="45"/>
        <v>#N/A</v>
      </c>
      <c r="L905" s="27" t="e">
        <f t="shared" si="46"/>
        <v>#N/A</v>
      </c>
    </row>
    <row r="906" spans="9:12" x14ac:dyDescent="0.25">
      <c r="I906" s="24" t="e">
        <f t="shared" si="47"/>
        <v>#N/A</v>
      </c>
      <c r="J906" t="e">
        <f t="shared" si="45"/>
        <v>#N/A</v>
      </c>
      <c r="K906" t="e">
        <f t="shared" si="45"/>
        <v>#N/A</v>
      </c>
      <c r="L906" s="27" t="e">
        <f t="shared" si="46"/>
        <v>#N/A</v>
      </c>
    </row>
    <row r="907" spans="9:12" x14ac:dyDescent="0.25">
      <c r="I907" s="24" t="e">
        <f t="shared" si="47"/>
        <v>#N/A</v>
      </c>
      <c r="J907" t="e">
        <f t="shared" si="45"/>
        <v>#N/A</v>
      </c>
      <c r="K907" t="e">
        <f t="shared" si="45"/>
        <v>#N/A</v>
      </c>
      <c r="L907" s="27" t="e">
        <f t="shared" si="46"/>
        <v>#N/A</v>
      </c>
    </row>
    <row r="908" spans="9:12" x14ac:dyDescent="0.25">
      <c r="I908" s="24" t="e">
        <f t="shared" si="47"/>
        <v>#N/A</v>
      </c>
      <c r="J908" t="e">
        <f t="shared" si="45"/>
        <v>#N/A</v>
      </c>
      <c r="K908" t="e">
        <f t="shared" si="45"/>
        <v>#N/A</v>
      </c>
      <c r="L908" s="27" t="e">
        <f t="shared" si="46"/>
        <v>#N/A</v>
      </c>
    </row>
    <row r="909" spans="9:12" x14ac:dyDescent="0.25">
      <c r="I909" s="24" t="e">
        <f t="shared" si="47"/>
        <v>#N/A</v>
      </c>
      <c r="J909" t="e">
        <f t="shared" si="45"/>
        <v>#N/A</v>
      </c>
      <c r="K909" t="e">
        <f t="shared" si="45"/>
        <v>#N/A</v>
      </c>
      <c r="L909" s="27" t="e">
        <f t="shared" si="46"/>
        <v>#N/A</v>
      </c>
    </row>
    <row r="910" spans="9:12" x14ac:dyDescent="0.25">
      <c r="I910" s="24" t="e">
        <f t="shared" si="47"/>
        <v>#N/A</v>
      </c>
      <c r="J910" t="e">
        <f t="shared" si="45"/>
        <v>#N/A</v>
      </c>
      <c r="K910" t="e">
        <f t="shared" si="45"/>
        <v>#N/A</v>
      </c>
      <c r="L910" s="27" t="e">
        <f t="shared" si="46"/>
        <v>#N/A</v>
      </c>
    </row>
    <row r="911" spans="9:12" x14ac:dyDescent="0.25">
      <c r="I911" s="24" t="e">
        <f t="shared" si="47"/>
        <v>#N/A</v>
      </c>
      <c r="J911" t="e">
        <f t="shared" si="45"/>
        <v>#N/A</v>
      </c>
      <c r="K911" t="e">
        <f t="shared" si="45"/>
        <v>#N/A</v>
      </c>
      <c r="L911" s="27" t="e">
        <f t="shared" si="46"/>
        <v>#N/A</v>
      </c>
    </row>
    <row r="912" spans="9:12" x14ac:dyDescent="0.25">
      <c r="I912" s="24" t="e">
        <f t="shared" si="47"/>
        <v>#N/A</v>
      </c>
      <c r="J912" t="e">
        <f t="shared" si="45"/>
        <v>#N/A</v>
      </c>
      <c r="K912" t="e">
        <f t="shared" si="45"/>
        <v>#N/A</v>
      </c>
      <c r="L912" s="27" t="e">
        <f t="shared" si="46"/>
        <v>#N/A</v>
      </c>
    </row>
    <row r="913" spans="9:12" x14ac:dyDescent="0.25">
      <c r="I913" s="24" t="e">
        <f t="shared" si="47"/>
        <v>#N/A</v>
      </c>
      <c r="J913" t="e">
        <f t="shared" si="45"/>
        <v>#N/A</v>
      </c>
      <c r="K913" t="e">
        <f t="shared" si="45"/>
        <v>#N/A</v>
      </c>
      <c r="L913" s="27" t="e">
        <f t="shared" si="46"/>
        <v>#N/A</v>
      </c>
    </row>
    <row r="914" spans="9:12" x14ac:dyDescent="0.25">
      <c r="I914" s="24" t="e">
        <f t="shared" si="47"/>
        <v>#N/A</v>
      </c>
      <c r="J914" t="e">
        <f t="shared" si="45"/>
        <v>#N/A</v>
      </c>
      <c r="K914" t="e">
        <f t="shared" si="45"/>
        <v>#N/A</v>
      </c>
      <c r="L914" s="27" t="e">
        <f t="shared" si="46"/>
        <v>#N/A</v>
      </c>
    </row>
    <row r="915" spans="9:12" x14ac:dyDescent="0.25">
      <c r="I915" s="24" t="e">
        <f t="shared" si="47"/>
        <v>#N/A</v>
      </c>
      <c r="J915" t="e">
        <f t="shared" si="45"/>
        <v>#N/A</v>
      </c>
      <c r="K915" t="e">
        <f t="shared" si="45"/>
        <v>#N/A</v>
      </c>
      <c r="L915" s="27" t="e">
        <f t="shared" si="46"/>
        <v>#N/A</v>
      </c>
    </row>
    <row r="916" spans="9:12" x14ac:dyDescent="0.25">
      <c r="I916" s="24" t="e">
        <f t="shared" si="47"/>
        <v>#N/A</v>
      </c>
      <c r="J916" t="e">
        <f t="shared" si="45"/>
        <v>#N/A</v>
      </c>
      <c r="K916" t="e">
        <f t="shared" si="45"/>
        <v>#N/A</v>
      </c>
      <c r="L916" s="27" t="e">
        <f t="shared" si="46"/>
        <v>#N/A</v>
      </c>
    </row>
    <row r="917" spans="9:12" x14ac:dyDescent="0.25">
      <c r="I917" s="24" t="e">
        <f t="shared" si="47"/>
        <v>#N/A</v>
      </c>
      <c r="J917" t="e">
        <f t="shared" si="45"/>
        <v>#N/A</v>
      </c>
      <c r="K917" t="e">
        <f t="shared" si="45"/>
        <v>#N/A</v>
      </c>
      <c r="L917" s="27" t="e">
        <f t="shared" si="46"/>
        <v>#N/A</v>
      </c>
    </row>
    <row r="918" spans="9:12" x14ac:dyDescent="0.25">
      <c r="I918" s="24" t="e">
        <f t="shared" si="47"/>
        <v>#N/A</v>
      </c>
      <c r="J918" t="e">
        <f t="shared" si="45"/>
        <v>#N/A</v>
      </c>
      <c r="K918" t="e">
        <f t="shared" si="45"/>
        <v>#N/A</v>
      </c>
      <c r="L918" s="27" t="e">
        <f t="shared" si="46"/>
        <v>#N/A</v>
      </c>
    </row>
    <row r="919" spans="9:12" x14ac:dyDescent="0.25">
      <c r="I919" s="24" t="e">
        <f t="shared" si="47"/>
        <v>#N/A</v>
      </c>
      <c r="J919" t="e">
        <f t="shared" si="45"/>
        <v>#N/A</v>
      </c>
      <c r="K919" t="e">
        <f t="shared" si="45"/>
        <v>#N/A</v>
      </c>
      <c r="L919" s="27" t="e">
        <f t="shared" si="46"/>
        <v>#N/A</v>
      </c>
    </row>
    <row r="920" spans="9:12" x14ac:dyDescent="0.25">
      <c r="I920" s="24" t="e">
        <f t="shared" si="47"/>
        <v>#N/A</v>
      </c>
      <c r="J920" t="e">
        <f t="shared" si="45"/>
        <v>#N/A</v>
      </c>
      <c r="K920" t="e">
        <f t="shared" si="45"/>
        <v>#N/A</v>
      </c>
      <c r="L920" s="27" t="e">
        <f t="shared" si="46"/>
        <v>#N/A</v>
      </c>
    </row>
    <row r="921" spans="9:12" x14ac:dyDescent="0.25">
      <c r="I921" s="24" t="e">
        <f t="shared" si="47"/>
        <v>#N/A</v>
      </c>
      <c r="J921" t="e">
        <f t="shared" si="45"/>
        <v>#N/A</v>
      </c>
      <c r="K921" t="e">
        <f t="shared" si="45"/>
        <v>#N/A</v>
      </c>
      <c r="L921" s="27" t="e">
        <f t="shared" si="46"/>
        <v>#N/A</v>
      </c>
    </row>
    <row r="922" spans="9:12" x14ac:dyDescent="0.25">
      <c r="I922" s="24" t="e">
        <f t="shared" si="47"/>
        <v>#N/A</v>
      </c>
      <c r="J922" t="e">
        <f t="shared" si="45"/>
        <v>#N/A</v>
      </c>
      <c r="K922" t="e">
        <f t="shared" si="45"/>
        <v>#N/A</v>
      </c>
      <c r="L922" s="27" t="e">
        <f t="shared" si="46"/>
        <v>#N/A</v>
      </c>
    </row>
    <row r="923" spans="9:12" x14ac:dyDescent="0.25">
      <c r="I923" s="24" t="e">
        <f t="shared" si="47"/>
        <v>#N/A</v>
      </c>
      <c r="J923" t="e">
        <f t="shared" si="45"/>
        <v>#N/A</v>
      </c>
      <c r="K923" t="e">
        <f t="shared" si="45"/>
        <v>#N/A</v>
      </c>
      <c r="L923" s="27" t="e">
        <f t="shared" si="46"/>
        <v>#N/A</v>
      </c>
    </row>
    <row r="924" spans="9:12" x14ac:dyDescent="0.25">
      <c r="I924" s="24" t="e">
        <f t="shared" si="47"/>
        <v>#N/A</v>
      </c>
      <c r="J924" t="e">
        <f t="shared" si="45"/>
        <v>#N/A</v>
      </c>
      <c r="K924" t="e">
        <f t="shared" si="45"/>
        <v>#N/A</v>
      </c>
      <c r="L924" s="27" t="e">
        <f t="shared" si="46"/>
        <v>#N/A</v>
      </c>
    </row>
    <row r="925" spans="9:12" x14ac:dyDescent="0.25">
      <c r="I925" s="24" t="e">
        <f t="shared" si="47"/>
        <v>#N/A</v>
      </c>
      <c r="J925" t="e">
        <f t="shared" si="45"/>
        <v>#N/A</v>
      </c>
      <c r="K925" t="e">
        <f t="shared" si="45"/>
        <v>#N/A</v>
      </c>
      <c r="L925" s="27" t="e">
        <f t="shared" si="46"/>
        <v>#N/A</v>
      </c>
    </row>
    <row r="926" spans="9:12" x14ac:dyDescent="0.25">
      <c r="I926" s="24" t="e">
        <f t="shared" si="47"/>
        <v>#N/A</v>
      </c>
      <c r="J926" t="e">
        <f t="shared" si="45"/>
        <v>#N/A</v>
      </c>
      <c r="K926" t="e">
        <f t="shared" si="45"/>
        <v>#N/A</v>
      </c>
      <c r="L926" s="27" t="e">
        <f t="shared" si="46"/>
        <v>#N/A</v>
      </c>
    </row>
    <row r="927" spans="9:12" x14ac:dyDescent="0.25">
      <c r="I927" s="24" t="e">
        <f t="shared" si="47"/>
        <v>#N/A</v>
      </c>
      <c r="J927" t="e">
        <f t="shared" si="45"/>
        <v>#N/A</v>
      </c>
      <c r="K927" t="e">
        <f t="shared" si="45"/>
        <v>#N/A</v>
      </c>
      <c r="L927" s="27" t="e">
        <f t="shared" si="46"/>
        <v>#N/A</v>
      </c>
    </row>
    <row r="928" spans="9:12" x14ac:dyDescent="0.25">
      <c r="I928" s="24" t="e">
        <f t="shared" si="47"/>
        <v>#N/A</v>
      </c>
      <c r="J928" t="e">
        <f t="shared" si="45"/>
        <v>#N/A</v>
      </c>
      <c r="K928" t="e">
        <f t="shared" si="45"/>
        <v>#N/A</v>
      </c>
      <c r="L928" s="27" t="e">
        <f t="shared" si="46"/>
        <v>#N/A</v>
      </c>
    </row>
    <row r="929" spans="9:12" x14ac:dyDescent="0.25">
      <c r="I929" s="24" t="e">
        <f t="shared" si="47"/>
        <v>#N/A</v>
      </c>
      <c r="J929" t="e">
        <f t="shared" si="45"/>
        <v>#N/A</v>
      </c>
      <c r="K929" t="e">
        <f t="shared" si="45"/>
        <v>#N/A</v>
      </c>
      <c r="L929" s="27" t="e">
        <f t="shared" si="46"/>
        <v>#N/A</v>
      </c>
    </row>
    <row r="930" spans="9:12" x14ac:dyDescent="0.25">
      <c r="I930" s="24" t="e">
        <f t="shared" si="47"/>
        <v>#N/A</v>
      </c>
      <c r="J930" t="e">
        <f t="shared" si="45"/>
        <v>#N/A</v>
      </c>
      <c r="K930" t="e">
        <f t="shared" si="45"/>
        <v>#N/A</v>
      </c>
      <c r="L930" s="27" t="e">
        <f t="shared" si="46"/>
        <v>#N/A</v>
      </c>
    </row>
    <row r="931" spans="9:12" x14ac:dyDescent="0.25">
      <c r="I931" s="24" t="e">
        <f t="shared" si="47"/>
        <v>#N/A</v>
      </c>
      <c r="J931" t="e">
        <f t="shared" si="45"/>
        <v>#N/A</v>
      </c>
      <c r="K931" t="e">
        <f t="shared" si="45"/>
        <v>#N/A</v>
      </c>
      <c r="L931" s="27" t="e">
        <f t="shared" si="46"/>
        <v>#N/A</v>
      </c>
    </row>
    <row r="932" spans="9:12" x14ac:dyDescent="0.25">
      <c r="I932" s="24" t="e">
        <f t="shared" si="47"/>
        <v>#N/A</v>
      </c>
      <c r="J932" t="e">
        <f t="shared" si="45"/>
        <v>#N/A</v>
      </c>
      <c r="K932" t="e">
        <f t="shared" si="45"/>
        <v>#N/A</v>
      </c>
      <c r="L932" s="27" t="e">
        <f t="shared" si="46"/>
        <v>#N/A</v>
      </c>
    </row>
    <row r="933" spans="9:12" x14ac:dyDescent="0.25">
      <c r="I933" s="24" t="e">
        <f t="shared" si="47"/>
        <v>#N/A</v>
      </c>
      <c r="J933" t="e">
        <f t="shared" si="45"/>
        <v>#N/A</v>
      </c>
      <c r="K933" t="e">
        <f t="shared" si="45"/>
        <v>#N/A</v>
      </c>
      <c r="L933" s="27" t="e">
        <f t="shared" si="46"/>
        <v>#N/A</v>
      </c>
    </row>
    <row r="934" spans="9:12" x14ac:dyDescent="0.25">
      <c r="I934" s="24" t="e">
        <f t="shared" si="47"/>
        <v>#N/A</v>
      </c>
      <c r="J934" t="e">
        <f t="shared" si="45"/>
        <v>#N/A</v>
      </c>
      <c r="K934" t="e">
        <f t="shared" si="45"/>
        <v>#N/A</v>
      </c>
      <c r="L934" s="27" t="e">
        <f t="shared" si="46"/>
        <v>#N/A</v>
      </c>
    </row>
    <row r="935" spans="9:12" x14ac:dyDescent="0.25">
      <c r="I935" s="24" t="e">
        <f t="shared" si="47"/>
        <v>#N/A</v>
      </c>
      <c r="J935" t="e">
        <f t="shared" si="45"/>
        <v>#N/A</v>
      </c>
      <c r="K935" t="e">
        <f t="shared" si="45"/>
        <v>#N/A</v>
      </c>
      <c r="L935" s="27" t="e">
        <f t="shared" si="46"/>
        <v>#N/A</v>
      </c>
    </row>
    <row r="936" spans="9:12" x14ac:dyDescent="0.25">
      <c r="I936" s="24" t="e">
        <f t="shared" si="47"/>
        <v>#N/A</v>
      </c>
      <c r="J936" t="e">
        <f t="shared" si="45"/>
        <v>#N/A</v>
      </c>
      <c r="K936" t="e">
        <f t="shared" si="45"/>
        <v>#N/A</v>
      </c>
      <c r="L936" s="27" t="e">
        <f t="shared" si="46"/>
        <v>#N/A</v>
      </c>
    </row>
    <row r="937" spans="9:12" x14ac:dyDescent="0.25">
      <c r="I937" s="24" t="e">
        <f t="shared" si="47"/>
        <v>#N/A</v>
      </c>
      <c r="J937" t="e">
        <f t="shared" si="45"/>
        <v>#N/A</v>
      </c>
      <c r="K937" t="e">
        <f t="shared" si="45"/>
        <v>#N/A</v>
      </c>
      <c r="L937" s="27" t="e">
        <f t="shared" si="46"/>
        <v>#N/A</v>
      </c>
    </row>
    <row r="938" spans="9:12" x14ac:dyDescent="0.25">
      <c r="I938" s="24" t="e">
        <f t="shared" si="47"/>
        <v>#N/A</v>
      </c>
      <c r="J938" t="e">
        <f t="shared" si="45"/>
        <v>#N/A</v>
      </c>
      <c r="K938" t="e">
        <f t="shared" si="45"/>
        <v>#N/A</v>
      </c>
      <c r="L938" s="27" t="e">
        <f t="shared" si="46"/>
        <v>#N/A</v>
      </c>
    </row>
    <row r="939" spans="9:12" x14ac:dyDescent="0.25">
      <c r="I939" s="24" t="e">
        <f t="shared" si="47"/>
        <v>#N/A</v>
      </c>
      <c r="J939" t="e">
        <f t="shared" si="45"/>
        <v>#N/A</v>
      </c>
      <c r="K939" t="e">
        <f t="shared" si="45"/>
        <v>#N/A</v>
      </c>
      <c r="L939" s="27" t="e">
        <f t="shared" si="46"/>
        <v>#N/A</v>
      </c>
    </row>
    <row r="940" spans="9:12" x14ac:dyDescent="0.25">
      <c r="I940" s="24" t="e">
        <f t="shared" si="47"/>
        <v>#N/A</v>
      </c>
      <c r="J940" t="e">
        <f t="shared" si="45"/>
        <v>#N/A</v>
      </c>
      <c r="K940" t="e">
        <f t="shared" si="45"/>
        <v>#N/A</v>
      </c>
      <c r="L940" s="27" t="e">
        <f t="shared" si="46"/>
        <v>#N/A</v>
      </c>
    </row>
    <row r="941" spans="9:12" x14ac:dyDescent="0.25">
      <c r="I941" s="24" t="e">
        <f t="shared" si="47"/>
        <v>#N/A</v>
      </c>
      <c r="J941" t="e">
        <f t="shared" si="45"/>
        <v>#N/A</v>
      </c>
      <c r="K941" t="e">
        <f t="shared" si="45"/>
        <v>#N/A</v>
      </c>
      <c r="L941" s="27" t="e">
        <f t="shared" si="46"/>
        <v>#N/A</v>
      </c>
    </row>
    <row r="942" spans="9:12" x14ac:dyDescent="0.25">
      <c r="I942" s="24" t="e">
        <f t="shared" si="47"/>
        <v>#N/A</v>
      </c>
      <c r="J942" t="e">
        <f t="shared" si="45"/>
        <v>#N/A</v>
      </c>
      <c r="K942" t="e">
        <f t="shared" si="45"/>
        <v>#N/A</v>
      </c>
      <c r="L942" s="27" t="e">
        <f t="shared" si="46"/>
        <v>#N/A</v>
      </c>
    </row>
    <row r="943" spans="9:12" x14ac:dyDescent="0.25">
      <c r="I943" s="24" t="e">
        <f t="shared" si="47"/>
        <v>#N/A</v>
      </c>
      <c r="J943" t="e">
        <f t="shared" si="45"/>
        <v>#N/A</v>
      </c>
      <c r="K943" t="e">
        <f t="shared" si="45"/>
        <v>#N/A</v>
      </c>
      <c r="L943" s="27" t="e">
        <f t="shared" si="46"/>
        <v>#N/A</v>
      </c>
    </row>
    <row r="944" spans="9:12" x14ac:dyDescent="0.25">
      <c r="I944" s="24" t="e">
        <f t="shared" si="47"/>
        <v>#N/A</v>
      </c>
      <c r="J944" t="e">
        <f t="shared" si="45"/>
        <v>#N/A</v>
      </c>
      <c r="K944" t="e">
        <f t="shared" si="45"/>
        <v>#N/A</v>
      </c>
      <c r="L944" s="27" t="e">
        <f t="shared" si="46"/>
        <v>#N/A</v>
      </c>
    </row>
    <row r="945" spans="9:12" x14ac:dyDescent="0.25">
      <c r="I945" s="24" t="e">
        <f t="shared" si="47"/>
        <v>#N/A</v>
      </c>
      <c r="J945" t="e">
        <f t="shared" si="45"/>
        <v>#N/A</v>
      </c>
      <c r="K945" t="e">
        <f t="shared" si="45"/>
        <v>#N/A</v>
      </c>
      <c r="L945" s="27" t="e">
        <f t="shared" si="46"/>
        <v>#N/A</v>
      </c>
    </row>
    <row r="946" spans="9:12" x14ac:dyDescent="0.25">
      <c r="I946" s="24" t="e">
        <f t="shared" si="47"/>
        <v>#N/A</v>
      </c>
      <c r="J946" t="e">
        <f t="shared" si="45"/>
        <v>#N/A</v>
      </c>
      <c r="K946" t="e">
        <f t="shared" si="45"/>
        <v>#N/A</v>
      </c>
      <c r="L946" s="27" t="e">
        <f t="shared" si="46"/>
        <v>#N/A</v>
      </c>
    </row>
    <row r="947" spans="9:12" x14ac:dyDescent="0.25">
      <c r="I947" s="24" t="e">
        <f t="shared" si="47"/>
        <v>#N/A</v>
      </c>
      <c r="J947" t="e">
        <f t="shared" si="45"/>
        <v>#N/A</v>
      </c>
      <c r="K947" t="e">
        <f t="shared" si="45"/>
        <v>#N/A</v>
      </c>
      <c r="L947" s="27" t="e">
        <f t="shared" si="46"/>
        <v>#N/A</v>
      </c>
    </row>
    <row r="948" spans="9:12" x14ac:dyDescent="0.25">
      <c r="I948" s="24" t="e">
        <f t="shared" si="47"/>
        <v>#N/A</v>
      </c>
      <c r="J948" t="e">
        <f t="shared" si="45"/>
        <v>#N/A</v>
      </c>
      <c r="K948" t="e">
        <f t="shared" si="45"/>
        <v>#N/A</v>
      </c>
      <c r="L948" s="27" t="e">
        <f t="shared" si="46"/>
        <v>#N/A</v>
      </c>
    </row>
    <row r="949" spans="9:12" x14ac:dyDescent="0.25">
      <c r="I949" s="24" t="e">
        <f t="shared" si="47"/>
        <v>#N/A</v>
      </c>
      <c r="J949" t="e">
        <f t="shared" si="45"/>
        <v>#N/A</v>
      </c>
      <c r="K949" t="e">
        <f t="shared" si="45"/>
        <v>#N/A</v>
      </c>
      <c r="L949" s="27" t="e">
        <f t="shared" si="46"/>
        <v>#N/A</v>
      </c>
    </row>
    <row r="950" spans="9:12" x14ac:dyDescent="0.25">
      <c r="I950" s="24" t="e">
        <f t="shared" si="47"/>
        <v>#N/A</v>
      </c>
      <c r="J950" t="e">
        <f t="shared" si="45"/>
        <v>#N/A</v>
      </c>
      <c r="K950" t="e">
        <f t="shared" si="45"/>
        <v>#N/A</v>
      </c>
      <c r="L950" s="27" t="e">
        <f t="shared" si="46"/>
        <v>#N/A</v>
      </c>
    </row>
    <row r="951" spans="9:12" x14ac:dyDescent="0.25">
      <c r="I951" s="24" t="e">
        <f t="shared" si="47"/>
        <v>#N/A</v>
      </c>
      <c r="J951" t="e">
        <f t="shared" si="45"/>
        <v>#N/A</v>
      </c>
      <c r="K951" t="e">
        <f t="shared" si="45"/>
        <v>#N/A</v>
      </c>
      <c r="L951" s="27" t="e">
        <f t="shared" si="46"/>
        <v>#N/A</v>
      </c>
    </row>
    <row r="952" spans="9:12" x14ac:dyDescent="0.25">
      <c r="I952" s="24" t="e">
        <f t="shared" si="47"/>
        <v>#N/A</v>
      </c>
      <c r="J952" t="e">
        <f t="shared" si="45"/>
        <v>#N/A</v>
      </c>
      <c r="K952" t="e">
        <f t="shared" si="45"/>
        <v>#N/A</v>
      </c>
      <c r="L952" s="27" t="e">
        <f t="shared" si="46"/>
        <v>#N/A</v>
      </c>
    </row>
    <row r="953" spans="9:12" x14ac:dyDescent="0.25">
      <c r="I953" s="24" t="e">
        <f t="shared" si="47"/>
        <v>#N/A</v>
      </c>
      <c r="J953" t="e">
        <f t="shared" si="45"/>
        <v>#N/A</v>
      </c>
      <c r="K953" t="e">
        <f t="shared" si="45"/>
        <v>#N/A</v>
      </c>
      <c r="L953" s="27" t="e">
        <f t="shared" si="46"/>
        <v>#N/A</v>
      </c>
    </row>
    <row r="954" spans="9:12" x14ac:dyDescent="0.25">
      <c r="I954" s="24" t="e">
        <f t="shared" si="47"/>
        <v>#N/A</v>
      </c>
      <c r="J954" t="e">
        <f t="shared" si="45"/>
        <v>#N/A</v>
      </c>
      <c r="K954" t="e">
        <f t="shared" si="45"/>
        <v>#N/A</v>
      </c>
      <c r="L954" s="27" t="e">
        <f t="shared" si="46"/>
        <v>#N/A</v>
      </c>
    </row>
    <row r="955" spans="9:12" x14ac:dyDescent="0.25">
      <c r="I955" s="24" t="e">
        <f t="shared" si="47"/>
        <v>#N/A</v>
      </c>
      <c r="J955" t="e">
        <f t="shared" si="45"/>
        <v>#N/A</v>
      </c>
      <c r="K955" t="e">
        <f t="shared" si="45"/>
        <v>#N/A</v>
      </c>
      <c r="L955" s="27" t="e">
        <f t="shared" si="46"/>
        <v>#N/A</v>
      </c>
    </row>
    <row r="956" spans="9:12" x14ac:dyDescent="0.25">
      <c r="I956" s="24" t="e">
        <f t="shared" si="47"/>
        <v>#N/A</v>
      </c>
      <c r="J956" t="e">
        <f t="shared" si="45"/>
        <v>#N/A</v>
      </c>
      <c r="K956" t="e">
        <f t="shared" si="45"/>
        <v>#N/A</v>
      </c>
      <c r="L956" s="27" t="e">
        <f t="shared" si="46"/>
        <v>#N/A</v>
      </c>
    </row>
    <row r="957" spans="9:12" x14ac:dyDescent="0.25">
      <c r="I957" s="24" t="e">
        <f t="shared" si="47"/>
        <v>#N/A</v>
      </c>
      <c r="J957" t="e">
        <f t="shared" si="45"/>
        <v>#N/A</v>
      </c>
      <c r="K957" t="e">
        <f t="shared" si="45"/>
        <v>#N/A</v>
      </c>
      <c r="L957" s="27" t="e">
        <f t="shared" si="46"/>
        <v>#N/A</v>
      </c>
    </row>
    <row r="958" spans="9:12" x14ac:dyDescent="0.25">
      <c r="I958" s="24" t="e">
        <f t="shared" si="47"/>
        <v>#N/A</v>
      </c>
      <c r="J958" t="e">
        <f t="shared" si="45"/>
        <v>#N/A</v>
      </c>
      <c r="K958" t="e">
        <f t="shared" si="45"/>
        <v>#N/A</v>
      </c>
      <c r="L958" s="27" t="e">
        <f t="shared" si="46"/>
        <v>#N/A</v>
      </c>
    </row>
    <row r="959" spans="9:12" x14ac:dyDescent="0.25">
      <c r="I959" s="24" t="e">
        <f t="shared" si="47"/>
        <v>#N/A</v>
      </c>
      <c r="J959" t="e">
        <f t="shared" si="45"/>
        <v>#N/A</v>
      </c>
      <c r="K959" t="e">
        <f t="shared" si="45"/>
        <v>#N/A</v>
      </c>
      <c r="L959" s="27" t="e">
        <f t="shared" si="46"/>
        <v>#N/A</v>
      </c>
    </row>
    <row r="960" spans="9:12" x14ac:dyDescent="0.25">
      <c r="I960" s="24" t="e">
        <f t="shared" si="47"/>
        <v>#N/A</v>
      </c>
      <c r="J960" t="e">
        <f t="shared" si="45"/>
        <v>#N/A</v>
      </c>
      <c r="K960" t="e">
        <f t="shared" si="45"/>
        <v>#N/A</v>
      </c>
      <c r="L960" s="27" t="e">
        <f t="shared" si="46"/>
        <v>#N/A</v>
      </c>
    </row>
    <row r="961" spans="9:12" x14ac:dyDescent="0.25">
      <c r="I961" s="24" t="e">
        <f t="shared" si="47"/>
        <v>#N/A</v>
      </c>
      <c r="J961" t="e">
        <f t="shared" si="45"/>
        <v>#N/A</v>
      </c>
      <c r="K961" t="e">
        <f t="shared" si="45"/>
        <v>#N/A</v>
      </c>
      <c r="L961" s="27" t="e">
        <f t="shared" si="46"/>
        <v>#N/A</v>
      </c>
    </row>
    <row r="962" spans="9:12" x14ac:dyDescent="0.25">
      <c r="I962" s="24" t="e">
        <f t="shared" si="47"/>
        <v>#N/A</v>
      </c>
      <c r="J962" t="e">
        <f t="shared" ref="J962:K1000" si="48">D$29*($I962/1000)+D$18*(($I962/1000)-($D$8/1000))*(($I962/1000)&gt;($D$8/1000))+D$19*(($I962/1000)-($D$9/1000))*(($I962/1000)&gt;($D$9/1000))+D$20*(($I962/1000)-($D$10/1000))*(($I962/1000)&gt;($D$10/1000))+D$21*(($I962/1000)-($D$11/1000))*(($I962/1000)&gt;($D$11/1000))</f>
        <v>#N/A</v>
      </c>
      <c r="K962" t="e">
        <f t="shared" si="48"/>
        <v>#N/A</v>
      </c>
      <c r="L962" s="27" t="e">
        <f t="shared" ref="L962:L1000" si="49">SQRT((J962^2)+(K962^2))</f>
        <v>#N/A</v>
      </c>
    </row>
    <row r="963" spans="9:12" x14ac:dyDescent="0.25">
      <c r="I963" s="24" t="e">
        <f t="shared" ref="I963:I1000" si="50">IF((ROW(A961)*$F$2)&lt;=$D$5, ROW(A961)*$F$2,NA())</f>
        <v>#N/A</v>
      </c>
      <c r="J963" t="e">
        <f t="shared" si="48"/>
        <v>#N/A</v>
      </c>
      <c r="K963" t="e">
        <f t="shared" si="48"/>
        <v>#N/A</v>
      </c>
      <c r="L963" s="27" t="e">
        <f t="shared" si="49"/>
        <v>#N/A</v>
      </c>
    </row>
    <row r="964" spans="9:12" x14ac:dyDescent="0.25">
      <c r="I964" s="24" t="e">
        <f t="shared" si="50"/>
        <v>#N/A</v>
      </c>
      <c r="J964" t="e">
        <f t="shared" si="48"/>
        <v>#N/A</v>
      </c>
      <c r="K964" t="e">
        <f t="shared" si="48"/>
        <v>#N/A</v>
      </c>
      <c r="L964" s="27" t="e">
        <f t="shared" si="49"/>
        <v>#N/A</v>
      </c>
    </row>
    <row r="965" spans="9:12" x14ac:dyDescent="0.25">
      <c r="I965" s="24" t="e">
        <f t="shared" si="50"/>
        <v>#N/A</v>
      </c>
      <c r="J965" t="e">
        <f t="shared" si="48"/>
        <v>#N/A</v>
      </c>
      <c r="K965" t="e">
        <f t="shared" si="48"/>
        <v>#N/A</v>
      </c>
      <c r="L965" s="27" t="e">
        <f t="shared" si="49"/>
        <v>#N/A</v>
      </c>
    </row>
    <row r="966" spans="9:12" x14ac:dyDescent="0.25">
      <c r="I966" s="24" t="e">
        <f t="shared" si="50"/>
        <v>#N/A</v>
      </c>
      <c r="J966" t="e">
        <f t="shared" si="48"/>
        <v>#N/A</v>
      </c>
      <c r="K966" t="e">
        <f t="shared" si="48"/>
        <v>#N/A</v>
      </c>
      <c r="L966" s="27" t="e">
        <f t="shared" si="49"/>
        <v>#N/A</v>
      </c>
    </row>
    <row r="967" spans="9:12" x14ac:dyDescent="0.25">
      <c r="I967" s="24" t="e">
        <f t="shared" si="50"/>
        <v>#N/A</v>
      </c>
      <c r="J967" t="e">
        <f t="shared" si="48"/>
        <v>#N/A</v>
      </c>
      <c r="K967" t="e">
        <f t="shared" si="48"/>
        <v>#N/A</v>
      </c>
      <c r="L967" s="27" t="e">
        <f t="shared" si="49"/>
        <v>#N/A</v>
      </c>
    </row>
    <row r="968" spans="9:12" x14ac:dyDescent="0.25">
      <c r="I968" s="24" t="e">
        <f t="shared" si="50"/>
        <v>#N/A</v>
      </c>
      <c r="J968" t="e">
        <f t="shared" si="48"/>
        <v>#N/A</v>
      </c>
      <c r="K968" t="e">
        <f t="shared" si="48"/>
        <v>#N/A</v>
      </c>
      <c r="L968" s="27" t="e">
        <f t="shared" si="49"/>
        <v>#N/A</v>
      </c>
    </row>
    <row r="969" spans="9:12" x14ac:dyDescent="0.25">
      <c r="I969" s="24" t="e">
        <f t="shared" si="50"/>
        <v>#N/A</v>
      </c>
      <c r="J969" t="e">
        <f t="shared" si="48"/>
        <v>#N/A</v>
      </c>
      <c r="K969" t="e">
        <f t="shared" si="48"/>
        <v>#N/A</v>
      </c>
      <c r="L969" s="27" t="e">
        <f t="shared" si="49"/>
        <v>#N/A</v>
      </c>
    </row>
    <row r="970" spans="9:12" x14ac:dyDescent="0.25">
      <c r="I970" s="24" t="e">
        <f t="shared" si="50"/>
        <v>#N/A</v>
      </c>
      <c r="J970" t="e">
        <f t="shared" si="48"/>
        <v>#N/A</v>
      </c>
      <c r="K970" t="e">
        <f t="shared" si="48"/>
        <v>#N/A</v>
      </c>
      <c r="L970" s="27" t="e">
        <f t="shared" si="49"/>
        <v>#N/A</v>
      </c>
    </row>
    <row r="971" spans="9:12" x14ac:dyDescent="0.25">
      <c r="I971" s="24" t="e">
        <f t="shared" si="50"/>
        <v>#N/A</v>
      </c>
      <c r="J971" t="e">
        <f t="shared" si="48"/>
        <v>#N/A</v>
      </c>
      <c r="K971" t="e">
        <f t="shared" si="48"/>
        <v>#N/A</v>
      </c>
      <c r="L971" s="27" t="e">
        <f t="shared" si="49"/>
        <v>#N/A</v>
      </c>
    </row>
    <row r="972" spans="9:12" x14ac:dyDescent="0.25">
      <c r="I972" s="24" t="e">
        <f t="shared" si="50"/>
        <v>#N/A</v>
      </c>
      <c r="J972" t="e">
        <f t="shared" si="48"/>
        <v>#N/A</v>
      </c>
      <c r="K972" t="e">
        <f t="shared" si="48"/>
        <v>#N/A</v>
      </c>
      <c r="L972" s="27" t="e">
        <f t="shared" si="49"/>
        <v>#N/A</v>
      </c>
    </row>
    <row r="973" spans="9:12" x14ac:dyDescent="0.25">
      <c r="I973" s="24" t="e">
        <f t="shared" si="50"/>
        <v>#N/A</v>
      </c>
      <c r="J973" t="e">
        <f t="shared" si="48"/>
        <v>#N/A</v>
      </c>
      <c r="K973" t="e">
        <f t="shared" si="48"/>
        <v>#N/A</v>
      </c>
      <c r="L973" s="27" t="e">
        <f t="shared" si="49"/>
        <v>#N/A</v>
      </c>
    </row>
    <row r="974" spans="9:12" x14ac:dyDescent="0.25">
      <c r="I974" s="24" t="e">
        <f t="shared" si="50"/>
        <v>#N/A</v>
      </c>
      <c r="J974" t="e">
        <f t="shared" si="48"/>
        <v>#N/A</v>
      </c>
      <c r="K974" t="e">
        <f t="shared" si="48"/>
        <v>#N/A</v>
      </c>
      <c r="L974" s="27" t="e">
        <f t="shared" si="49"/>
        <v>#N/A</v>
      </c>
    </row>
    <row r="975" spans="9:12" x14ac:dyDescent="0.25">
      <c r="I975" s="24" t="e">
        <f t="shared" si="50"/>
        <v>#N/A</v>
      </c>
      <c r="J975" t="e">
        <f t="shared" si="48"/>
        <v>#N/A</v>
      </c>
      <c r="K975" t="e">
        <f t="shared" si="48"/>
        <v>#N/A</v>
      </c>
      <c r="L975" s="27" t="e">
        <f t="shared" si="49"/>
        <v>#N/A</v>
      </c>
    </row>
    <row r="976" spans="9:12" x14ac:dyDescent="0.25">
      <c r="I976" s="24" t="e">
        <f t="shared" si="50"/>
        <v>#N/A</v>
      </c>
      <c r="J976" t="e">
        <f t="shared" si="48"/>
        <v>#N/A</v>
      </c>
      <c r="K976" t="e">
        <f t="shared" si="48"/>
        <v>#N/A</v>
      </c>
      <c r="L976" s="27" t="e">
        <f t="shared" si="49"/>
        <v>#N/A</v>
      </c>
    </row>
    <row r="977" spans="9:12" x14ac:dyDescent="0.25">
      <c r="I977" s="24" t="e">
        <f t="shared" si="50"/>
        <v>#N/A</v>
      </c>
      <c r="J977" t="e">
        <f t="shared" si="48"/>
        <v>#N/A</v>
      </c>
      <c r="K977" t="e">
        <f t="shared" si="48"/>
        <v>#N/A</v>
      </c>
      <c r="L977" s="27" t="e">
        <f t="shared" si="49"/>
        <v>#N/A</v>
      </c>
    </row>
    <row r="978" spans="9:12" x14ac:dyDescent="0.25">
      <c r="I978" s="24" t="e">
        <f t="shared" si="50"/>
        <v>#N/A</v>
      </c>
      <c r="J978" t="e">
        <f t="shared" si="48"/>
        <v>#N/A</v>
      </c>
      <c r="K978" t="e">
        <f t="shared" si="48"/>
        <v>#N/A</v>
      </c>
      <c r="L978" s="27" t="e">
        <f t="shared" si="49"/>
        <v>#N/A</v>
      </c>
    </row>
    <row r="979" spans="9:12" x14ac:dyDescent="0.25">
      <c r="I979" s="24" t="e">
        <f t="shared" si="50"/>
        <v>#N/A</v>
      </c>
      <c r="J979" t="e">
        <f t="shared" si="48"/>
        <v>#N/A</v>
      </c>
      <c r="K979" t="e">
        <f t="shared" si="48"/>
        <v>#N/A</v>
      </c>
      <c r="L979" s="27" t="e">
        <f t="shared" si="49"/>
        <v>#N/A</v>
      </c>
    </row>
    <row r="980" spans="9:12" x14ac:dyDescent="0.25">
      <c r="I980" s="24" t="e">
        <f t="shared" si="50"/>
        <v>#N/A</v>
      </c>
      <c r="J980" t="e">
        <f t="shared" si="48"/>
        <v>#N/A</v>
      </c>
      <c r="K980" t="e">
        <f t="shared" si="48"/>
        <v>#N/A</v>
      </c>
      <c r="L980" s="27" t="e">
        <f t="shared" si="49"/>
        <v>#N/A</v>
      </c>
    </row>
    <row r="981" spans="9:12" x14ac:dyDescent="0.25">
      <c r="I981" s="24" t="e">
        <f t="shared" si="50"/>
        <v>#N/A</v>
      </c>
      <c r="J981" t="e">
        <f t="shared" si="48"/>
        <v>#N/A</v>
      </c>
      <c r="K981" t="e">
        <f t="shared" si="48"/>
        <v>#N/A</v>
      </c>
      <c r="L981" s="27" t="e">
        <f t="shared" si="49"/>
        <v>#N/A</v>
      </c>
    </row>
    <row r="982" spans="9:12" x14ac:dyDescent="0.25">
      <c r="I982" s="24" t="e">
        <f t="shared" si="50"/>
        <v>#N/A</v>
      </c>
      <c r="J982" t="e">
        <f t="shared" si="48"/>
        <v>#N/A</v>
      </c>
      <c r="K982" t="e">
        <f t="shared" si="48"/>
        <v>#N/A</v>
      </c>
      <c r="L982" s="27" t="e">
        <f t="shared" si="49"/>
        <v>#N/A</v>
      </c>
    </row>
    <row r="983" spans="9:12" x14ac:dyDescent="0.25">
      <c r="I983" s="24" t="e">
        <f t="shared" si="50"/>
        <v>#N/A</v>
      </c>
      <c r="J983" t="e">
        <f t="shared" si="48"/>
        <v>#N/A</v>
      </c>
      <c r="K983" t="e">
        <f t="shared" si="48"/>
        <v>#N/A</v>
      </c>
      <c r="L983" s="27" t="e">
        <f t="shared" si="49"/>
        <v>#N/A</v>
      </c>
    </row>
    <row r="984" spans="9:12" x14ac:dyDescent="0.25">
      <c r="I984" s="24" t="e">
        <f t="shared" si="50"/>
        <v>#N/A</v>
      </c>
      <c r="J984" t="e">
        <f t="shared" si="48"/>
        <v>#N/A</v>
      </c>
      <c r="K984" t="e">
        <f t="shared" si="48"/>
        <v>#N/A</v>
      </c>
      <c r="L984" s="27" t="e">
        <f t="shared" si="49"/>
        <v>#N/A</v>
      </c>
    </row>
    <row r="985" spans="9:12" x14ac:dyDescent="0.25">
      <c r="I985" s="24" t="e">
        <f t="shared" si="50"/>
        <v>#N/A</v>
      </c>
      <c r="J985" t="e">
        <f t="shared" si="48"/>
        <v>#N/A</v>
      </c>
      <c r="K985" t="e">
        <f t="shared" si="48"/>
        <v>#N/A</v>
      </c>
      <c r="L985" s="27" t="e">
        <f t="shared" si="49"/>
        <v>#N/A</v>
      </c>
    </row>
    <row r="986" spans="9:12" x14ac:dyDescent="0.25">
      <c r="I986" s="24" t="e">
        <f t="shared" si="50"/>
        <v>#N/A</v>
      </c>
      <c r="J986" t="e">
        <f t="shared" si="48"/>
        <v>#N/A</v>
      </c>
      <c r="K986" t="e">
        <f t="shared" si="48"/>
        <v>#N/A</v>
      </c>
      <c r="L986" s="27" t="e">
        <f t="shared" si="49"/>
        <v>#N/A</v>
      </c>
    </row>
    <row r="987" spans="9:12" x14ac:dyDescent="0.25">
      <c r="I987" s="24" t="e">
        <f t="shared" si="50"/>
        <v>#N/A</v>
      </c>
      <c r="J987" t="e">
        <f t="shared" si="48"/>
        <v>#N/A</v>
      </c>
      <c r="K987" t="e">
        <f t="shared" si="48"/>
        <v>#N/A</v>
      </c>
      <c r="L987" s="27" t="e">
        <f t="shared" si="49"/>
        <v>#N/A</v>
      </c>
    </row>
    <row r="988" spans="9:12" x14ac:dyDescent="0.25">
      <c r="I988" s="24" t="e">
        <f t="shared" si="50"/>
        <v>#N/A</v>
      </c>
      <c r="J988" t="e">
        <f t="shared" si="48"/>
        <v>#N/A</v>
      </c>
      <c r="K988" t="e">
        <f t="shared" si="48"/>
        <v>#N/A</v>
      </c>
      <c r="L988" s="27" t="e">
        <f t="shared" si="49"/>
        <v>#N/A</v>
      </c>
    </row>
    <row r="989" spans="9:12" x14ac:dyDescent="0.25">
      <c r="I989" s="24" t="e">
        <f t="shared" si="50"/>
        <v>#N/A</v>
      </c>
      <c r="J989" t="e">
        <f t="shared" si="48"/>
        <v>#N/A</v>
      </c>
      <c r="K989" t="e">
        <f t="shared" si="48"/>
        <v>#N/A</v>
      </c>
      <c r="L989" s="27" t="e">
        <f t="shared" si="49"/>
        <v>#N/A</v>
      </c>
    </row>
    <row r="990" spans="9:12" x14ac:dyDescent="0.25">
      <c r="I990" s="24" t="e">
        <f t="shared" si="50"/>
        <v>#N/A</v>
      </c>
      <c r="J990" t="e">
        <f t="shared" si="48"/>
        <v>#N/A</v>
      </c>
      <c r="K990" t="e">
        <f t="shared" si="48"/>
        <v>#N/A</v>
      </c>
      <c r="L990" s="27" t="e">
        <f t="shared" si="49"/>
        <v>#N/A</v>
      </c>
    </row>
    <row r="991" spans="9:12" x14ac:dyDescent="0.25">
      <c r="I991" s="24" t="e">
        <f t="shared" si="50"/>
        <v>#N/A</v>
      </c>
      <c r="J991" t="e">
        <f t="shared" si="48"/>
        <v>#N/A</v>
      </c>
      <c r="K991" t="e">
        <f t="shared" si="48"/>
        <v>#N/A</v>
      </c>
      <c r="L991" s="27" t="e">
        <f t="shared" si="49"/>
        <v>#N/A</v>
      </c>
    </row>
    <row r="992" spans="9:12" x14ac:dyDescent="0.25">
      <c r="I992" s="24" t="e">
        <f t="shared" si="50"/>
        <v>#N/A</v>
      </c>
      <c r="J992" t="e">
        <f t="shared" si="48"/>
        <v>#N/A</v>
      </c>
      <c r="K992" t="e">
        <f t="shared" si="48"/>
        <v>#N/A</v>
      </c>
      <c r="L992" s="27" t="e">
        <f t="shared" si="49"/>
        <v>#N/A</v>
      </c>
    </row>
    <row r="993" spans="9:12" x14ac:dyDescent="0.25">
      <c r="I993" s="24" t="e">
        <f t="shared" si="50"/>
        <v>#N/A</v>
      </c>
      <c r="J993" t="e">
        <f t="shared" si="48"/>
        <v>#N/A</v>
      </c>
      <c r="K993" t="e">
        <f t="shared" si="48"/>
        <v>#N/A</v>
      </c>
      <c r="L993" s="27" t="e">
        <f t="shared" si="49"/>
        <v>#N/A</v>
      </c>
    </row>
    <row r="994" spans="9:12" x14ac:dyDescent="0.25">
      <c r="I994" s="24" t="e">
        <f t="shared" si="50"/>
        <v>#N/A</v>
      </c>
      <c r="J994" t="e">
        <f t="shared" si="48"/>
        <v>#N/A</v>
      </c>
      <c r="K994" t="e">
        <f t="shared" si="48"/>
        <v>#N/A</v>
      </c>
      <c r="L994" s="27" t="e">
        <f t="shared" si="49"/>
        <v>#N/A</v>
      </c>
    </row>
    <row r="995" spans="9:12" x14ac:dyDescent="0.25">
      <c r="I995" s="24" t="e">
        <f t="shared" si="50"/>
        <v>#N/A</v>
      </c>
      <c r="J995" t="e">
        <f t="shared" si="48"/>
        <v>#N/A</v>
      </c>
      <c r="K995" t="e">
        <f t="shared" si="48"/>
        <v>#N/A</v>
      </c>
      <c r="L995" s="27" t="e">
        <f t="shared" si="49"/>
        <v>#N/A</v>
      </c>
    </row>
    <row r="996" spans="9:12" x14ac:dyDescent="0.25">
      <c r="I996" s="24" t="e">
        <f t="shared" si="50"/>
        <v>#N/A</v>
      </c>
      <c r="J996" t="e">
        <f t="shared" si="48"/>
        <v>#N/A</v>
      </c>
      <c r="K996" t="e">
        <f t="shared" si="48"/>
        <v>#N/A</v>
      </c>
      <c r="L996" s="27" t="e">
        <f t="shared" si="49"/>
        <v>#N/A</v>
      </c>
    </row>
    <row r="997" spans="9:12" x14ac:dyDescent="0.25">
      <c r="I997" s="24" t="e">
        <f t="shared" si="50"/>
        <v>#N/A</v>
      </c>
      <c r="J997" t="e">
        <f t="shared" si="48"/>
        <v>#N/A</v>
      </c>
      <c r="K997" t="e">
        <f t="shared" si="48"/>
        <v>#N/A</v>
      </c>
      <c r="L997" s="27" t="e">
        <f t="shared" si="49"/>
        <v>#N/A</v>
      </c>
    </row>
    <row r="998" spans="9:12" x14ac:dyDescent="0.25">
      <c r="I998" s="24" t="e">
        <f t="shared" si="50"/>
        <v>#N/A</v>
      </c>
      <c r="J998" t="e">
        <f t="shared" si="48"/>
        <v>#N/A</v>
      </c>
      <c r="K998" t="e">
        <f t="shared" si="48"/>
        <v>#N/A</v>
      </c>
      <c r="L998" s="27" t="e">
        <f t="shared" si="49"/>
        <v>#N/A</v>
      </c>
    </row>
    <row r="999" spans="9:12" x14ac:dyDescent="0.25">
      <c r="I999" s="24" t="e">
        <f t="shared" si="50"/>
        <v>#N/A</v>
      </c>
      <c r="J999" t="e">
        <f t="shared" si="48"/>
        <v>#N/A</v>
      </c>
      <c r="K999" t="e">
        <f t="shared" si="48"/>
        <v>#N/A</v>
      </c>
      <c r="L999" s="27" t="e">
        <f t="shared" si="49"/>
        <v>#N/A</v>
      </c>
    </row>
    <row r="1000" spans="9:12" x14ac:dyDescent="0.25">
      <c r="I1000" s="24" t="e">
        <f t="shared" si="50"/>
        <v>#N/A</v>
      </c>
      <c r="J1000" t="e">
        <f t="shared" si="48"/>
        <v>#N/A</v>
      </c>
      <c r="K1000" t="e">
        <f t="shared" si="48"/>
        <v>#N/A</v>
      </c>
      <c r="L1000" s="27" t="e">
        <f t="shared" si="49"/>
        <v>#N/A</v>
      </c>
    </row>
  </sheetData>
  <dataValidations count="1">
    <dataValidation type="list" allowBlank="1" showInputMessage="1" showErrorMessage="1" sqref="D4" xr:uid="{6874A2A5-53EE-4487-8BFB-D3967D9F7B5B}">
      <formula1>"English, Metric"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L16-17 Bearings with Weibull</vt:lpstr>
      <vt:lpstr>L17 Quiz</vt:lpstr>
      <vt:lpstr>L1 Shaft Design-Moments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2025-02-08T07:40:18Z</dcterms:created>
  <dcterms:modified xsi:type="dcterms:W3CDTF">2025-12-10T12:11:14Z</dcterms:modified>
  <cp:category/>
  <cp:contentStatus/>
</cp:coreProperties>
</file>