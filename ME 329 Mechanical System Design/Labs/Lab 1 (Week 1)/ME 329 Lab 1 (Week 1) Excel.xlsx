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clbonney_calpoly_edu/Documents/ME 329 Mechanical Systems Design Lab/Lab 1 (Week 1)/"/>
    </mc:Choice>
  </mc:AlternateContent>
  <xr:revisionPtr revIDLastSave="1204" documentId="11_0B1D56BE9CDCCE836B02CE7A5FB0D4A9BBFD1C62" xr6:coauthVersionLast="47" xr6:coauthVersionMax="47" xr10:uidLastSave="{4AE4819B-B515-4A75-B36D-A1D8FB3EA2BE}"/>
  <bookViews>
    <workbookView xWindow="19095" yWindow="0" windowWidth="19410" windowHeight="20985" activeTab="1" xr2:uid="{00000000-000D-0000-FFFF-FFFF00000000}"/>
  </bookViews>
  <sheets>
    <sheet name="Moment Calculations (1)" sheetId="2" r:id="rId1"/>
    <sheet name="Diameter Calculations (1)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0" i="2" l="1"/>
  <c r="G2" i="4" l="1"/>
  <c r="G32" i="4"/>
  <c r="C23" i="4"/>
  <c r="C24" i="4"/>
  <c r="N25" i="2" l="1"/>
  <c r="N26" i="2"/>
  <c r="O19" i="2"/>
  <c r="O18" i="2"/>
  <c r="O17" i="2"/>
  <c r="O16" i="2"/>
  <c r="O15" i="2"/>
  <c r="O13" i="2"/>
  <c r="O12" i="2"/>
  <c r="O11" i="2"/>
  <c r="O10" i="2"/>
  <c r="O9" i="2"/>
  <c r="O7" i="2"/>
  <c r="O4" i="2"/>
  <c r="O6" i="2"/>
  <c r="O5" i="2"/>
  <c r="O3" i="2"/>
  <c r="D2" i="4"/>
  <c r="J22" i="4" l="1"/>
  <c r="J21" i="4"/>
  <c r="I19" i="4"/>
  <c r="I18" i="4"/>
  <c r="G17" i="4"/>
  <c r="I16" i="4"/>
  <c r="G16" i="4"/>
  <c r="I15" i="4"/>
  <c r="G15" i="4"/>
  <c r="D15" i="4"/>
  <c r="G14" i="4"/>
  <c r="D14" i="4"/>
  <c r="E3" i="4"/>
  <c r="H2" i="4"/>
  <c r="E2" i="4"/>
  <c r="D26" i="2" l="1"/>
  <c r="F18" i="2" s="1"/>
  <c r="D18" i="2" s="1"/>
  <c r="D5" i="2"/>
  <c r="H19" i="2" l="1"/>
  <c r="H51" i="2"/>
  <c r="H83" i="2"/>
  <c r="H115" i="2"/>
  <c r="H147" i="2"/>
  <c r="H179" i="2"/>
  <c r="H211" i="2"/>
  <c r="H243" i="2"/>
  <c r="H275" i="2"/>
  <c r="H307" i="2"/>
  <c r="H339" i="2"/>
  <c r="H371" i="2"/>
  <c r="H403" i="2"/>
  <c r="H435" i="2"/>
  <c r="H467" i="2"/>
  <c r="H499" i="2"/>
  <c r="H531" i="2"/>
  <c r="H563" i="2"/>
  <c r="H595" i="2"/>
  <c r="H627" i="2"/>
  <c r="H659" i="2"/>
  <c r="H691" i="2"/>
  <c r="H723" i="2"/>
  <c r="H755" i="2"/>
  <c r="H787" i="2"/>
  <c r="H819" i="2"/>
  <c r="H851" i="2"/>
  <c r="H883" i="2"/>
  <c r="H915" i="2"/>
  <c r="H947" i="2"/>
  <c r="H979" i="2"/>
  <c r="H375" i="2"/>
  <c r="H439" i="2"/>
  <c r="H567" i="2"/>
  <c r="H663" i="2"/>
  <c r="H791" i="2"/>
  <c r="H919" i="2"/>
  <c r="H88" i="2"/>
  <c r="H280" i="2"/>
  <c r="H472" i="2"/>
  <c r="H600" i="2"/>
  <c r="H728" i="2"/>
  <c r="H856" i="2"/>
  <c r="H857" i="2"/>
  <c r="H985" i="2"/>
  <c r="H186" i="2"/>
  <c r="H282" i="2"/>
  <c r="H506" i="2"/>
  <c r="H730" i="2"/>
  <c r="H954" i="2"/>
  <c r="H443" i="2"/>
  <c r="H603" i="2"/>
  <c r="H827" i="2"/>
  <c r="H413" i="2"/>
  <c r="H893" i="2"/>
  <c r="H222" i="2"/>
  <c r="H414" i="2"/>
  <c r="H734" i="2"/>
  <c r="H929" i="2"/>
  <c r="H806" i="2"/>
  <c r="H519" i="2"/>
  <c r="H743" i="2"/>
  <c r="H360" i="2"/>
  <c r="H968" i="2"/>
  <c r="H489" i="2"/>
  <c r="H842" i="2"/>
  <c r="H651" i="2"/>
  <c r="H524" i="2"/>
  <c r="H397" i="2"/>
  <c r="H238" i="2"/>
  <c r="H431" i="2"/>
  <c r="H815" i="2"/>
  <c r="H208" i="2"/>
  <c r="H593" i="2"/>
  <c r="H20" i="2"/>
  <c r="H52" i="2"/>
  <c r="H84" i="2"/>
  <c r="H116" i="2"/>
  <c r="H148" i="2"/>
  <c r="H180" i="2"/>
  <c r="H212" i="2"/>
  <c r="H244" i="2"/>
  <c r="H276" i="2"/>
  <c r="H308" i="2"/>
  <c r="H340" i="2"/>
  <c r="H372" i="2"/>
  <c r="H404" i="2"/>
  <c r="H436" i="2"/>
  <c r="H468" i="2"/>
  <c r="H500" i="2"/>
  <c r="H532" i="2"/>
  <c r="H564" i="2"/>
  <c r="H596" i="2"/>
  <c r="H628" i="2"/>
  <c r="H660" i="2"/>
  <c r="H692" i="2"/>
  <c r="H724" i="2"/>
  <c r="H756" i="2"/>
  <c r="H788" i="2"/>
  <c r="H820" i="2"/>
  <c r="H852" i="2"/>
  <c r="H884" i="2"/>
  <c r="H916" i="2"/>
  <c r="H948" i="2"/>
  <c r="H980" i="2"/>
  <c r="H311" i="2"/>
  <c r="H535" i="2"/>
  <c r="H727" i="2"/>
  <c r="H855" i="2"/>
  <c r="H983" i="2"/>
  <c r="H152" i="2"/>
  <c r="H248" i="2"/>
  <c r="H344" i="2"/>
  <c r="H504" i="2"/>
  <c r="H632" i="2"/>
  <c r="H792" i="2"/>
  <c r="H920" i="2"/>
  <c r="H825" i="2"/>
  <c r="H122" i="2"/>
  <c r="H314" i="2"/>
  <c r="H538" i="2"/>
  <c r="H794" i="2"/>
  <c r="H475" i="2"/>
  <c r="H571" i="2"/>
  <c r="H763" i="2"/>
  <c r="H891" i="2"/>
  <c r="H541" i="2"/>
  <c r="H861" i="2"/>
  <c r="H254" i="2"/>
  <c r="H542" i="2"/>
  <c r="H894" i="2"/>
  <c r="H773" i="2"/>
  <c r="H870" i="2"/>
  <c r="H455" i="2"/>
  <c r="H967" i="2"/>
  <c r="H584" i="2"/>
  <c r="H840" i="2"/>
  <c r="H169" i="2"/>
  <c r="H203" i="2"/>
  <c r="H940" i="2"/>
  <c r="H109" i="2"/>
  <c r="H654" i="2"/>
  <c r="H79" i="2"/>
  <c r="H752" i="2"/>
  <c r="H113" i="2"/>
  <c r="H21" i="2"/>
  <c r="H53" i="2"/>
  <c r="H85" i="2"/>
  <c r="H117" i="2"/>
  <c r="H149" i="2"/>
  <c r="H181" i="2"/>
  <c r="H213" i="2"/>
  <c r="H245" i="2"/>
  <c r="H277" i="2"/>
  <c r="H309" i="2"/>
  <c r="H341" i="2"/>
  <c r="H373" i="2"/>
  <c r="H405" i="2"/>
  <c r="H437" i="2"/>
  <c r="H469" i="2"/>
  <c r="H501" i="2"/>
  <c r="H533" i="2"/>
  <c r="H565" i="2"/>
  <c r="H597" i="2"/>
  <c r="H629" i="2"/>
  <c r="H661" i="2"/>
  <c r="H693" i="2"/>
  <c r="H725" i="2"/>
  <c r="H757" i="2"/>
  <c r="H789" i="2"/>
  <c r="H821" i="2"/>
  <c r="H853" i="2"/>
  <c r="H885" i="2"/>
  <c r="H917" i="2"/>
  <c r="H949" i="2"/>
  <c r="H981" i="2"/>
  <c r="H279" i="2"/>
  <c r="H471" i="2"/>
  <c r="H599" i="2"/>
  <c r="H759" i="2"/>
  <c r="H887" i="2"/>
  <c r="H120" i="2"/>
  <c r="H216" i="2"/>
  <c r="H408" i="2"/>
  <c r="H568" i="2"/>
  <c r="H664" i="2"/>
  <c r="H824" i="2"/>
  <c r="H984" i="2"/>
  <c r="H921" i="2"/>
  <c r="H58" i="2"/>
  <c r="H442" i="2"/>
  <c r="H666" i="2"/>
  <c r="H922" i="2"/>
  <c r="H347" i="2"/>
  <c r="H635" i="2"/>
  <c r="H923" i="2"/>
  <c r="H573" i="2"/>
  <c r="H765" i="2"/>
  <c r="H350" i="2"/>
  <c r="H478" i="2"/>
  <c r="H702" i="2"/>
  <c r="H897" i="2"/>
  <c r="H997" i="2"/>
  <c r="H966" i="2"/>
  <c r="H423" i="2"/>
  <c r="H935" i="2"/>
  <c r="H616" i="2"/>
  <c r="H41" i="2"/>
  <c r="H427" i="2"/>
  <c r="H428" i="2"/>
  <c r="H557" i="2"/>
  <c r="H334" i="2"/>
  <c r="H878" i="2"/>
  <c r="H591" i="2"/>
  <c r="H943" i="2"/>
  <c r="H464" i="2"/>
  <c r="H848" i="2"/>
  <c r="H401" i="2"/>
  <c r="H946" i="2"/>
  <c r="H22" i="2"/>
  <c r="H54" i="2"/>
  <c r="H86" i="2"/>
  <c r="H118" i="2"/>
  <c r="H150" i="2"/>
  <c r="H182" i="2"/>
  <c r="H214" i="2"/>
  <c r="H246" i="2"/>
  <c r="H278" i="2"/>
  <c r="H310" i="2"/>
  <c r="H342" i="2"/>
  <c r="H374" i="2"/>
  <c r="H406" i="2"/>
  <c r="H438" i="2"/>
  <c r="H470" i="2"/>
  <c r="H502" i="2"/>
  <c r="H534" i="2"/>
  <c r="H566" i="2"/>
  <c r="H598" i="2"/>
  <c r="H630" i="2"/>
  <c r="H662" i="2"/>
  <c r="H694" i="2"/>
  <c r="H726" i="2"/>
  <c r="H758" i="2"/>
  <c r="H790" i="2"/>
  <c r="H822" i="2"/>
  <c r="H854" i="2"/>
  <c r="H886" i="2"/>
  <c r="H918" i="2"/>
  <c r="H950" i="2"/>
  <c r="H982" i="2"/>
  <c r="H247" i="2"/>
  <c r="H503" i="2"/>
  <c r="H695" i="2"/>
  <c r="H823" i="2"/>
  <c r="H56" i="2"/>
  <c r="H184" i="2"/>
  <c r="H376" i="2"/>
  <c r="H536" i="2"/>
  <c r="H696" i="2"/>
  <c r="H888" i="2"/>
  <c r="H889" i="2"/>
  <c r="H90" i="2"/>
  <c r="H378" i="2"/>
  <c r="H634" i="2"/>
  <c r="H858" i="2"/>
  <c r="H283" i="2"/>
  <c r="H731" i="2"/>
  <c r="H477" i="2"/>
  <c r="H733" i="2"/>
  <c r="H286" i="2"/>
  <c r="H510" i="2"/>
  <c r="H862" i="2"/>
  <c r="H741" i="2"/>
  <c r="H167" i="2"/>
  <c r="H903" i="2"/>
  <c r="H712" i="2"/>
  <c r="H73" i="2"/>
  <c r="H555" i="2"/>
  <c r="H364" i="2"/>
  <c r="H685" i="2"/>
  <c r="H206" i="2"/>
  <c r="H399" i="2"/>
  <c r="H783" i="2"/>
  <c r="H240" i="2"/>
  <c r="H529" i="2"/>
  <c r="H23" i="2"/>
  <c r="H55" i="2"/>
  <c r="H87" i="2"/>
  <c r="H119" i="2"/>
  <c r="H151" i="2"/>
  <c r="H183" i="2"/>
  <c r="H215" i="2"/>
  <c r="H343" i="2"/>
  <c r="H407" i="2"/>
  <c r="H631" i="2"/>
  <c r="H951" i="2"/>
  <c r="H312" i="2"/>
  <c r="H760" i="2"/>
  <c r="H218" i="2"/>
  <c r="H410" i="2"/>
  <c r="H602" i="2"/>
  <c r="H762" i="2"/>
  <c r="H986" i="2"/>
  <c r="H507" i="2"/>
  <c r="H795" i="2"/>
  <c r="H605" i="2"/>
  <c r="H957" i="2"/>
  <c r="H158" i="2"/>
  <c r="H606" i="2"/>
  <c r="H646" i="2"/>
  <c r="H871" i="2"/>
  <c r="H104" i="2"/>
  <c r="H808" i="2"/>
  <c r="H713" i="2"/>
  <c r="H746" i="2"/>
  <c r="H715" i="2"/>
  <c r="H300" i="2"/>
  <c r="H845" i="2"/>
  <c r="H78" i="2"/>
  <c r="H687" i="2"/>
  <c r="H368" i="2"/>
  <c r="H817" i="2"/>
  <c r="H722" i="2"/>
  <c r="H24" i="2"/>
  <c r="H440" i="2"/>
  <c r="H952" i="2"/>
  <c r="H250" i="2"/>
  <c r="H474" i="2"/>
  <c r="H698" i="2"/>
  <c r="H890" i="2"/>
  <c r="H379" i="2"/>
  <c r="H667" i="2"/>
  <c r="H955" i="2"/>
  <c r="H637" i="2"/>
  <c r="H925" i="2"/>
  <c r="H94" i="2"/>
  <c r="H670" i="2"/>
  <c r="H678" i="2"/>
  <c r="H807" i="2"/>
  <c r="H136" i="2"/>
  <c r="H585" i="2"/>
  <c r="H777" i="2"/>
  <c r="H618" i="2"/>
  <c r="H747" i="2"/>
  <c r="H780" i="2"/>
  <c r="H237" i="2"/>
  <c r="H494" i="2"/>
  <c r="H974" i="2"/>
  <c r="H655" i="2"/>
  <c r="H112" i="2"/>
  <c r="H912" i="2"/>
  <c r="H626" i="2"/>
  <c r="H25" i="2"/>
  <c r="H57" i="2"/>
  <c r="H89" i="2"/>
  <c r="H121" i="2"/>
  <c r="H153" i="2"/>
  <c r="H185" i="2"/>
  <c r="H217" i="2"/>
  <c r="H249" i="2"/>
  <c r="H281" i="2"/>
  <c r="H313" i="2"/>
  <c r="H345" i="2"/>
  <c r="H377" i="2"/>
  <c r="H409" i="2"/>
  <c r="H441" i="2"/>
  <c r="H473" i="2"/>
  <c r="H505" i="2"/>
  <c r="H537" i="2"/>
  <c r="H569" i="2"/>
  <c r="H601" i="2"/>
  <c r="H633" i="2"/>
  <c r="H665" i="2"/>
  <c r="H697" i="2"/>
  <c r="H729" i="2"/>
  <c r="H761" i="2"/>
  <c r="H793" i="2"/>
  <c r="H953" i="2"/>
  <c r="H154" i="2"/>
  <c r="H346" i="2"/>
  <c r="H570" i="2"/>
  <c r="H826" i="2"/>
  <c r="H315" i="2"/>
  <c r="H699" i="2"/>
  <c r="H987" i="2"/>
  <c r="H509" i="2"/>
  <c r="H797" i="2"/>
  <c r="H318" i="2"/>
  <c r="H574" i="2"/>
  <c r="H926" i="2"/>
  <c r="H709" i="2"/>
  <c r="H135" i="2"/>
  <c r="H552" i="2"/>
  <c r="H872" i="2"/>
  <c r="H265" i="2"/>
  <c r="H970" i="2"/>
  <c r="H619" i="2"/>
  <c r="H716" i="2"/>
  <c r="H461" i="2"/>
  <c r="H558" i="2"/>
  <c r="H942" i="2"/>
  <c r="H303" i="2"/>
  <c r="H975" i="2"/>
  <c r="H592" i="2"/>
  <c r="H241" i="2"/>
  <c r="H26" i="2"/>
  <c r="H669" i="2"/>
  <c r="H126" i="2"/>
  <c r="H766" i="2"/>
  <c r="H902" i="2"/>
  <c r="H583" i="2"/>
  <c r="H648" i="2"/>
  <c r="H617" i="2"/>
  <c r="H937" i="2"/>
  <c r="H778" i="2"/>
  <c r="H843" i="2"/>
  <c r="H844" i="2"/>
  <c r="H333" i="2"/>
  <c r="H814" i="2"/>
  <c r="H495" i="2"/>
  <c r="H688" i="2"/>
  <c r="H465" i="2"/>
  <c r="H27" i="2"/>
  <c r="H59" i="2"/>
  <c r="H91" i="2"/>
  <c r="H123" i="2"/>
  <c r="H155" i="2"/>
  <c r="H187" i="2"/>
  <c r="H219" i="2"/>
  <c r="H251" i="2"/>
  <c r="H411" i="2"/>
  <c r="H539" i="2"/>
  <c r="H859" i="2"/>
  <c r="H829" i="2"/>
  <c r="H30" i="2"/>
  <c r="H830" i="2"/>
  <c r="H199" i="2"/>
  <c r="H105" i="2"/>
  <c r="H875" i="2"/>
  <c r="H748" i="2"/>
  <c r="H717" i="2"/>
  <c r="H174" i="2"/>
  <c r="H16" i="2"/>
  <c r="H594" i="2"/>
  <c r="H28" i="2"/>
  <c r="H60" i="2"/>
  <c r="H92" i="2"/>
  <c r="H124" i="2"/>
  <c r="H156" i="2"/>
  <c r="H188" i="2"/>
  <c r="H220" i="2"/>
  <c r="H252" i="2"/>
  <c r="H284" i="2"/>
  <c r="H316" i="2"/>
  <c r="H348" i="2"/>
  <c r="H380" i="2"/>
  <c r="H412" i="2"/>
  <c r="H444" i="2"/>
  <c r="H476" i="2"/>
  <c r="H508" i="2"/>
  <c r="H540" i="2"/>
  <c r="H572" i="2"/>
  <c r="H604" i="2"/>
  <c r="H636" i="2"/>
  <c r="H668" i="2"/>
  <c r="H700" i="2"/>
  <c r="H732" i="2"/>
  <c r="H764" i="2"/>
  <c r="H796" i="2"/>
  <c r="H828" i="2"/>
  <c r="H860" i="2"/>
  <c r="H892" i="2"/>
  <c r="H924" i="2"/>
  <c r="H956" i="2"/>
  <c r="H988" i="2"/>
  <c r="H445" i="2"/>
  <c r="H989" i="2"/>
  <c r="H382" i="2"/>
  <c r="H446" i="2"/>
  <c r="H638" i="2"/>
  <c r="H990" i="2"/>
  <c r="H996" i="2"/>
  <c r="H933" i="2"/>
  <c r="H231" i="2"/>
  <c r="H392" i="2"/>
  <c r="H329" i="2"/>
  <c r="H905" i="2"/>
  <c r="H235" i="2"/>
  <c r="H77" i="2"/>
  <c r="H750" i="2"/>
  <c r="H207" i="2"/>
  <c r="H528" i="2"/>
  <c r="H177" i="2"/>
  <c r="H29" i="2"/>
  <c r="H61" i="2"/>
  <c r="H93" i="2"/>
  <c r="H125" i="2"/>
  <c r="H157" i="2"/>
  <c r="H189" i="2"/>
  <c r="H221" i="2"/>
  <c r="H253" i="2"/>
  <c r="H285" i="2"/>
  <c r="H317" i="2"/>
  <c r="H349" i="2"/>
  <c r="H381" i="2"/>
  <c r="H701" i="2"/>
  <c r="H190" i="2"/>
  <c r="H798" i="2"/>
  <c r="H710" i="2"/>
  <c r="H839" i="2"/>
  <c r="H296" i="2"/>
  <c r="H586" i="2"/>
  <c r="H204" i="2"/>
  <c r="H909" i="2"/>
  <c r="H46" i="2"/>
  <c r="H48" i="2"/>
  <c r="H818" i="2"/>
  <c r="H62" i="2"/>
  <c r="H958" i="2"/>
  <c r="H615" i="2"/>
  <c r="H680" i="2"/>
  <c r="H553" i="2"/>
  <c r="H363" i="2"/>
  <c r="H269" i="2"/>
  <c r="H782" i="2"/>
  <c r="H335" i="2"/>
  <c r="H784" i="2"/>
  <c r="H433" i="2"/>
  <c r="H31" i="2"/>
  <c r="H63" i="2"/>
  <c r="H95" i="2"/>
  <c r="H127" i="2"/>
  <c r="H159" i="2"/>
  <c r="H191" i="2"/>
  <c r="H223" i="2"/>
  <c r="H255" i="2"/>
  <c r="H287" i="2"/>
  <c r="H319" i="2"/>
  <c r="H351" i="2"/>
  <c r="H383" i="2"/>
  <c r="H415" i="2"/>
  <c r="H447" i="2"/>
  <c r="H479" i="2"/>
  <c r="H511" i="2"/>
  <c r="H543" i="2"/>
  <c r="H575" i="2"/>
  <c r="H607" i="2"/>
  <c r="H639" i="2"/>
  <c r="H671" i="2"/>
  <c r="H703" i="2"/>
  <c r="H735" i="2"/>
  <c r="H767" i="2"/>
  <c r="H799" i="2"/>
  <c r="H831" i="2"/>
  <c r="H863" i="2"/>
  <c r="H895" i="2"/>
  <c r="H927" i="2"/>
  <c r="H959" i="2"/>
  <c r="H991" i="2"/>
  <c r="H512" i="2"/>
  <c r="H640" i="2"/>
  <c r="H736" i="2"/>
  <c r="H800" i="2"/>
  <c r="H864" i="2"/>
  <c r="H928" i="2"/>
  <c r="H992" i="2"/>
  <c r="H961" i="2"/>
  <c r="H742" i="2"/>
  <c r="H711" i="2"/>
  <c r="H72" i="2"/>
  <c r="H776" i="2"/>
  <c r="H681" i="2"/>
  <c r="H969" i="2"/>
  <c r="H714" i="2"/>
  <c r="H779" i="2"/>
  <c r="H268" i="2"/>
  <c r="H749" i="2"/>
  <c r="H110" i="2"/>
  <c r="H623" i="2"/>
  <c r="H336" i="2"/>
  <c r="H657" i="2"/>
  <c r="H32" i="2"/>
  <c r="H64" i="2"/>
  <c r="H96" i="2"/>
  <c r="H128" i="2"/>
  <c r="H160" i="2"/>
  <c r="H192" i="2"/>
  <c r="H224" i="2"/>
  <c r="H256" i="2"/>
  <c r="H288" i="2"/>
  <c r="H320" i="2"/>
  <c r="H352" i="2"/>
  <c r="H384" i="2"/>
  <c r="H416" i="2"/>
  <c r="H448" i="2"/>
  <c r="H480" i="2"/>
  <c r="H544" i="2"/>
  <c r="H576" i="2"/>
  <c r="H608" i="2"/>
  <c r="H672" i="2"/>
  <c r="H704" i="2"/>
  <c r="H768" i="2"/>
  <c r="H832" i="2"/>
  <c r="H896" i="2"/>
  <c r="H960" i="2"/>
  <c r="H801" i="2"/>
  <c r="H993" i="2"/>
  <c r="H934" i="2"/>
  <c r="H551" i="2"/>
  <c r="H264" i="2"/>
  <c r="H393" i="2"/>
  <c r="H874" i="2"/>
  <c r="H683" i="2"/>
  <c r="H556" i="2"/>
  <c r="H525" i="2"/>
  <c r="H590" i="2"/>
  <c r="H175" i="2"/>
  <c r="H624" i="2"/>
  <c r="H944" i="2"/>
  <c r="H369" i="2"/>
  <c r="H913" i="2"/>
  <c r="H33" i="2"/>
  <c r="H65" i="2"/>
  <c r="H97" i="2"/>
  <c r="H129" i="2"/>
  <c r="H161" i="2"/>
  <c r="H193" i="2"/>
  <c r="H225" i="2"/>
  <c r="H257" i="2"/>
  <c r="H289" i="2"/>
  <c r="H321" i="2"/>
  <c r="H353" i="2"/>
  <c r="H385" i="2"/>
  <c r="H417" i="2"/>
  <c r="H449" i="2"/>
  <c r="H481" i="2"/>
  <c r="H513" i="2"/>
  <c r="H545" i="2"/>
  <c r="H577" i="2"/>
  <c r="H609" i="2"/>
  <c r="H641" i="2"/>
  <c r="H673" i="2"/>
  <c r="H705" i="2"/>
  <c r="H737" i="2"/>
  <c r="H769" i="2"/>
  <c r="H833" i="2"/>
  <c r="H865" i="2"/>
  <c r="H965" i="2"/>
  <c r="H263" i="2"/>
  <c r="H488" i="2"/>
  <c r="H1000" i="2"/>
  <c r="H425" i="2"/>
  <c r="H938" i="2"/>
  <c r="H523" i="2"/>
  <c r="H492" i="2"/>
  <c r="H429" i="2"/>
  <c r="H270" i="2"/>
  <c r="H846" i="2"/>
  <c r="H463" i="2"/>
  <c r="H847" i="2"/>
  <c r="H304" i="2"/>
  <c r="H561" i="2"/>
  <c r="H34" i="2"/>
  <c r="H66" i="2"/>
  <c r="H98" i="2"/>
  <c r="H130" i="2"/>
  <c r="H162" i="2"/>
  <c r="H194" i="2"/>
  <c r="H226" i="2"/>
  <c r="H258" i="2"/>
  <c r="H290" i="2"/>
  <c r="H322" i="2"/>
  <c r="H354" i="2"/>
  <c r="H386" i="2"/>
  <c r="H418" i="2"/>
  <c r="H450" i="2"/>
  <c r="H482" i="2"/>
  <c r="H514" i="2"/>
  <c r="H546" i="2"/>
  <c r="H578" i="2"/>
  <c r="H610" i="2"/>
  <c r="H642" i="2"/>
  <c r="H674" i="2"/>
  <c r="H706" i="2"/>
  <c r="H738" i="2"/>
  <c r="H770" i="2"/>
  <c r="H802" i="2"/>
  <c r="H834" i="2"/>
  <c r="H866" i="2"/>
  <c r="H898" i="2"/>
  <c r="H930" i="2"/>
  <c r="H962" i="2"/>
  <c r="H994" i="2"/>
  <c r="H869" i="2"/>
  <c r="H998" i="2"/>
  <c r="H391" i="2"/>
  <c r="H328" i="2"/>
  <c r="H297" i="2"/>
  <c r="H3" i="2"/>
  <c r="H459" i="2"/>
  <c r="H908" i="2"/>
  <c r="H141" i="2"/>
  <c r="H686" i="2"/>
  <c r="H271" i="2"/>
  <c r="H560" i="2"/>
  <c r="H273" i="2"/>
  <c r="H978" i="2"/>
  <c r="H35" i="2"/>
  <c r="H67" i="2"/>
  <c r="H99" i="2"/>
  <c r="H131" i="2"/>
  <c r="H163" i="2"/>
  <c r="H195" i="2"/>
  <c r="H227" i="2"/>
  <c r="H259" i="2"/>
  <c r="H291" i="2"/>
  <c r="H323" i="2"/>
  <c r="H355" i="2"/>
  <c r="H387" i="2"/>
  <c r="H419" i="2"/>
  <c r="H451" i="2"/>
  <c r="H483" i="2"/>
  <c r="H515" i="2"/>
  <c r="H547" i="2"/>
  <c r="H579" i="2"/>
  <c r="H611" i="2"/>
  <c r="H643" i="2"/>
  <c r="H675" i="2"/>
  <c r="H707" i="2"/>
  <c r="H739" i="2"/>
  <c r="H771" i="2"/>
  <c r="H803" i="2"/>
  <c r="H835" i="2"/>
  <c r="H867" i="2"/>
  <c r="H899" i="2"/>
  <c r="H931" i="2"/>
  <c r="H963" i="2"/>
  <c r="H995" i="2"/>
  <c r="H772" i="2"/>
  <c r="H868" i="2"/>
  <c r="H932" i="2"/>
  <c r="H805" i="2"/>
  <c r="H838" i="2"/>
  <c r="H487" i="2"/>
  <c r="H999" i="2"/>
  <c r="H456" i="2"/>
  <c r="H201" i="2"/>
  <c r="H587" i="2"/>
  <c r="H460" i="2"/>
  <c r="H365" i="2"/>
  <c r="H622" i="2"/>
  <c r="H111" i="2"/>
  <c r="H720" i="2"/>
  <c r="H305" i="2"/>
  <c r="H945" i="2"/>
  <c r="H4" i="2"/>
  <c r="H36" i="2"/>
  <c r="H68" i="2"/>
  <c r="H100" i="2"/>
  <c r="H132" i="2"/>
  <c r="H164" i="2"/>
  <c r="H196" i="2"/>
  <c r="H228" i="2"/>
  <c r="H260" i="2"/>
  <c r="H292" i="2"/>
  <c r="H324" i="2"/>
  <c r="H356" i="2"/>
  <c r="H388" i="2"/>
  <c r="H420" i="2"/>
  <c r="H452" i="2"/>
  <c r="H484" i="2"/>
  <c r="H516" i="2"/>
  <c r="H548" i="2"/>
  <c r="H580" i="2"/>
  <c r="H612" i="2"/>
  <c r="H644" i="2"/>
  <c r="H676" i="2"/>
  <c r="H708" i="2"/>
  <c r="H740" i="2"/>
  <c r="H804" i="2"/>
  <c r="H836" i="2"/>
  <c r="H900" i="2"/>
  <c r="H964" i="2"/>
  <c r="H901" i="2"/>
  <c r="H295" i="2"/>
  <c r="H424" i="2"/>
  <c r="H936" i="2"/>
  <c r="H521" i="2"/>
  <c r="H809" i="2"/>
  <c r="H331" i="2"/>
  <c r="H684" i="2"/>
  <c r="H621" i="2"/>
  <c r="H973" i="2"/>
  <c r="H526" i="2"/>
  <c r="H143" i="2"/>
  <c r="H656" i="2"/>
  <c r="H816" i="2"/>
  <c r="H337" i="2"/>
  <c r="H977" i="2"/>
  <c r="H5" i="2"/>
  <c r="H37" i="2"/>
  <c r="H69" i="2"/>
  <c r="H101" i="2"/>
  <c r="H133" i="2"/>
  <c r="H165" i="2"/>
  <c r="H197" i="2"/>
  <c r="H229" i="2"/>
  <c r="H261" i="2"/>
  <c r="H293" i="2"/>
  <c r="H325" i="2"/>
  <c r="H357" i="2"/>
  <c r="H389" i="2"/>
  <c r="H421" i="2"/>
  <c r="H453" i="2"/>
  <c r="H485" i="2"/>
  <c r="H517" i="2"/>
  <c r="H549" i="2"/>
  <c r="H581" i="2"/>
  <c r="H613" i="2"/>
  <c r="H645" i="2"/>
  <c r="H677" i="2"/>
  <c r="H837" i="2"/>
  <c r="H327" i="2"/>
  <c r="H775" i="2"/>
  <c r="H520" i="2"/>
  <c r="H904" i="2"/>
  <c r="H233" i="2"/>
  <c r="H906" i="2"/>
  <c r="H491" i="2"/>
  <c r="H396" i="2"/>
  <c r="H589" i="2"/>
  <c r="H302" i="2"/>
  <c r="H910" i="2"/>
  <c r="H559" i="2"/>
  <c r="H176" i="2"/>
  <c r="H753" i="2"/>
  <c r="H754" i="2"/>
  <c r="H6" i="2"/>
  <c r="H38" i="2"/>
  <c r="H70" i="2"/>
  <c r="H102" i="2"/>
  <c r="H134" i="2"/>
  <c r="H166" i="2"/>
  <c r="H198" i="2"/>
  <c r="H230" i="2"/>
  <c r="H262" i="2"/>
  <c r="H294" i="2"/>
  <c r="H326" i="2"/>
  <c r="H358" i="2"/>
  <c r="H390" i="2"/>
  <c r="H422" i="2"/>
  <c r="H454" i="2"/>
  <c r="H486" i="2"/>
  <c r="H518" i="2"/>
  <c r="H550" i="2"/>
  <c r="H582" i="2"/>
  <c r="H614" i="2"/>
  <c r="H774" i="2"/>
  <c r="H647" i="2"/>
  <c r="H200" i="2"/>
  <c r="H361" i="2"/>
  <c r="H873" i="2"/>
  <c r="H267" i="2"/>
  <c r="H876" i="2"/>
  <c r="H173" i="2"/>
  <c r="H718" i="2"/>
  <c r="H239" i="2"/>
  <c r="H496" i="2"/>
  <c r="H209" i="2"/>
  <c r="H7" i="2"/>
  <c r="H39" i="2"/>
  <c r="H71" i="2"/>
  <c r="H103" i="2"/>
  <c r="H359" i="2"/>
  <c r="H679" i="2"/>
  <c r="H232" i="2"/>
  <c r="H457" i="2"/>
  <c r="H841" i="2"/>
  <c r="H299" i="2"/>
  <c r="H652" i="2"/>
  <c r="H653" i="2"/>
  <c r="H941" i="2"/>
  <c r="H366" i="2"/>
  <c r="H367" i="2"/>
  <c r="H879" i="2"/>
  <c r="H272" i="2"/>
  <c r="H976" i="2"/>
  <c r="H785" i="2"/>
  <c r="H786" i="2"/>
  <c r="H8" i="2"/>
  <c r="H40" i="2"/>
  <c r="H168" i="2"/>
  <c r="H744" i="2"/>
  <c r="H649" i="2"/>
  <c r="H682" i="2"/>
  <c r="H811" i="2"/>
  <c r="H812" i="2"/>
  <c r="H493" i="2"/>
  <c r="H462" i="2"/>
  <c r="H527" i="2"/>
  <c r="H911" i="2"/>
  <c r="H144" i="2"/>
  <c r="H880" i="2"/>
  <c r="H658" i="2"/>
  <c r="H9" i="2"/>
  <c r="H137" i="2"/>
  <c r="H745" i="2"/>
  <c r="H907" i="2"/>
  <c r="H620" i="2"/>
  <c r="H781" i="2"/>
  <c r="H398" i="2"/>
  <c r="H751" i="2"/>
  <c r="H400" i="2"/>
  <c r="H881" i="2"/>
  <c r="H882" i="2"/>
  <c r="H10" i="2"/>
  <c r="H42" i="2"/>
  <c r="H74" i="2"/>
  <c r="H106" i="2"/>
  <c r="H138" i="2"/>
  <c r="H170" i="2"/>
  <c r="H202" i="2"/>
  <c r="H234" i="2"/>
  <c r="H266" i="2"/>
  <c r="H298" i="2"/>
  <c r="H330" i="2"/>
  <c r="H362" i="2"/>
  <c r="H394" i="2"/>
  <c r="H426" i="2"/>
  <c r="H458" i="2"/>
  <c r="H490" i="2"/>
  <c r="H522" i="2"/>
  <c r="H554" i="2"/>
  <c r="H650" i="2"/>
  <c r="H810" i="2"/>
  <c r="H971" i="2"/>
  <c r="H588" i="2"/>
  <c r="H813" i="2"/>
  <c r="H430" i="2"/>
  <c r="H719" i="2"/>
  <c r="H432" i="2"/>
  <c r="H849" i="2"/>
  <c r="H914" i="2"/>
  <c r="H11" i="2"/>
  <c r="H43" i="2"/>
  <c r="H75" i="2"/>
  <c r="H107" i="2"/>
  <c r="H139" i="2"/>
  <c r="H171" i="2"/>
  <c r="H395" i="2"/>
  <c r="H939" i="2"/>
  <c r="H972" i="2"/>
  <c r="H205" i="2"/>
  <c r="H15" i="2"/>
  <c r="H497" i="2"/>
  <c r="H12" i="2"/>
  <c r="H44" i="2"/>
  <c r="H76" i="2"/>
  <c r="H108" i="2"/>
  <c r="H140" i="2"/>
  <c r="H172" i="2"/>
  <c r="H236" i="2"/>
  <c r="H332" i="2"/>
  <c r="H877" i="2"/>
  <c r="H142" i="2"/>
  <c r="H80" i="2"/>
  <c r="H850" i="2"/>
  <c r="H13" i="2"/>
  <c r="H45" i="2"/>
  <c r="H301" i="2"/>
  <c r="H47" i="2"/>
  <c r="H625" i="2"/>
  <c r="H14" i="2"/>
  <c r="H721" i="2"/>
  <c r="H17" i="2"/>
  <c r="H49" i="2"/>
  <c r="H81" i="2"/>
  <c r="H145" i="2"/>
  <c r="H689" i="2"/>
  <c r="H18" i="2"/>
  <c r="H50" i="2"/>
  <c r="H82" i="2"/>
  <c r="H114" i="2"/>
  <c r="H146" i="2"/>
  <c r="H178" i="2"/>
  <c r="H210" i="2"/>
  <c r="H242" i="2"/>
  <c r="H274" i="2"/>
  <c r="H306" i="2"/>
  <c r="H338" i="2"/>
  <c r="H370" i="2"/>
  <c r="H402" i="2"/>
  <c r="H434" i="2"/>
  <c r="H466" i="2"/>
  <c r="H498" i="2"/>
  <c r="H530" i="2"/>
  <c r="H562" i="2"/>
  <c r="H690" i="2"/>
  <c r="E18" i="2"/>
  <c r="F19" i="2"/>
  <c r="D19" i="2" s="1"/>
  <c r="E19" i="2" l="1"/>
  <c r="D30" i="2"/>
  <c r="D29" i="2" s="1"/>
  <c r="I2" i="2" s="1"/>
  <c r="D25" i="2"/>
  <c r="C15" i="4" s="1"/>
  <c r="E30" i="2"/>
  <c r="E29" i="2" s="1"/>
  <c r="F17" i="4" l="1"/>
  <c r="I88" i="2"/>
  <c r="J8" i="2"/>
  <c r="J133" i="2"/>
  <c r="J164" i="2"/>
  <c r="J187" i="2"/>
  <c r="J213" i="2"/>
  <c r="J276" i="2"/>
  <c r="J407" i="2"/>
  <c r="J429" i="2"/>
  <c r="J455" i="2"/>
  <c r="J484" i="2"/>
  <c r="J504" i="2"/>
  <c r="J529" i="2"/>
  <c r="J555" i="2"/>
  <c r="J580" i="2"/>
  <c r="J626" i="2"/>
  <c r="J667" i="2"/>
  <c r="J693" i="2"/>
  <c r="J718" i="2"/>
  <c r="J757" i="2"/>
  <c r="J806" i="2"/>
  <c r="J824" i="2"/>
  <c r="J844" i="2"/>
  <c r="J863" i="2"/>
  <c r="J933" i="2"/>
  <c r="J950" i="2"/>
  <c r="J986" i="2"/>
  <c r="J823" i="2"/>
  <c r="J9" i="2"/>
  <c r="J45" i="2"/>
  <c r="J72" i="2"/>
  <c r="J104" i="2"/>
  <c r="J246" i="2"/>
  <c r="J302" i="2"/>
  <c r="J335" i="2"/>
  <c r="J359" i="2"/>
  <c r="J380" i="2"/>
  <c r="J597" i="2"/>
  <c r="J650" i="2"/>
  <c r="J740" i="2"/>
  <c r="J758" i="2"/>
  <c r="J782" i="2"/>
  <c r="J885" i="2"/>
  <c r="J908" i="2"/>
  <c r="J970" i="2"/>
  <c r="J103" i="2"/>
  <c r="J649" i="2"/>
  <c r="J134" i="2"/>
  <c r="J165" i="2"/>
  <c r="J196" i="2"/>
  <c r="J214" i="2"/>
  <c r="J277" i="2"/>
  <c r="J408" i="2"/>
  <c r="J430" i="2"/>
  <c r="J456" i="2"/>
  <c r="J485" i="2"/>
  <c r="J505" i="2"/>
  <c r="J530" i="2"/>
  <c r="J556" i="2"/>
  <c r="J581" i="2"/>
  <c r="J627" i="2"/>
  <c r="J694" i="2"/>
  <c r="J807" i="2"/>
  <c r="J825" i="2"/>
  <c r="J845" i="2"/>
  <c r="J868" i="2"/>
  <c r="J909" i="2"/>
  <c r="J934" i="2"/>
  <c r="J951" i="2"/>
  <c r="J987" i="2"/>
  <c r="J717" i="2"/>
  <c r="J358" i="2"/>
  <c r="J905" i="2"/>
  <c r="J17" i="2"/>
  <c r="J74" i="2"/>
  <c r="J247" i="2"/>
  <c r="J303" i="2"/>
  <c r="J360" i="2"/>
  <c r="J388" i="2"/>
  <c r="J457" i="2"/>
  <c r="J598" i="2"/>
  <c r="J651" i="2"/>
  <c r="J676" i="2"/>
  <c r="J721" i="2"/>
  <c r="J741" i="2"/>
  <c r="J759" i="2"/>
  <c r="J783" i="2"/>
  <c r="J886" i="2"/>
  <c r="J971" i="2"/>
  <c r="J692" i="2"/>
  <c r="J379" i="2"/>
  <c r="J49" i="2"/>
  <c r="J106" i="2"/>
  <c r="J135" i="2"/>
  <c r="J166" i="2"/>
  <c r="J197" i="2"/>
  <c r="J221" i="2"/>
  <c r="J278" i="2"/>
  <c r="J337" i="2"/>
  <c r="J431" i="2"/>
  <c r="J460" i="2"/>
  <c r="J486" i="2"/>
  <c r="J506" i="2"/>
  <c r="J531" i="2"/>
  <c r="J557" i="2"/>
  <c r="J582" i="2"/>
  <c r="J628" i="2"/>
  <c r="J695" i="2"/>
  <c r="J808" i="2"/>
  <c r="J826" i="2"/>
  <c r="J846" i="2"/>
  <c r="J869" i="2"/>
  <c r="J935" i="2"/>
  <c r="J952" i="2"/>
  <c r="J988" i="2"/>
  <c r="J155" i="2"/>
  <c r="J454" i="2"/>
  <c r="J331" i="2"/>
  <c r="J884" i="2"/>
  <c r="J16" i="2"/>
  <c r="J18" i="2"/>
  <c r="J50" i="2"/>
  <c r="J75" i="2"/>
  <c r="J248" i="2"/>
  <c r="J361" i="2"/>
  <c r="J389" i="2"/>
  <c r="J410" i="2"/>
  <c r="J602" i="2"/>
  <c r="J652" i="2"/>
  <c r="J677" i="2"/>
  <c r="J722" i="2"/>
  <c r="J742" i="2"/>
  <c r="J760" i="2"/>
  <c r="J809" i="2"/>
  <c r="J887" i="2"/>
  <c r="J913" i="2"/>
  <c r="J972" i="2"/>
  <c r="J212" i="2"/>
  <c r="J666" i="2"/>
  <c r="J968" i="2"/>
  <c r="J19" i="2"/>
  <c r="J107" i="2"/>
  <c r="J136" i="2"/>
  <c r="J167" i="2"/>
  <c r="J198" i="2"/>
  <c r="J222" i="2"/>
  <c r="J279" i="2"/>
  <c r="J305" i="2"/>
  <c r="J338" i="2"/>
  <c r="J461" i="2"/>
  <c r="J487" i="2"/>
  <c r="J514" i="2"/>
  <c r="J532" i="2"/>
  <c r="J558" i="2"/>
  <c r="J583" i="2"/>
  <c r="J629" i="2"/>
  <c r="J696" i="2"/>
  <c r="J785" i="2"/>
  <c r="J827" i="2"/>
  <c r="J847" i="2"/>
  <c r="J870" i="2"/>
  <c r="J936" i="2"/>
  <c r="J953" i="2"/>
  <c r="J991" i="2"/>
  <c r="J76" i="2"/>
  <c r="J251" i="2"/>
  <c r="J362" i="2"/>
  <c r="J390" i="2"/>
  <c r="J411" i="2"/>
  <c r="J433" i="2"/>
  <c r="J603" i="2"/>
  <c r="J653" i="2"/>
  <c r="J678" i="2"/>
  <c r="J723" i="2"/>
  <c r="J743" i="2"/>
  <c r="J761" i="2"/>
  <c r="J810" i="2"/>
  <c r="J888" i="2"/>
  <c r="J914" i="2"/>
  <c r="J973" i="2"/>
  <c r="J862" i="2"/>
  <c r="J32" i="2"/>
  <c r="J20" i="2"/>
  <c r="J108" i="2"/>
  <c r="J138" i="2"/>
  <c r="J168" i="2"/>
  <c r="J199" i="2"/>
  <c r="J228" i="2"/>
  <c r="J280" i="2"/>
  <c r="J306" i="2"/>
  <c r="J339" i="2"/>
  <c r="J462" i="2"/>
  <c r="J488" i="2"/>
  <c r="J516" i="2"/>
  <c r="J533" i="2"/>
  <c r="J584" i="2"/>
  <c r="J630" i="2"/>
  <c r="J700" i="2"/>
  <c r="J786" i="2"/>
  <c r="J828" i="2"/>
  <c r="J871" i="2"/>
  <c r="J937" i="2"/>
  <c r="J954" i="2"/>
  <c r="J53" i="2"/>
  <c r="J77" i="2"/>
  <c r="J171" i="2"/>
  <c r="J310" i="2"/>
  <c r="J363" i="2"/>
  <c r="J391" i="2"/>
  <c r="J412" i="2"/>
  <c r="J434" i="2"/>
  <c r="J489" i="2"/>
  <c r="J562" i="2"/>
  <c r="J604" i="2"/>
  <c r="J654" i="2"/>
  <c r="J679" i="2"/>
  <c r="J724" i="2"/>
  <c r="J744" i="2"/>
  <c r="J762" i="2"/>
  <c r="J811" i="2"/>
  <c r="J849" i="2"/>
  <c r="J892" i="2"/>
  <c r="J915" i="2"/>
  <c r="J974" i="2"/>
  <c r="J993" i="2"/>
  <c r="J48" i="2"/>
  <c r="J21" i="2"/>
  <c r="J109" i="2"/>
  <c r="J139" i="2"/>
  <c r="J200" i="2"/>
  <c r="J229" i="2"/>
  <c r="J260" i="2"/>
  <c r="J281" i="2"/>
  <c r="J340" i="2"/>
  <c r="J463" i="2"/>
  <c r="J517" i="2"/>
  <c r="J534" i="2"/>
  <c r="J585" i="2"/>
  <c r="J631" i="2"/>
  <c r="J701" i="2"/>
  <c r="J787" i="2"/>
  <c r="J829" i="2"/>
  <c r="J872" i="2"/>
  <c r="J938" i="2"/>
  <c r="J955" i="2"/>
  <c r="J144" i="2"/>
  <c r="J54" i="2"/>
  <c r="J78" i="2"/>
  <c r="J172" i="2"/>
  <c r="J311" i="2"/>
  <c r="J364" i="2"/>
  <c r="J392" i="2"/>
  <c r="J413" i="2"/>
  <c r="J435" i="2"/>
  <c r="J490" i="2"/>
  <c r="J563" i="2"/>
  <c r="J605" i="2"/>
  <c r="J655" i="2"/>
  <c r="J680" i="2"/>
  <c r="J725" i="2"/>
  <c r="J745" i="2"/>
  <c r="J763" i="2"/>
  <c r="J812" i="2"/>
  <c r="J850" i="2"/>
  <c r="J893" i="2"/>
  <c r="J916" i="2"/>
  <c r="J975" i="2"/>
  <c r="J996" i="2"/>
  <c r="J147" i="2"/>
  <c r="J25" i="2"/>
  <c r="J110" i="2"/>
  <c r="J202" i="2"/>
  <c r="J230" i="2"/>
  <c r="J261" i="2"/>
  <c r="J282" i="2"/>
  <c r="J341" i="2"/>
  <c r="J518" i="2"/>
  <c r="J535" i="2"/>
  <c r="J586" i="2"/>
  <c r="J632" i="2"/>
  <c r="J681" i="2"/>
  <c r="J702" i="2"/>
  <c r="J788" i="2"/>
  <c r="J830" i="2"/>
  <c r="J874" i="2"/>
  <c r="J939" i="2"/>
  <c r="J956" i="2"/>
  <c r="J179" i="2"/>
  <c r="J56" i="2"/>
  <c r="J79" i="2"/>
  <c r="J145" i="2"/>
  <c r="J173" i="2"/>
  <c r="J312" i="2"/>
  <c r="J365" i="2"/>
  <c r="J394" i="2"/>
  <c r="J436" i="2"/>
  <c r="J465" i="2"/>
  <c r="J491" i="2"/>
  <c r="J564" i="2"/>
  <c r="J612" i="2"/>
  <c r="J683" i="2"/>
  <c r="J726" i="2"/>
  <c r="J746" i="2"/>
  <c r="J767" i="2"/>
  <c r="J813" i="2"/>
  <c r="J851" i="2"/>
  <c r="J894" i="2"/>
  <c r="J917" i="2"/>
  <c r="J997" i="2"/>
  <c r="J503" i="2"/>
  <c r="J71" i="2"/>
  <c r="J26" i="2"/>
  <c r="J111" i="2"/>
  <c r="J203" i="2"/>
  <c r="J231" i="2"/>
  <c r="J262" i="2"/>
  <c r="J314" i="2"/>
  <c r="J342" i="2"/>
  <c r="J420" i="2"/>
  <c r="J519" i="2"/>
  <c r="J539" i="2"/>
  <c r="J587" i="2"/>
  <c r="J633" i="2"/>
  <c r="J657" i="2"/>
  <c r="J708" i="2"/>
  <c r="J789" i="2"/>
  <c r="J831" i="2"/>
  <c r="J852" i="2"/>
  <c r="J875" i="2"/>
  <c r="J940" i="2"/>
  <c r="J957" i="2"/>
  <c r="J977" i="2"/>
  <c r="J843" i="2"/>
  <c r="J245" i="2"/>
  <c r="J105" i="2"/>
  <c r="J208" i="2"/>
  <c r="J27" i="2"/>
  <c r="J146" i="2"/>
  <c r="J174" i="2"/>
  <c r="J292" i="2"/>
  <c r="J366" i="2"/>
  <c r="J395" i="2"/>
  <c r="J437" i="2"/>
  <c r="J466" i="2"/>
  <c r="J492" i="2"/>
  <c r="J565" i="2"/>
  <c r="J613" i="2"/>
  <c r="J684" i="2"/>
  <c r="J727" i="2"/>
  <c r="J747" i="2"/>
  <c r="J772" i="2"/>
  <c r="J814" i="2"/>
  <c r="J895" i="2"/>
  <c r="J918" i="2"/>
  <c r="J998" i="2"/>
  <c r="J596" i="2"/>
  <c r="J969" i="2"/>
  <c r="J123" i="2"/>
  <c r="J211" i="2"/>
  <c r="J58" i="2"/>
  <c r="J81" i="2"/>
  <c r="J204" i="2"/>
  <c r="J232" i="2"/>
  <c r="J263" i="2"/>
  <c r="J315" i="2"/>
  <c r="J343" i="2"/>
  <c r="J421" i="2"/>
  <c r="J520" i="2"/>
  <c r="J540" i="2"/>
  <c r="J588" i="2"/>
  <c r="J634" i="2"/>
  <c r="J658" i="2"/>
  <c r="J709" i="2"/>
  <c r="J790" i="2"/>
  <c r="J836" i="2"/>
  <c r="J853" i="2"/>
  <c r="J876" i="2"/>
  <c r="J941" i="2"/>
  <c r="J958" i="2"/>
  <c r="J978" i="2"/>
  <c r="J142" i="2"/>
  <c r="J215" i="2"/>
  <c r="J113" i="2"/>
  <c r="J175" i="2"/>
  <c r="J293" i="2"/>
  <c r="J316" i="2"/>
  <c r="J396" i="2"/>
  <c r="J440" i="2"/>
  <c r="J467" i="2"/>
  <c r="J493" i="2"/>
  <c r="J541" i="2"/>
  <c r="J566" i="2"/>
  <c r="J614" i="2"/>
  <c r="J635" i="2"/>
  <c r="J685" i="2"/>
  <c r="J728" i="2"/>
  <c r="J748" i="2"/>
  <c r="J773" i="2"/>
  <c r="J919" i="2"/>
  <c r="J999" i="2"/>
  <c r="J949" i="2"/>
  <c r="J240" i="2"/>
  <c r="J31" i="2"/>
  <c r="J59" i="2"/>
  <c r="J82" i="2"/>
  <c r="J148" i="2"/>
  <c r="J205" i="2"/>
  <c r="J234" i="2"/>
  <c r="J264" i="2"/>
  <c r="J344" i="2"/>
  <c r="J369" i="2"/>
  <c r="J422" i="2"/>
  <c r="J521" i="2"/>
  <c r="J589" i="2"/>
  <c r="J660" i="2"/>
  <c r="J710" i="2"/>
  <c r="J791" i="2"/>
  <c r="J817" i="2"/>
  <c r="J837" i="2"/>
  <c r="J854" i="2"/>
  <c r="J877" i="2"/>
  <c r="J900" i="2"/>
  <c r="J942" i="2"/>
  <c r="J959" i="2"/>
  <c r="J979" i="2"/>
  <c r="J625" i="2"/>
  <c r="J301" i="2"/>
  <c r="J781" i="2"/>
  <c r="J336" i="2"/>
  <c r="J114" i="2"/>
  <c r="J294" i="2"/>
  <c r="J324" i="2"/>
  <c r="J397" i="2"/>
  <c r="J441" i="2"/>
  <c r="J468" i="2"/>
  <c r="J494" i="2"/>
  <c r="J522" i="2"/>
  <c r="J567" i="2"/>
  <c r="J615" i="2"/>
  <c r="J686" i="2"/>
  <c r="J729" i="2"/>
  <c r="J749" i="2"/>
  <c r="J774" i="2"/>
  <c r="J920" i="2"/>
  <c r="J1000" i="2"/>
  <c r="J805" i="2"/>
  <c r="J44" i="2"/>
  <c r="J735" i="2"/>
  <c r="J162" i="2"/>
  <c r="J60" i="2"/>
  <c r="J149" i="2"/>
  <c r="J177" i="2"/>
  <c r="J206" i="2"/>
  <c r="J235" i="2"/>
  <c r="J269" i="2"/>
  <c r="J348" i="2"/>
  <c r="J370" i="2"/>
  <c r="J401" i="2"/>
  <c r="J423" i="2"/>
  <c r="J548" i="2"/>
  <c r="J590" i="2"/>
  <c r="J661" i="2"/>
  <c r="J711" i="2"/>
  <c r="J792" i="2"/>
  <c r="J818" i="2"/>
  <c r="J838" i="2"/>
  <c r="J855" i="2"/>
  <c r="J878" i="2"/>
  <c r="J901" i="2"/>
  <c r="J943" i="2"/>
  <c r="J980" i="2"/>
  <c r="J2" i="2"/>
  <c r="K2" i="2" s="1"/>
  <c r="J428" i="2"/>
  <c r="J36" i="2"/>
  <c r="J84" i="2"/>
  <c r="J120" i="2"/>
  <c r="J295" i="2"/>
  <c r="J325" i="2"/>
  <c r="J442" i="2"/>
  <c r="J469" i="2"/>
  <c r="J495" i="2"/>
  <c r="J523" i="2"/>
  <c r="J568" i="2"/>
  <c r="J616" i="2"/>
  <c r="J644" i="2"/>
  <c r="J687" i="2"/>
  <c r="J730" i="2"/>
  <c r="J750" i="2"/>
  <c r="J775" i="2"/>
  <c r="J921" i="2"/>
  <c r="J61" i="2"/>
  <c r="J121" i="2"/>
  <c r="J150" i="2"/>
  <c r="J178" i="2"/>
  <c r="J207" i="2"/>
  <c r="J236" i="2"/>
  <c r="J270" i="2"/>
  <c r="J371" i="2"/>
  <c r="J402" i="2"/>
  <c r="J424" i="2"/>
  <c r="J549" i="2"/>
  <c r="J591" i="2"/>
  <c r="J662" i="2"/>
  <c r="J712" i="2"/>
  <c r="J793" i="2"/>
  <c r="J819" i="2"/>
  <c r="J839" i="2"/>
  <c r="J856" i="2"/>
  <c r="J879" i="2"/>
  <c r="J902" i="2"/>
  <c r="J964" i="2"/>
  <c r="J981" i="2"/>
  <c r="J37" i="2"/>
  <c r="J85" i="2"/>
  <c r="J296" i="2"/>
  <c r="J326" i="2"/>
  <c r="J350" i="2"/>
  <c r="J443" i="2"/>
  <c r="J470" i="2"/>
  <c r="J524" i="2"/>
  <c r="J569" i="2"/>
  <c r="J618" i="2"/>
  <c r="J645" i="2"/>
  <c r="J731" i="2"/>
  <c r="J751" i="2"/>
  <c r="J776" i="2"/>
  <c r="J922" i="2"/>
  <c r="J945" i="2"/>
  <c r="J554" i="2"/>
  <c r="J4" i="2"/>
  <c r="J122" i="2"/>
  <c r="J152" i="2"/>
  <c r="J237" i="2"/>
  <c r="J271" i="2"/>
  <c r="J372" i="2"/>
  <c r="J403" i="2"/>
  <c r="J425" i="2"/>
  <c r="J444" i="2"/>
  <c r="J550" i="2"/>
  <c r="J663" i="2"/>
  <c r="J689" i="2"/>
  <c r="J714" i="2"/>
  <c r="J797" i="2"/>
  <c r="J820" i="2"/>
  <c r="J840" i="2"/>
  <c r="J857" i="2"/>
  <c r="J903" i="2"/>
  <c r="J965" i="2"/>
  <c r="J982" i="2"/>
  <c r="J38" i="2"/>
  <c r="J68" i="2"/>
  <c r="J100" i="2"/>
  <c r="J181" i="2"/>
  <c r="J209" i="2"/>
  <c r="J298" i="2"/>
  <c r="J327" i="2"/>
  <c r="J351" i="2"/>
  <c r="J471" i="2"/>
  <c r="J525" i="2"/>
  <c r="J570" i="2"/>
  <c r="J593" i="2"/>
  <c r="J622" i="2"/>
  <c r="J646" i="2"/>
  <c r="J732" i="2"/>
  <c r="J778" i="2"/>
  <c r="J881" i="2"/>
  <c r="J923" i="2"/>
  <c r="J946" i="2"/>
  <c r="J368" i="2"/>
  <c r="J5" i="2"/>
  <c r="J153" i="2"/>
  <c r="J184" i="2"/>
  <c r="J238" i="2"/>
  <c r="J376" i="2"/>
  <c r="J404" i="2"/>
  <c r="J426" i="2"/>
  <c r="J452" i="2"/>
  <c r="J501" i="2"/>
  <c r="J551" i="2"/>
  <c r="J664" i="2"/>
  <c r="J690" i="2"/>
  <c r="J715" i="2"/>
  <c r="J753" i="2"/>
  <c r="J798" i="2"/>
  <c r="J821" i="2"/>
  <c r="J841" i="2"/>
  <c r="J858" i="2"/>
  <c r="J904" i="2"/>
  <c r="J947" i="2"/>
  <c r="J966" i="2"/>
  <c r="J983" i="2"/>
  <c r="J985" i="2"/>
  <c r="J39" i="2"/>
  <c r="J69" i="2"/>
  <c r="J101" i="2"/>
  <c r="J126" i="2"/>
  <c r="J210" i="2"/>
  <c r="J273" i="2"/>
  <c r="J299" i="2"/>
  <c r="J328" i="2"/>
  <c r="J356" i="2"/>
  <c r="J377" i="2"/>
  <c r="J472" i="2"/>
  <c r="J526" i="2"/>
  <c r="J571" i="2"/>
  <c r="J594" i="2"/>
  <c r="J623" i="2"/>
  <c r="J647" i="2"/>
  <c r="J733" i="2"/>
  <c r="J779" i="2"/>
  <c r="J882" i="2"/>
  <c r="J924" i="2"/>
  <c r="J6" i="2"/>
  <c r="J127" i="2"/>
  <c r="J154" i="2"/>
  <c r="J185" i="2"/>
  <c r="J239" i="2"/>
  <c r="J405" i="2"/>
  <c r="J427" i="2"/>
  <c r="J453" i="2"/>
  <c r="J502" i="2"/>
  <c r="J552" i="2"/>
  <c r="J665" i="2"/>
  <c r="J691" i="2"/>
  <c r="J716" i="2"/>
  <c r="J754" i="2"/>
  <c r="J804" i="2"/>
  <c r="J822" i="2"/>
  <c r="J842" i="2"/>
  <c r="J859" i="2"/>
  <c r="J948" i="2"/>
  <c r="J967" i="2"/>
  <c r="J984" i="2"/>
  <c r="J932" i="2"/>
  <c r="J40" i="2"/>
  <c r="J70" i="2"/>
  <c r="J102" i="2"/>
  <c r="J274" i="2"/>
  <c r="J300" i="2"/>
  <c r="J330" i="2"/>
  <c r="J357" i="2"/>
  <c r="J378" i="2"/>
  <c r="J473" i="2"/>
  <c r="J527" i="2"/>
  <c r="J575" i="2"/>
  <c r="J595" i="2"/>
  <c r="J648" i="2"/>
  <c r="J734" i="2"/>
  <c r="J780" i="2"/>
  <c r="J883" i="2"/>
  <c r="J906" i="2"/>
  <c r="J7" i="2"/>
  <c r="J132" i="2"/>
  <c r="J186" i="2"/>
  <c r="J406" i="2"/>
  <c r="J755" i="2"/>
  <c r="J907" i="2"/>
  <c r="J931" i="2"/>
  <c r="J445" i="2"/>
  <c r="J86" i="2"/>
  <c r="J815" i="2"/>
  <c r="J538" i="2"/>
  <c r="J926" i="2"/>
  <c r="J478" i="2"/>
  <c r="J801" i="2"/>
  <c r="J697" i="2"/>
  <c r="J899" i="2"/>
  <c r="J22" i="2"/>
  <c r="J719" i="2"/>
  <c r="J861" i="2"/>
  <c r="J499" i="2"/>
  <c r="J890" i="2"/>
  <c r="J669" i="2"/>
  <c r="J63" i="2"/>
  <c r="J284" i="2"/>
  <c r="J713" i="2"/>
  <c r="J508" i="2"/>
  <c r="J769" i="2"/>
  <c r="J867" i="2"/>
  <c r="J192" i="2"/>
  <c r="J349" i="2"/>
  <c r="J559" i="2"/>
  <c r="J510" i="2"/>
  <c r="J459" i="2"/>
  <c r="J698" i="2"/>
  <c r="J866" i="2"/>
  <c r="J14" i="2"/>
  <c r="J223" i="2"/>
  <c r="J737" i="2"/>
  <c r="J835" i="2"/>
  <c r="J160" i="2"/>
  <c r="J317" i="2"/>
  <c r="J373" i="2"/>
  <c r="J976" i="2"/>
  <c r="J989" i="2"/>
  <c r="J544" i="2"/>
  <c r="J620" i="2"/>
  <c r="J994" i="2"/>
  <c r="J250" i="2"/>
  <c r="J41" i="2"/>
  <c r="J553" i="2"/>
  <c r="J382" i="2"/>
  <c r="J705" i="2"/>
  <c r="J416" i="2"/>
  <c r="J24" i="2"/>
  <c r="J803" i="2"/>
  <c r="J128" i="2"/>
  <c r="J944" i="2"/>
  <c r="J765" i="2"/>
  <c r="J720" i="2"/>
  <c r="J375" i="2"/>
  <c r="J537" i="2"/>
  <c r="J962" i="2"/>
  <c r="J90" i="2"/>
  <c r="J479" i="2"/>
  <c r="J704" i="2"/>
  <c r="J579" i="2"/>
  <c r="J673" i="2"/>
  <c r="J771" i="2"/>
  <c r="J96" i="2"/>
  <c r="J253" i="2"/>
  <c r="J912" i="2"/>
  <c r="J458" i="2"/>
  <c r="J834" i="2"/>
  <c r="J319" i="2"/>
  <c r="J799" i="2"/>
  <c r="J393" i="2"/>
  <c r="J255" i="2"/>
  <c r="J227" i="2"/>
  <c r="J355" i="2"/>
  <c r="J641" i="2"/>
  <c r="J739" i="2"/>
  <c r="J64" i="2"/>
  <c r="J57" i="2"/>
  <c r="J880" i="2"/>
  <c r="J309" i="2"/>
  <c r="J374" i="2"/>
  <c r="J156" i="2"/>
  <c r="J675" i="2"/>
  <c r="J169" i="2"/>
  <c r="J386" i="2"/>
  <c r="J219" i="2"/>
  <c r="J35" i="2"/>
  <c r="J609" i="2"/>
  <c r="J707" i="2"/>
  <c r="J578" i="2"/>
  <c r="J157" i="2"/>
  <c r="J848" i="2"/>
  <c r="J308" i="2"/>
  <c r="J189" i="2"/>
  <c r="J643" i="2"/>
  <c r="J577" i="2"/>
  <c r="J158" i="2"/>
  <c r="J546" i="2"/>
  <c r="J542" i="2"/>
  <c r="J66" i="2"/>
  <c r="J266" i="2"/>
  <c r="J446" i="2"/>
  <c r="J268" i="2"/>
  <c r="J286" i="2"/>
  <c r="J450" i="2"/>
  <c r="J94" i="2"/>
  <c r="J545" i="2"/>
  <c r="J47" i="2"/>
  <c r="J611" i="2"/>
  <c r="J992" i="2"/>
  <c r="J283" i="2"/>
  <c r="J784" i="2"/>
  <c r="J252" i="2"/>
  <c r="J242" i="2"/>
  <c r="J267" i="2"/>
  <c r="J617" i="2"/>
  <c r="J131" i="2"/>
  <c r="J513" i="2"/>
  <c r="J960" i="2"/>
  <c r="J752" i="2"/>
  <c r="J217" i="2"/>
  <c r="J241" i="2"/>
  <c r="J383" i="2"/>
  <c r="J574" i="2"/>
  <c r="J610" i="2"/>
  <c r="J345" i="2"/>
  <c r="J543" i="2"/>
  <c r="J481" i="2"/>
  <c r="J928" i="2"/>
  <c r="J536" i="2"/>
  <c r="J244" i="2"/>
  <c r="J10" i="2"/>
  <c r="J170" i="2"/>
  <c r="J216" i="2"/>
  <c r="J188" i="2"/>
  <c r="J346" i="2"/>
  <c r="J449" i="2"/>
  <c r="J137" i="2"/>
  <c r="J381" i="2"/>
  <c r="J3" i="2"/>
  <c r="J34" i="2"/>
  <c r="J896" i="2"/>
  <c r="J671" i="2"/>
  <c r="J414" i="2"/>
  <c r="J688" i="2"/>
  <c r="J607" i="2"/>
  <c r="J143" i="2"/>
  <c r="J141" i="2"/>
  <c r="J770" i="2"/>
  <c r="J873" i="2"/>
  <c r="J201" i="2"/>
  <c r="J67" i="2"/>
  <c r="J515" i="2"/>
  <c r="J417" i="2"/>
  <c r="J961" i="2"/>
  <c r="J864" i="2"/>
  <c r="J860" i="2"/>
  <c r="J322" i="2"/>
  <c r="J656" i="2"/>
  <c r="J509" i="2"/>
  <c r="J15" i="2"/>
  <c r="J738" i="2"/>
  <c r="J313" i="2"/>
  <c r="J124" i="2"/>
  <c r="J385" i="2"/>
  <c r="J929" i="2"/>
  <c r="J832" i="2"/>
  <c r="J52" i="2"/>
  <c r="J624" i="2"/>
  <c r="J46" i="2"/>
  <c r="J318" i="2"/>
  <c r="J911" i="2"/>
  <c r="J307" i="2"/>
  <c r="J13" i="2"/>
  <c r="J672" i="2"/>
  <c r="J802" i="2"/>
  <c r="J29" i="2"/>
  <c r="J451" i="2"/>
  <c r="J353" i="2"/>
  <c r="J889" i="2"/>
  <c r="J112" i="2"/>
  <c r="J897" i="2"/>
  <c r="J764" i="2"/>
  <c r="J963" i="2"/>
  <c r="J592" i="2"/>
  <c r="J796" i="2"/>
  <c r="J258" i="2"/>
  <c r="J367" i="2"/>
  <c r="J233" i="2"/>
  <c r="J11" i="2"/>
  <c r="J291" i="2"/>
  <c r="J321" i="2"/>
  <c r="J498" i="2"/>
  <c r="J418" i="2"/>
  <c r="J659" i="2"/>
  <c r="J910" i="2"/>
  <c r="J794" i="2"/>
  <c r="J182" i="2"/>
  <c r="J285" i="2"/>
  <c r="J642" i="2"/>
  <c r="J289" i="2"/>
  <c r="J448" i="2"/>
  <c r="J99" i="2"/>
  <c r="J736" i="2"/>
  <c r="J668" i="2"/>
  <c r="J528" i="2"/>
  <c r="J639" i="2"/>
  <c r="J795" i="2"/>
  <c r="J756" i="2"/>
  <c r="J180" i="2"/>
  <c r="J777" i="2"/>
  <c r="J257" i="2"/>
  <c r="J636" i="2"/>
  <c r="J496" i="2"/>
  <c r="J226" i="2"/>
  <c r="J601" i="2"/>
  <c r="J682" i="2"/>
  <c r="J637" i="2"/>
  <c r="J91" i="2"/>
  <c r="J482" i="2"/>
  <c r="J225" i="2"/>
  <c r="J572" i="2"/>
  <c r="J464" i="2"/>
  <c r="J476" i="2"/>
  <c r="J638" i="2"/>
  <c r="J599" i="2"/>
  <c r="J190" i="2"/>
  <c r="J706" i="2"/>
  <c r="J387" i="2"/>
  <c r="J193" i="2"/>
  <c r="J640" i="2"/>
  <c r="J62" i="2"/>
  <c r="J432" i="2"/>
  <c r="J511" i="2"/>
  <c r="J816" i="2"/>
  <c r="J439" i="2"/>
  <c r="J600" i="2"/>
  <c r="J474" i="2"/>
  <c r="J95" i="2"/>
  <c r="J670" i="2"/>
  <c r="J898" i="2"/>
  <c r="J183" i="2"/>
  <c r="J161" i="2"/>
  <c r="J608" i="2"/>
  <c r="J275" i="2"/>
  <c r="J400" i="2"/>
  <c r="J995" i="2"/>
  <c r="J561" i="2"/>
  <c r="J398" i="2"/>
  <c r="J256" i="2"/>
  <c r="J547" i="2"/>
  <c r="J419" i="2"/>
  <c r="J151" i="2"/>
  <c r="J129" i="2"/>
  <c r="J576" i="2"/>
  <c r="J243" i="2"/>
  <c r="J304" i="2"/>
  <c r="J606" i="2"/>
  <c r="J334" i="2"/>
  <c r="J475" i="2"/>
  <c r="J332" i="2"/>
  <c r="J480" i="2"/>
  <c r="J249" i="2"/>
  <c r="J73" i="2"/>
  <c r="J703" i="2"/>
  <c r="J119" i="2"/>
  <c r="J97" i="2"/>
  <c r="J43" i="2"/>
  <c r="J287" i="2"/>
  <c r="J925" i="2"/>
  <c r="J115" i="2"/>
  <c r="J272" i="2"/>
  <c r="J438" i="2"/>
  <c r="J116" i="2"/>
  <c r="J159" i="2"/>
  <c r="J354" i="2"/>
  <c r="J87" i="2"/>
  <c r="J65" i="2"/>
  <c r="J512" i="2"/>
  <c r="J83" i="2"/>
  <c r="J220" i="2"/>
  <c r="J399" i="2"/>
  <c r="J89" i="2"/>
  <c r="J800" i="2"/>
  <c r="J500" i="2"/>
  <c r="J93" i="2"/>
  <c r="J195" i="2"/>
  <c r="J55" i="2"/>
  <c r="J33" i="2"/>
  <c r="J51" i="2"/>
  <c r="J176" i="2"/>
  <c r="J118" i="2"/>
  <c r="J333" i="2"/>
  <c r="J930" i="2"/>
  <c r="J674" i="2"/>
  <c r="J194" i="2"/>
  <c r="J265" i="2"/>
  <c r="J347" i="2"/>
  <c r="J507" i="2"/>
  <c r="J23" i="2"/>
  <c r="J384" i="2"/>
  <c r="J80" i="2"/>
  <c r="J140" i="2"/>
  <c r="J766" i="2"/>
  <c r="J927" i="2"/>
  <c r="J92" i="2"/>
  <c r="J88" i="2"/>
  <c r="K88" i="2" s="1"/>
  <c r="J329" i="2"/>
  <c r="J352" i="2"/>
  <c r="J98" i="2"/>
  <c r="J891" i="2"/>
  <c r="J42" i="2"/>
  <c r="J191" i="2"/>
  <c r="J573" i="2"/>
  <c r="J30" i="2"/>
  <c r="J409" i="2"/>
  <c r="J447" i="2"/>
  <c r="J560" i="2"/>
  <c r="J699" i="2"/>
  <c r="J768" i="2"/>
  <c r="J415" i="2"/>
  <c r="J12" i="2"/>
  <c r="J254" i="2"/>
  <c r="J865" i="2"/>
  <c r="J288" i="2"/>
  <c r="J130" i="2"/>
  <c r="J224" i="2"/>
  <c r="J477" i="2"/>
  <c r="J833" i="2"/>
  <c r="J28" i="2"/>
  <c r="J290" i="2"/>
  <c r="J497" i="2"/>
  <c r="J259" i="2"/>
  <c r="J619" i="2"/>
  <c r="J483" i="2"/>
  <c r="J990" i="2"/>
  <c r="J297" i="2"/>
  <c r="J125" i="2"/>
  <c r="J320" i="2"/>
  <c r="J218" i="2"/>
  <c r="J621" i="2"/>
  <c r="J117" i="2"/>
  <c r="J163" i="2"/>
  <c r="J323" i="2"/>
  <c r="I713" i="2"/>
  <c r="I45" i="2"/>
  <c r="I72" i="2"/>
  <c r="I104" i="2"/>
  <c r="I246" i="2"/>
  <c r="I302" i="2"/>
  <c r="K302" i="2" s="1"/>
  <c r="I335" i="2"/>
  <c r="K335" i="2" s="1"/>
  <c r="I359" i="2"/>
  <c r="K359" i="2" s="1"/>
  <c r="I380" i="2"/>
  <c r="K380" i="2" s="1"/>
  <c r="I597" i="2"/>
  <c r="K597" i="2" s="1"/>
  <c r="I650" i="2"/>
  <c r="K650" i="2" s="1"/>
  <c r="I740" i="2"/>
  <c r="K740" i="2" s="1"/>
  <c r="I782" i="2"/>
  <c r="K782" i="2" s="1"/>
  <c r="I885" i="2"/>
  <c r="K885" i="2" s="1"/>
  <c r="I908" i="2"/>
  <c r="I970" i="2"/>
  <c r="K970" i="2" s="1"/>
  <c r="I379" i="2"/>
  <c r="I276" i="2"/>
  <c r="K276" i="2" s="1"/>
  <c r="I529" i="2"/>
  <c r="K529" i="2" s="1"/>
  <c r="I757" i="2"/>
  <c r="K757" i="2" s="1"/>
  <c r="I950" i="2"/>
  <c r="K950" i="2" s="1"/>
  <c r="I809" i="2"/>
  <c r="K809" i="2" s="1"/>
  <c r="I134" i="2"/>
  <c r="K134" i="2" s="1"/>
  <c r="I165" i="2"/>
  <c r="K165" i="2" s="1"/>
  <c r="I196" i="2"/>
  <c r="K196" i="2" s="1"/>
  <c r="I214" i="2"/>
  <c r="K214" i="2" s="1"/>
  <c r="I277" i="2"/>
  <c r="K277" i="2" s="1"/>
  <c r="I408" i="2"/>
  <c r="K408" i="2" s="1"/>
  <c r="I430" i="2"/>
  <c r="K430" i="2" s="1"/>
  <c r="I456" i="2"/>
  <c r="I485" i="2"/>
  <c r="I505" i="2"/>
  <c r="I530" i="2"/>
  <c r="I556" i="2"/>
  <c r="I581" i="2"/>
  <c r="I627" i="2"/>
  <c r="I671" i="2"/>
  <c r="I694" i="2"/>
  <c r="I719" i="2"/>
  <c r="I807" i="2"/>
  <c r="I825" i="2"/>
  <c r="I845" i="2"/>
  <c r="I868" i="2"/>
  <c r="K868" i="2" s="1"/>
  <c r="I934" i="2"/>
  <c r="K934" i="2" s="1"/>
  <c r="I951" i="2"/>
  <c r="K951" i="2" s="1"/>
  <c r="I987" i="2"/>
  <c r="K987" i="2" s="1"/>
  <c r="I477" i="2"/>
  <c r="I873" i="2"/>
  <c r="I17" i="2"/>
  <c r="K17" i="2" s="1"/>
  <c r="I46" i="2"/>
  <c r="K46" i="2" s="1"/>
  <c r="I74" i="2"/>
  <c r="K74" i="2" s="1"/>
  <c r="I105" i="2"/>
  <c r="K105" i="2" s="1"/>
  <c r="I247" i="2"/>
  <c r="I303" i="2"/>
  <c r="K303" i="2" s="1"/>
  <c r="I336" i="2"/>
  <c r="I360" i="2"/>
  <c r="K360" i="2" s="1"/>
  <c r="I388" i="2"/>
  <c r="K388" i="2" s="1"/>
  <c r="I598" i="2"/>
  <c r="K598" i="2" s="1"/>
  <c r="I651" i="2"/>
  <c r="K651" i="2" s="1"/>
  <c r="I676" i="2"/>
  <c r="K676" i="2" s="1"/>
  <c r="I721" i="2"/>
  <c r="K721" i="2" s="1"/>
  <c r="I741" i="2"/>
  <c r="K741" i="2" s="1"/>
  <c r="I759" i="2"/>
  <c r="K759" i="2" s="1"/>
  <c r="I783" i="2"/>
  <c r="I886" i="2"/>
  <c r="I971" i="2"/>
  <c r="I245" i="2"/>
  <c r="K245" i="2" s="1"/>
  <c r="I49" i="2"/>
  <c r="I106" i="2"/>
  <c r="I135" i="2"/>
  <c r="I166" i="2"/>
  <c r="I197" i="2"/>
  <c r="I221" i="2"/>
  <c r="I278" i="2"/>
  <c r="K278" i="2" s="1"/>
  <c r="I337" i="2"/>
  <c r="I409" i="2"/>
  <c r="I431" i="2"/>
  <c r="K431" i="2" s="1"/>
  <c r="I486" i="2"/>
  <c r="K486" i="2" s="1"/>
  <c r="I506" i="2"/>
  <c r="K506" i="2" s="1"/>
  <c r="I531" i="2"/>
  <c r="K531" i="2" s="1"/>
  <c r="I557" i="2"/>
  <c r="K557" i="2" s="1"/>
  <c r="I582" i="2"/>
  <c r="K582" i="2" s="1"/>
  <c r="I628" i="2"/>
  <c r="K628" i="2" s="1"/>
  <c r="I695" i="2"/>
  <c r="I808" i="2"/>
  <c r="K808" i="2" s="1"/>
  <c r="I826" i="2"/>
  <c r="K826" i="2" s="1"/>
  <c r="I846" i="2"/>
  <c r="K846" i="2" s="1"/>
  <c r="I869" i="2"/>
  <c r="K869" i="2" s="1"/>
  <c r="I912" i="2"/>
  <c r="I935" i="2"/>
  <c r="K935" i="2" s="1"/>
  <c r="I952" i="2"/>
  <c r="K952" i="2" s="1"/>
  <c r="I988" i="2"/>
  <c r="K988" i="2" s="1"/>
  <c r="I969" i="2"/>
  <c r="K969" i="2" s="1"/>
  <c r="I18" i="2"/>
  <c r="I75" i="2"/>
  <c r="I248" i="2"/>
  <c r="I304" i="2"/>
  <c r="K304" i="2" s="1"/>
  <c r="I361" i="2"/>
  <c r="I389" i="2"/>
  <c r="I410" i="2"/>
  <c r="I602" i="2"/>
  <c r="I652" i="2"/>
  <c r="I677" i="2"/>
  <c r="K677" i="2" s="1"/>
  <c r="I722" i="2"/>
  <c r="I742" i="2"/>
  <c r="K742" i="2" s="1"/>
  <c r="I760" i="2"/>
  <c r="K760" i="2" s="1"/>
  <c r="I784" i="2"/>
  <c r="I887" i="2"/>
  <c r="K887" i="2" s="1"/>
  <c r="I913" i="2"/>
  <c r="K913" i="2" s="1"/>
  <c r="I972" i="2"/>
  <c r="K972" i="2" s="1"/>
  <c r="I735" i="2"/>
  <c r="I907" i="2"/>
  <c r="I681" i="2"/>
  <c r="K681" i="2" s="1"/>
  <c r="I555" i="2"/>
  <c r="K555" i="2" s="1"/>
  <c r="I718" i="2"/>
  <c r="K718" i="2" s="1"/>
  <c r="I107" i="2"/>
  <c r="K107" i="2" s="1"/>
  <c r="I136" i="2"/>
  <c r="K136" i="2" s="1"/>
  <c r="I167" i="2"/>
  <c r="K167" i="2" s="1"/>
  <c r="I198" i="2"/>
  <c r="K198" i="2" s="1"/>
  <c r="I222" i="2"/>
  <c r="K222" i="2" s="1"/>
  <c r="I279" i="2"/>
  <c r="K279" i="2" s="1"/>
  <c r="I305" i="2"/>
  <c r="K305" i="2" s="1"/>
  <c r="I338" i="2"/>
  <c r="K338" i="2" s="1"/>
  <c r="I432" i="2"/>
  <c r="I461" i="2"/>
  <c r="K461" i="2" s="1"/>
  <c r="I487" i="2"/>
  <c r="I512" i="2"/>
  <c r="K512" i="2" s="1"/>
  <c r="I532" i="2"/>
  <c r="I558" i="2"/>
  <c r="I583" i="2"/>
  <c r="I629" i="2"/>
  <c r="I696" i="2"/>
  <c r="I785" i="2"/>
  <c r="I827" i="2"/>
  <c r="I847" i="2"/>
  <c r="I870" i="2"/>
  <c r="I936" i="2"/>
  <c r="K936" i="2" s="1"/>
  <c r="I953" i="2"/>
  <c r="I991" i="2"/>
  <c r="K991" i="2" s="1"/>
  <c r="I9" i="2"/>
  <c r="I19" i="2"/>
  <c r="K19" i="2" s="1"/>
  <c r="I51" i="2"/>
  <c r="I76" i="2"/>
  <c r="K76" i="2" s="1"/>
  <c r="I251" i="2"/>
  <c r="K251" i="2" s="1"/>
  <c r="I362" i="2"/>
  <c r="K362" i="2" s="1"/>
  <c r="I390" i="2"/>
  <c r="K390" i="2" s="1"/>
  <c r="I411" i="2"/>
  <c r="K411" i="2" s="1"/>
  <c r="I433" i="2"/>
  <c r="K433" i="2" s="1"/>
  <c r="I603" i="2"/>
  <c r="K603" i="2" s="1"/>
  <c r="I653" i="2"/>
  <c r="I678" i="2"/>
  <c r="K678" i="2" s="1"/>
  <c r="I723" i="2"/>
  <c r="K723" i="2" s="1"/>
  <c r="I743" i="2"/>
  <c r="K743" i="2" s="1"/>
  <c r="I761" i="2"/>
  <c r="K761" i="2" s="1"/>
  <c r="I810" i="2"/>
  <c r="K810" i="2" s="1"/>
  <c r="I888" i="2"/>
  <c r="K888" i="2" s="1"/>
  <c r="I914" i="2"/>
  <c r="K914" i="2" s="1"/>
  <c r="I973" i="2"/>
  <c r="K973" i="2" s="1"/>
  <c r="I11" i="2"/>
  <c r="I23" i="2"/>
  <c r="I20" i="2"/>
  <c r="I52" i="2"/>
  <c r="I108" i="2"/>
  <c r="I138" i="2"/>
  <c r="I168" i="2"/>
  <c r="I199" i="2"/>
  <c r="I228" i="2"/>
  <c r="I280" i="2"/>
  <c r="I306" i="2"/>
  <c r="I339" i="2"/>
  <c r="I462" i="2"/>
  <c r="I488" i="2"/>
  <c r="I516" i="2"/>
  <c r="K516" i="2" s="1"/>
  <c r="I533" i="2"/>
  <c r="I559" i="2"/>
  <c r="I584" i="2"/>
  <c r="K584" i="2" s="1"/>
  <c r="I630" i="2"/>
  <c r="K630" i="2" s="1"/>
  <c r="I697" i="2"/>
  <c r="K697" i="2" s="1"/>
  <c r="I786" i="2"/>
  <c r="K786" i="2" s="1"/>
  <c r="I828" i="2"/>
  <c r="K828" i="2" s="1"/>
  <c r="I848" i="2"/>
  <c r="I871" i="2"/>
  <c r="K871" i="2" s="1"/>
  <c r="I937" i="2"/>
  <c r="K937" i="2" s="1"/>
  <c r="I954" i="2"/>
  <c r="K954" i="2" s="1"/>
  <c r="I992" i="2"/>
  <c r="I12" i="2"/>
  <c r="I53" i="2"/>
  <c r="I77" i="2"/>
  <c r="K77" i="2" s="1"/>
  <c r="I253" i="2"/>
  <c r="K253" i="2" s="1"/>
  <c r="I363" i="2"/>
  <c r="K363" i="2" s="1"/>
  <c r="I391" i="2"/>
  <c r="K391" i="2" s="1"/>
  <c r="I412" i="2"/>
  <c r="K412" i="2" s="1"/>
  <c r="I434" i="2"/>
  <c r="K434" i="2" s="1"/>
  <c r="I562" i="2"/>
  <c r="K562" i="2" s="1"/>
  <c r="I604" i="2"/>
  <c r="K604" i="2" s="1"/>
  <c r="I654" i="2"/>
  <c r="I679" i="2"/>
  <c r="I724" i="2"/>
  <c r="I744" i="2"/>
  <c r="I762" i="2"/>
  <c r="I811" i="2"/>
  <c r="I849" i="2"/>
  <c r="I889" i="2"/>
  <c r="I915" i="2"/>
  <c r="I974" i="2"/>
  <c r="I993" i="2"/>
  <c r="I41" i="2"/>
  <c r="I33" i="2"/>
  <c r="I21" i="2"/>
  <c r="I109" i="2"/>
  <c r="K109" i="2" s="1"/>
  <c r="I139" i="2"/>
  <c r="K139" i="2" s="1"/>
  <c r="I200" i="2"/>
  <c r="K200" i="2" s="1"/>
  <c r="I229" i="2"/>
  <c r="K229" i="2" s="1"/>
  <c r="I260" i="2"/>
  <c r="K260" i="2" s="1"/>
  <c r="I281" i="2"/>
  <c r="K281" i="2" s="1"/>
  <c r="I340" i="2"/>
  <c r="K340" i="2" s="1"/>
  <c r="I463" i="2"/>
  <c r="K463" i="2" s="1"/>
  <c r="I517" i="2"/>
  <c r="I534" i="2"/>
  <c r="K534" i="2" s="1"/>
  <c r="I585" i="2"/>
  <c r="K585" i="2" s="1"/>
  <c r="I631" i="2"/>
  <c r="K631" i="2" s="1"/>
  <c r="I701" i="2"/>
  <c r="K701" i="2" s="1"/>
  <c r="I787" i="2"/>
  <c r="K787" i="2" s="1"/>
  <c r="I829" i="2"/>
  <c r="K829" i="2" s="1"/>
  <c r="I872" i="2"/>
  <c r="K872" i="2" s="1"/>
  <c r="I938" i="2"/>
  <c r="K938" i="2" s="1"/>
  <c r="I955" i="2"/>
  <c r="K955" i="2" s="1"/>
  <c r="I48" i="2"/>
  <c r="K48" i="2" s="1"/>
  <c r="I54" i="2"/>
  <c r="I78" i="2"/>
  <c r="I172" i="2"/>
  <c r="I311" i="2"/>
  <c r="I364" i="2"/>
  <c r="I392" i="2"/>
  <c r="I413" i="2"/>
  <c r="I435" i="2"/>
  <c r="I490" i="2"/>
  <c r="I563" i="2"/>
  <c r="I605" i="2"/>
  <c r="I655" i="2"/>
  <c r="K655" i="2" s="1"/>
  <c r="I680" i="2"/>
  <c r="I725" i="2"/>
  <c r="K725" i="2" s="1"/>
  <c r="I745" i="2"/>
  <c r="K745" i="2" s="1"/>
  <c r="I763" i="2"/>
  <c r="K763" i="2" s="1"/>
  <c r="I812" i="2"/>
  <c r="K812" i="2" s="1"/>
  <c r="I850" i="2"/>
  <c r="K850" i="2" s="1"/>
  <c r="I893" i="2"/>
  <c r="K893" i="2" s="1"/>
  <c r="I916" i="2"/>
  <c r="K916" i="2" s="1"/>
  <c r="I975" i="2"/>
  <c r="K975" i="2" s="1"/>
  <c r="I996" i="2"/>
  <c r="I50" i="2"/>
  <c r="K50" i="2" s="1"/>
  <c r="I22" i="2"/>
  <c r="I110" i="2"/>
  <c r="K110" i="2" s="1"/>
  <c r="I140" i="2"/>
  <c r="I202" i="2"/>
  <c r="K202" i="2" s="1"/>
  <c r="I230" i="2"/>
  <c r="K230" i="2" s="1"/>
  <c r="I261" i="2"/>
  <c r="K261" i="2" s="1"/>
  <c r="I282" i="2"/>
  <c r="K282" i="2" s="1"/>
  <c r="I341" i="2"/>
  <c r="K341" i="2" s="1"/>
  <c r="I464" i="2"/>
  <c r="K464" i="2" s="1"/>
  <c r="I518" i="2"/>
  <c r="K518" i="2" s="1"/>
  <c r="I535" i="2"/>
  <c r="K535" i="2" s="1"/>
  <c r="I586" i="2"/>
  <c r="I632" i="2"/>
  <c r="I702" i="2"/>
  <c r="I788" i="2"/>
  <c r="I830" i="2"/>
  <c r="I874" i="2"/>
  <c r="I939" i="2"/>
  <c r="I956" i="2"/>
  <c r="I73" i="2"/>
  <c r="I56" i="2"/>
  <c r="I79" i="2"/>
  <c r="K79" i="2" s="1"/>
  <c r="I145" i="2"/>
  <c r="I173" i="2"/>
  <c r="K173" i="2" s="1"/>
  <c r="I312" i="2"/>
  <c r="K312" i="2" s="1"/>
  <c r="I365" i="2"/>
  <c r="K365" i="2" s="1"/>
  <c r="I394" i="2"/>
  <c r="K394" i="2" s="1"/>
  <c r="I414" i="2"/>
  <c r="I436" i="2"/>
  <c r="K436" i="2" s="1"/>
  <c r="I465" i="2"/>
  <c r="K465" i="2" s="1"/>
  <c r="I491" i="2"/>
  <c r="K491" i="2" s="1"/>
  <c r="I564" i="2"/>
  <c r="K564" i="2" s="1"/>
  <c r="I612" i="2"/>
  <c r="I656" i="2"/>
  <c r="I726" i="2"/>
  <c r="K726" i="2" s="1"/>
  <c r="I746" i="2"/>
  <c r="K746" i="2" s="1"/>
  <c r="I764" i="2"/>
  <c r="I813" i="2"/>
  <c r="K813" i="2" s="1"/>
  <c r="I851" i="2"/>
  <c r="K851" i="2" s="1"/>
  <c r="I894" i="2"/>
  <c r="K894" i="2" s="1"/>
  <c r="I917" i="2"/>
  <c r="K917" i="2" s="1"/>
  <c r="I976" i="2"/>
  <c r="I997" i="2"/>
  <c r="K997" i="2" s="1"/>
  <c r="I86" i="2"/>
  <c r="I26" i="2"/>
  <c r="I111" i="2"/>
  <c r="I203" i="2"/>
  <c r="I231" i="2"/>
  <c r="I262" i="2"/>
  <c r="I283" i="2"/>
  <c r="I342" i="2"/>
  <c r="I420" i="2"/>
  <c r="I519" i="2"/>
  <c r="I536" i="2"/>
  <c r="K536" i="2" s="1"/>
  <c r="I587" i="2"/>
  <c r="K587" i="2" s="1"/>
  <c r="I633" i="2"/>
  <c r="I657" i="2"/>
  <c r="K657" i="2" s="1"/>
  <c r="I708" i="2"/>
  <c r="K708" i="2" s="1"/>
  <c r="I789" i="2"/>
  <c r="K789" i="2" s="1"/>
  <c r="I831" i="2"/>
  <c r="K831" i="2" s="1"/>
  <c r="I875" i="2"/>
  <c r="K875" i="2" s="1"/>
  <c r="I940" i="2"/>
  <c r="K940" i="2" s="1"/>
  <c r="I957" i="2"/>
  <c r="K957" i="2" s="1"/>
  <c r="I977" i="2"/>
  <c r="I455" i="2"/>
  <c r="K455" i="2" s="1"/>
  <c r="I824" i="2"/>
  <c r="K824" i="2" s="1"/>
  <c r="I183" i="2"/>
  <c r="K183" i="2" s="1"/>
  <c r="I57" i="2"/>
  <c r="I80" i="2"/>
  <c r="I146" i="2"/>
  <c r="K146" i="2" s="1"/>
  <c r="I174" i="2"/>
  <c r="K174" i="2" s="1"/>
  <c r="I292" i="2"/>
  <c r="K292" i="2" s="1"/>
  <c r="I366" i="2"/>
  <c r="K366" i="2" s="1"/>
  <c r="I395" i="2"/>
  <c r="K395" i="2" s="1"/>
  <c r="I437" i="2"/>
  <c r="I466" i="2"/>
  <c r="I492" i="2"/>
  <c r="I565" i="2"/>
  <c r="I613" i="2"/>
  <c r="I684" i="2"/>
  <c r="I727" i="2"/>
  <c r="I747" i="2"/>
  <c r="I772" i="2"/>
  <c r="I814" i="2"/>
  <c r="I895" i="2"/>
  <c r="I918" i="2"/>
  <c r="K918" i="2" s="1"/>
  <c r="I998" i="2"/>
  <c r="I71" i="2"/>
  <c r="K71" i="2" s="1"/>
  <c r="I331" i="2"/>
  <c r="K331" i="2" s="1"/>
  <c r="I649" i="2"/>
  <c r="K649" i="2" s="1"/>
  <c r="I806" i="2"/>
  <c r="K806" i="2" s="1"/>
  <c r="I58" i="2"/>
  <c r="I81" i="2"/>
  <c r="K81" i="2" s="1"/>
  <c r="I112" i="2"/>
  <c r="I204" i="2"/>
  <c r="K204" i="2" s="1"/>
  <c r="I232" i="2"/>
  <c r="K232" i="2" s="1"/>
  <c r="I263" i="2"/>
  <c r="I315" i="2"/>
  <c r="K315" i="2" s="1"/>
  <c r="I343" i="2"/>
  <c r="K343" i="2" s="1"/>
  <c r="I421" i="2"/>
  <c r="K421" i="2" s="1"/>
  <c r="I520" i="2"/>
  <c r="K520" i="2" s="1"/>
  <c r="I540" i="2"/>
  <c r="K540" i="2" s="1"/>
  <c r="I588" i="2"/>
  <c r="K588" i="2" s="1"/>
  <c r="I634" i="2"/>
  <c r="K634" i="2" s="1"/>
  <c r="I658" i="2"/>
  <c r="K658" i="2" s="1"/>
  <c r="I709" i="2"/>
  <c r="K709" i="2" s="1"/>
  <c r="I790" i="2"/>
  <c r="K790" i="2" s="1"/>
  <c r="I836" i="2"/>
  <c r="I853" i="2"/>
  <c r="I876" i="2"/>
  <c r="I941" i="2"/>
  <c r="I958" i="2"/>
  <c r="I978" i="2"/>
  <c r="I576" i="2"/>
  <c r="I187" i="2"/>
  <c r="K187" i="2" s="1"/>
  <c r="I407" i="2"/>
  <c r="K407" i="2" s="1"/>
  <c r="I693" i="2"/>
  <c r="K693" i="2" s="1"/>
  <c r="I844" i="2"/>
  <c r="K844" i="2" s="1"/>
  <c r="I28" i="2"/>
  <c r="K28" i="2" s="1"/>
  <c r="I113" i="2"/>
  <c r="I147" i="2"/>
  <c r="K147" i="2" s="1"/>
  <c r="I175" i="2"/>
  <c r="I293" i="2"/>
  <c r="I368" i="2"/>
  <c r="I396" i="2"/>
  <c r="I440" i="2"/>
  <c r="K440" i="2" s="1"/>
  <c r="I467" i="2"/>
  <c r="K467" i="2" s="1"/>
  <c r="I493" i="2"/>
  <c r="K493" i="2" s="1"/>
  <c r="I566" i="2"/>
  <c r="K566" i="2" s="1"/>
  <c r="I614" i="2"/>
  <c r="K614" i="2" s="1"/>
  <c r="I685" i="2"/>
  <c r="K685" i="2" s="1"/>
  <c r="I728" i="2"/>
  <c r="I748" i="2"/>
  <c r="K748" i="2" s="1"/>
  <c r="I773" i="2"/>
  <c r="K773" i="2" s="1"/>
  <c r="I815" i="2"/>
  <c r="K815" i="2" s="1"/>
  <c r="I896" i="2"/>
  <c r="I919" i="2"/>
  <c r="K919" i="2" s="1"/>
  <c r="I999" i="2"/>
  <c r="K999" i="2" s="1"/>
  <c r="I31" i="2"/>
  <c r="K31" i="2" s="1"/>
  <c r="I59" i="2"/>
  <c r="K59" i="2" s="1"/>
  <c r="I82" i="2"/>
  <c r="K82" i="2" s="1"/>
  <c r="I148" i="2"/>
  <c r="K148" i="2" s="1"/>
  <c r="I205" i="2"/>
  <c r="I234" i="2"/>
  <c r="I264" i="2"/>
  <c r="I344" i="2"/>
  <c r="I369" i="2"/>
  <c r="I422" i="2"/>
  <c r="I521" i="2"/>
  <c r="I589" i="2"/>
  <c r="I660" i="2"/>
  <c r="I710" i="2"/>
  <c r="I791" i="2"/>
  <c r="I817" i="2"/>
  <c r="K817" i="2" s="1"/>
  <c r="I837" i="2"/>
  <c r="I854" i="2"/>
  <c r="K854" i="2" s="1"/>
  <c r="I877" i="2"/>
  <c r="K877" i="2" s="1"/>
  <c r="I900" i="2"/>
  <c r="K900" i="2" s="1"/>
  <c r="I942" i="2"/>
  <c r="I959" i="2"/>
  <c r="K959" i="2" s="1"/>
  <c r="I979" i="2"/>
  <c r="K979" i="2" s="1"/>
  <c r="I358" i="2"/>
  <c r="K358" i="2" s="1"/>
  <c r="I164" i="2"/>
  <c r="K164" i="2" s="1"/>
  <c r="I626" i="2"/>
  <c r="K626" i="2" s="1"/>
  <c r="I151" i="2"/>
  <c r="I114" i="2"/>
  <c r="K114" i="2" s="1"/>
  <c r="I176" i="2"/>
  <c r="K176" i="2" s="1"/>
  <c r="I294" i="2"/>
  <c r="K294" i="2" s="1"/>
  <c r="I324" i="2"/>
  <c r="K324" i="2" s="1"/>
  <c r="I397" i="2"/>
  <c r="K397" i="2" s="1"/>
  <c r="I441" i="2"/>
  <c r="K441" i="2" s="1"/>
  <c r="I468" i="2"/>
  <c r="K468" i="2" s="1"/>
  <c r="I494" i="2"/>
  <c r="K494" i="2" s="1"/>
  <c r="I542" i="2"/>
  <c r="K542" i="2" s="1"/>
  <c r="I567" i="2"/>
  <c r="K567" i="2" s="1"/>
  <c r="I615" i="2"/>
  <c r="I636" i="2"/>
  <c r="I686" i="2"/>
  <c r="I729" i="2"/>
  <c r="I749" i="2"/>
  <c r="I774" i="2"/>
  <c r="I920" i="2"/>
  <c r="I161" i="2"/>
  <c r="I32" i="2"/>
  <c r="K32" i="2" s="1"/>
  <c r="I60" i="2"/>
  <c r="K60" i="2" s="1"/>
  <c r="I83" i="2"/>
  <c r="I149" i="2"/>
  <c r="I177" i="2"/>
  <c r="K177" i="2" s="1"/>
  <c r="I206" i="2"/>
  <c r="K206" i="2" s="1"/>
  <c r="I235" i="2"/>
  <c r="K235" i="2" s="1"/>
  <c r="I266" i="2"/>
  <c r="I348" i="2"/>
  <c r="K348" i="2" s="1"/>
  <c r="I370" i="2"/>
  <c r="K370" i="2" s="1"/>
  <c r="I423" i="2"/>
  <c r="K423" i="2" s="1"/>
  <c r="I548" i="2"/>
  <c r="I590" i="2"/>
  <c r="K590" i="2" s="1"/>
  <c r="I640" i="2"/>
  <c r="I661" i="2"/>
  <c r="K661" i="2" s="1"/>
  <c r="I711" i="2"/>
  <c r="K711" i="2" s="1"/>
  <c r="I792" i="2"/>
  <c r="K792" i="2" s="1"/>
  <c r="I818" i="2"/>
  <c r="K818" i="2" s="1"/>
  <c r="I838" i="2"/>
  <c r="K838" i="2" s="1"/>
  <c r="I855" i="2"/>
  <c r="K855" i="2" s="1"/>
  <c r="I878" i="2"/>
  <c r="K878" i="2" s="1"/>
  <c r="I901" i="2"/>
  <c r="K901" i="2" s="1"/>
  <c r="I943" i="2"/>
  <c r="K943" i="2" s="1"/>
  <c r="I960" i="2"/>
  <c r="I980" i="2"/>
  <c r="I301" i="2"/>
  <c r="K301" i="2" s="1"/>
  <c r="I429" i="2"/>
  <c r="K429" i="2" s="1"/>
  <c r="I545" i="2"/>
  <c r="I36" i="2"/>
  <c r="I84" i="2"/>
  <c r="I120" i="2"/>
  <c r="I295" i="2"/>
  <c r="I325" i="2"/>
  <c r="I442" i="2"/>
  <c r="I469" i="2"/>
  <c r="I495" i="2"/>
  <c r="I523" i="2"/>
  <c r="K523" i="2" s="1"/>
  <c r="I568" i="2"/>
  <c r="I616" i="2"/>
  <c r="K616" i="2" s="1"/>
  <c r="I644" i="2"/>
  <c r="K644" i="2" s="1"/>
  <c r="I687" i="2"/>
  <c r="K687" i="2" s="1"/>
  <c r="I730" i="2"/>
  <c r="I750" i="2"/>
  <c r="K750" i="2" s="1"/>
  <c r="I775" i="2"/>
  <c r="K775" i="2" s="1"/>
  <c r="I921" i="2"/>
  <c r="K921" i="2" s="1"/>
  <c r="I961" i="2"/>
  <c r="K961" i="2" s="1"/>
  <c r="I169" i="2"/>
  <c r="K169" i="2" s="1"/>
  <c r="I3" i="2"/>
  <c r="I61" i="2"/>
  <c r="K61" i="2" s="1"/>
  <c r="I150" i="2"/>
  <c r="K150" i="2" s="1"/>
  <c r="I178" i="2"/>
  <c r="K178" i="2" s="1"/>
  <c r="I207" i="2"/>
  <c r="K207" i="2" s="1"/>
  <c r="I236" i="2"/>
  <c r="K236" i="2" s="1"/>
  <c r="I270" i="2"/>
  <c r="K270" i="2" s="1"/>
  <c r="I349" i="2"/>
  <c r="I371" i="2"/>
  <c r="K371" i="2" s="1"/>
  <c r="I402" i="2"/>
  <c r="K402" i="2" s="1"/>
  <c r="I424" i="2"/>
  <c r="K424" i="2" s="1"/>
  <c r="I549" i="2"/>
  <c r="K549" i="2" s="1"/>
  <c r="I591" i="2"/>
  <c r="K591" i="2" s="1"/>
  <c r="I662" i="2"/>
  <c r="K662" i="2" s="1"/>
  <c r="I712" i="2"/>
  <c r="K712" i="2" s="1"/>
  <c r="I793" i="2"/>
  <c r="K793" i="2" s="1"/>
  <c r="I819" i="2"/>
  <c r="I839" i="2"/>
  <c r="I856" i="2"/>
  <c r="I879" i="2"/>
  <c r="I902" i="2"/>
  <c r="I944" i="2"/>
  <c r="I964" i="2"/>
  <c r="I981" i="2"/>
  <c r="I528" i="2"/>
  <c r="I201" i="2"/>
  <c r="I37" i="2"/>
  <c r="I85" i="2"/>
  <c r="K85" i="2" s="1"/>
  <c r="I296" i="2"/>
  <c r="I326" i="2"/>
  <c r="K326" i="2" s="1"/>
  <c r="I350" i="2"/>
  <c r="K350" i="2" s="1"/>
  <c r="I443" i="2"/>
  <c r="K443" i="2" s="1"/>
  <c r="I470" i="2"/>
  <c r="K470" i="2" s="1"/>
  <c r="I496" i="2"/>
  <c r="I524" i="2"/>
  <c r="K524" i="2" s="1"/>
  <c r="I569" i="2"/>
  <c r="K569" i="2" s="1"/>
  <c r="I618" i="2"/>
  <c r="K618" i="2" s="1"/>
  <c r="I645" i="2"/>
  <c r="K645" i="2" s="1"/>
  <c r="I688" i="2"/>
  <c r="I731" i="2"/>
  <c r="I751" i="2"/>
  <c r="I776" i="2"/>
  <c r="K776" i="2" s="1"/>
  <c r="I922" i="2"/>
  <c r="K922" i="2" s="1"/>
  <c r="I945" i="2"/>
  <c r="K945" i="2" s="1"/>
  <c r="I233" i="2"/>
  <c r="I4" i="2"/>
  <c r="K4" i="2" s="1"/>
  <c r="I62" i="2"/>
  <c r="I122" i="2"/>
  <c r="K122" i="2" s="1"/>
  <c r="I152" i="2"/>
  <c r="K152" i="2" s="1"/>
  <c r="I179" i="2"/>
  <c r="I208" i="2"/>
  <c r="K208" i="2" s="1"/>
  <c r="I237" i="2"/>
  <c r="K237" i="2" s="1"/>
  <c r="I271" i="2"/>
  <c r="I372" i="2"/>
  <c r="I403" i="2"/>
  <c r="K403" i="2" s="1"/>
  <c r="I425" i="2"/>
  <c r="I497" i="2"/>
  <c r="I550" i="2"/>
  <c r="I592" i="2"/>
  <c r="I663" i="2"/>
  <c r="I689" i="2"/>
  <c r="I714" i="2"/>
  <c r="I797" i="2"/>
  <c r="I820" i="2"/>
  <c r="I840" i="2"/>
  <c r="I857" i="2"/>
  <c r="K857" i="2" s="1"/>
  <c r="I880" i="2"/>
  <c r="I903" i="2"/>
  <c r="I965" i="2"/>
  <c r="K965" i="2" s="1"/>
  <c r="I982" i="2"/>
  <c r="K982" i="2" s="1"/>
  <c r="I133" i="2"/>
  <c r="K133" i="2" s="1"/>
  <c r="I504" i="2"/>
  <c r="I863" i="2"/>
  <c r="K863" i="2" s="1"/>
  <c r="I265" i="2"/>
  <c r="I38" i="2"/>
  <c r="K38" i="2" s="1"/>
  <c r="I68" i="2"/>
  <c r="I100" i="2"/>
  <c r="K100" i="2" s="1"/>
  <c r="I181" i="2"/>
  <c r="K181" i="2" s="1"/>
  <c r="I209" i="2"/>
  <c r="K209" i="2" s="1"/>
  <c r="I298" i="2"/>
  <c r="K298" i="2" s="1"/>
  <c r="I327" i="2"/>
  <c r="I351" i="2"/>
  <c r="K351" i="2" s="1"/>
  <c r="I471" i="2"/>
  <c r="K471" i="2" s="1"/>
  <c r="I498" i="2"/>
  <c r="K498" i="2" s="1"/>
  <c r="I525" i="2"/>
  <c r="K525" i="2" s="1"/>
  <c r="I570" i="2"/>
  <c r="K570" i="2" s="1"/>
  <c r="I593" i="2"/>
  <c r="K593" i="2" s="1"/>
  <c r="I619" i="2"/>
  <c r="I646" i="2"/>
  <c r="K646" i="2" s="1"/>
  <c r="I732" i="2"/>
  <c r="K732" i="2" s="1"/>
  <c r="I752" i="2"/>
  <c r="I778" i="2"/>
  <c r="K778" i="2" s="1"/>
  <c r="I881" i="2"/>
  <c r="K881" i="2" s="1"/>
  <c r="I923" i="2"/>
  <c r="I946" i="2"/>
  <c r="K946" i="2" s="1"/>
  <c r="I297" i="2"/>
  <c r="I5" i="2"/>
  <c r="K5" i="2" s="1"/>
  <c r="I123" i="2"/>
  <c r="K123" i="2" s="1"/>
  <c r="I153" i="2"/>
  <c r="I238" i="2"/>
  <c r="I272" i="2"/>
  <c r="I373" i="2"/>
  <c r="I404" i="2"/>
  <c r="I426" i="2"/>
  <c r="I452" i="2"/>
  <c r="I501" i="2"/>
  <c r="K501" i="2" s="1"/>
  <c r="I551" i="2"/>
  <c r="I664" i="2"/>
  <c r="K664" i="2" s="1"/>
  <c r="I690" i="2"/>
  <c r="K690" i="2" s="1"/>
  <c r="I715" i="2"/>
  <c r="K715" i="2" s="1"/>
  <c r="I753" i="2"/>
  <c r="K753" i="2" s="1"/>
  <c r="I798" i="2"/>
  <c r="K798" i="2" s="1"/>
  <c r="I821" i="2"/>
  <c r="K821" i="2" s="1"/>
  <c r="I841" i="2"/>
  <c r="I858" i="2"/>
  <c r="K858" i="2" s="1"/>
  <c r="I904" i="2"/>
  <c r="I966" i="2"/>
  <c r="I983" i="2"/>
  <c r="K983" i="2" s="1"/>
  <c r="I781" i="2"/>
  <c r="I39" i="2"/>
  <c r="K39" i="2" s="1"/>
  <c r="I69" i="2"/>
  <c r="K69" i="2" s="1"/>
  <c r="I101" i="2"/>
  <c r="K101" i="2" s="1"/>
  <c r="I126" i="2"/>
  <c r="K126" i="2" s="1"/>
  <c r="I210" i="2"/>
  <c r="K210" i="2" s="1"/>
  <c r="I273" i="2"/>
  <c r="K273" i="2" s="1"/>
  <c r="I299" i="2"/>
  <c r="I328" i="2"/>
  <c r="K328" i="2" s="1"/>
  <c r="I356" i="2"/>
  <c r="I472" i="2"/>
  <c r="I526" i="2"/>
  <c r="I571" i="2"/>
  <c r="I594" i="2"/>
  <c r="I623" i="2"/>
  <c r="I647" i="2"/>
  <c r="I733" i="2"/>
  <c r="I779" i="2"/>
  <c r="K779" i="2" s="1"/>
  <c r="I882" i="2"/>
  <c r="I924" i="2"/>
  <c r="K924" i="2" s="1"/>
  <c r="I393" i="2"/>
  <c r="I6" i="2"/>
  <c r="K6" i="2" s="1"/>
  <c r="I154" i="2"/>
  <c r="K154" i="2" s="1"/>
  <c r="I185" i="2"/>
  <c r="K185" i="2" s="1"/>
  <c r="I239" i="2"/>
  <c r="K239" i="2" s="1"/>
  <c r="I405" i="2"/>
  <c r="K405" i="2" s="1"/>
  <c r="I427" i="2"/>
  <c r="K427" i="2" s="1"/>
  <c r="I453" i="2"/>
  <c r="I502" i="2"/>
  <c r="K502" i="2" s="1"/>
  <c r="I552" i="2"/>
  <c r="K552" i="2" s="1"/>
  <c r="I665" i="2"/>
  <c r="K665" i="2" s="1"/>
  <c r="I691" i="2"/>
  <c r="K691" i="2" s="1"/>
  <c r="I716" i="2"/>
  <c r="K716" i="2" s="1"/>
  <c r="I754" i="2"/>
  <c r="K754" i="2" s="1"/>
  <c r="I804" i="2"/>
  <c r="K804" i="2" s="1"/>
  <c r="I822" i="2"/>
  <c r="K822" i="2" s="1"/>
  <c r="I842" i="2"/>
  <c r="I859" i="2"/>
  <c r="I905" i="2"/>
  <c r="K905" i="2" s="1"/>
  <c r="I948" i="2"/>
  <c r="I967" i="2"/>
  <c r="K967" i="2" s="1"/>
  <c r="I984" i="2"/>
  <c r="I457" i="2"/>
  <c r="K457" i="2" s="1"/>
  <c r="I40" i="2"/>
  <c r="I70" i="2"/>
  <c r="I102" i="2"/>
  <c r="I211" i="2"/>
  <c r="K211" i="2" s="1"/>
  <c r="I274" i="2"/>
  <c r="I300" i="2"/>
  <c r="I330" i="2"/>
  <c r="I357" i="2"/>
  <c r="I378" i="2"/>
  <c r="K378" i="2" s="1"/>
  <c r="I473" i="2"/>
  <c r="I527" i="2"/>
  <c r="K527" i="2" s="1"/>
  <c r="I572" i="2"/>
  <c r="I595" i="2"/>
  <c r="K595" i="2" s="1"/>
  <c r="I624" i="2"/>
  <c r="K624" i="2" s="1"/>
  <c r="I648" i="2"/>
  <c r="K648" i="2" s="1"/>
  <c r="I734" i="2"/>
  <c r="K734" i="2" s="1"/>
  <c r="I780" i="2"/>
  <c r="K780" i="2" s="1"/>
  <c r="I883" i="2"/>
  <c r="K883" i="2" s="1"/>
  <c r="I906" i="2"/>
  <c r="K906" i="2" s="1"/>
  <c r="I925" i="2"/>
  <c r="I553" i="2"/>
  <c r="I7" i="2"/>
  <c r="I132" i="2"/>
  <c r="I155" i="2"/>
  <c r="K155" i="2" s="1"/>
  <c r="I186" i="2"/>
  <c r="I212" i="2"/>
  <c r="K212" i="2" s="1"/>
  <c r="I244" i="2"/>
  <c r="K244" i="2" s="1"/>
  <c r="I406" i="2"/>
  <c r="K406" i="2" s="1"/>
  <c r="I428" i="2"/>
  <c r="K428" i="2" s="1"/>
  <c r="I454" i="2"/>
  <c r="K454" i="2" s="1"/>
  <c r="I503" i="2"/>
  <c r="K503" i="2" s="1"/>
  <c r="I554" i="2"/>
  <c r="K554" i="2" s="1"/>
  <c r="I625" i="2"/>
  <c r="K625" i="2" s="1"/>
  <c r="I666" i="2"/>
  <c r="K666" i="2" s="1"/>
  <c r="I692" i="2"/>
  <c r="K692" i="2" s="1"/>
  <c r="I717" i="2"/>
  <c r="K717" i="2" s="1"/>
  <c r="I755" i="2"/>
  <c r="K755" i="2" s="1"/>
  <c r="I805" i="2"/>
  <c r="I823" i="2"/>
  <c r="I843" i="2"/>
  <c r="K843" i="2" s="1"/>
  <c r="I860" i="2"/>
  <c r="I932" i="2"/>
  <c r="I949" i="2"/>
  <c r="K949" i="2" s="1"/>
  <c r="I968" i="2"/>
  <c r="I985" i="2"/>
  <c r="K985" i="2" s="1"/>
  <c r="I617" i="2"/>
  <c r="K617" i="2" s="1"/>
  <c r="I44" i="2"/>
  <c r="I103" i="2"/>
  <c r="K103" i="2" s="1"/>
  <c r="I275" i="2"/>
  <c r="I596" i="2"/>
  <c r="K596" i="2" s="1"/>
  <c r="I884" i="2"/>
  <c r="I213" i="2"/>
  <c r="K213" i="2" s="1"/>
  <c r="I8" i="2"/>
  <c r="K8" i="2" s="1"/>
  <c r="I484" i="2"/>
  <c r="K484" i="2" s="1"/>
  <c r="I580" i="2"/>
  <c r="K580" i="2" s="1"/>
  <c r="I667" i="2"/>
  <c r="K667" i="2" s="1"/>
  <c r="I933" i="2"/>
  <c r="K933" i="2" s="1"/>
  <c r="I986" i="2"/>
  <c r="I321" i="2"/>
  <c r="I256" i="2"/>
  <c r="I990" i="2"/>
  <c r="I514" i="2"/>
  <c r="K514" i="2" s="1"/>
  <c r="I345" i="2"/>
  <c r="K345" i="2" s="1"/>
  <c r="I401" i="2"/>
  <c r="K401" i="2" s="1"/>
  <c r="I459" i="2"/>
  <c r="K459" i="2" s="1"/>
  <c r="I332" i="2"/>
  <c r="I289" i="2"/>
  <c r="I224" i="2"/>
  <c r="I926" i="2"/>
  <c r="I381" i="2"/>
  <c r="I891" i="2"/>
  <c r="I313" i="2"/>
  <c r="K313" i="2" s="1"/>
  <c r="I241" i="2"/>
  <c r="I267" i="2"/>
  <c r="I144" i="2"/>
  <c r="K144" i="2" s="1"/>
  <c r="I188" i="2"/>
  <c r="K188" i="2" s="1"/>
  <c r="I257" i="2"/>
  <c r="I862" i="2"/>
  <c r="K862" i="2" s="1"/>
  <c r="I795" i="2"/>
  <c r="I249" i="2"/>
  <c r="I194" i="2"/>
  <c r="I962" i="2"/>
  <c r="K962" i="2" s="1"/>
  <c r="I171" i="2"/>
  <c r="K171" i="2" s="1"/>
  <c r="I352" i="2"/>
  <c r="I259" i="2"/>
  <c r="I159" i="2"/>
  <c r="I225" i="2"/>
  <c r="I766" i="2"/>
  <c r="I699" i="2"/>
  <c r="I217" i="2"/>
  <c r="I399" i="2"/>
  <c r="I43" i="2"/>
  <c r="I400" i="2"/>
  <c r="K400" i="2" s="1"/>
  <c r="I384" i="2"/>
  <c r="I578" i="2"/>
  <c r="K578" i="2" s="1"/>
  <c r="I579" i="2"/>
  <c r="K579" i="2" s="1"/>
  <c r="I99" i="2"/>
  <c r="I193" i="2"/>
  <c r="I670" i="2"/>
  <c r="I285" i="2"/>
  <c r="I635" i="2"/>
  <c r="K635" i="2" s="1"/>
  <c r="I121" i="2"/>
  <c r="I309" i="2"/>
  <c r="I367" i="2"/>
  <c r="I610" i="2"/>
  <c r="I227" i="2"/>
  <c r="I355" i="2"/>
  <c r="I129" i="2"/>
  <c r="I638" i="2"/>
  <c r="I539" i="2"/>
  <c r="I89" i="2"/>
  <c r="K89" i="2" s="1"/>
  <c r="I117" i="2"/>
  <c r="I143" i="2"/>
  <c r="I682" i="2"/>
  <c r="K682" i="2" s="1"/>
  <c r="I608" i="2"/>
  <c r="K608" i="2" s="1"/>
  <c r="I35" i="2"/>
  <c r="I963" i="2"/>
  <c r="I97" i="2"/>
  <c r="K97" i="2" s="1"/>
  <c r="I606" i="2"/>
  <c r="I189" i="2"/>
  <c r="I507" i="2"/>
  <c r="I482" i="2"/>
  <c r="I47" i="2"/>
  <c r="I522" i="2"/>
  <c r="K522" i="2" s="1"/>
  <c r="I643" i="2"/>
  <c r="K643" i="2" s="1"/>
  <c r="I65" i="2"/>
  <c r="I574" i="2"/>
  <c r="I475" i="2"/>
  <c r="I25" i="2"/>
  <c r="K25" i="2" s="1"/>
  <c r="I852" i="2"/>
  <c r="K852" i="2" s="1"/>
  <c r="I15" i="2"/>
  <c r="I458" i="2"/>
  <c r="K458" i="2" s="1"/>
  <c r="I288" i="2"/>
  <c r="I162" i="2"/>
  <c r="I675" i="2"/>
  <c r="I927" i="2"/>
  <c r="I125" i="2"/>
  <c r="K125" i="2" s="1"/>
  <c r="I347" i="2"/>
  <c r="I756" i="2"/>
  <c r="I816" i="2"/>
  <c r="I898" i="2"/>
  <c r="I668" i="2"/>
  <c r="I546" i="2"/>
  <c r="K546" i="2" s="1"/>
  <c r="I131" i="2"/>
  <c r="I799" i="2"/>
  <c r="K799" i="2" s="1"/>
  <c r="I510" i="2"/>
  <c r="K510" i="2" s="1"/>
  <c r="I93" i="2"/>
  <c r="I500" i="2"/>
  <c r="I910" i="2"/>
  <c r="I170" i="2"/>
  <c r="K170" i="2" s="1"/>
  <c r="I928" i="2"/>
  <c r="I767" i="2"/>
  <c r="K767" i="2" s="1"/>
  <c r="I478" i="2"/>
  <c r="I29" i="2"/>
  <c r="I219" i="2"/>
  <c r="K219" i="2" s="1"/>
  <c r="I600" i="2"/>
  <c r="I308" i="2"/>
  <c r="K308" i="2" s="1"/>
  <c r="I622" i="2"/>
  <c r="K622" i="2" s="1"/>
  <c r="I42" i="2"/>
  <c r="I191" i="2"/>
  <c r="I994" i="2"/>
  <c r="I703" i="2"/>
  <c r="I446" i="2"/>
  <c r="I290" i="2"/>
  <c r="I91" i="2"/>
  <c r="I720" i="2"/>
  <c r="K720" i="2" s="1"/>
  <c r="I398" i="2"/>
  <c r="I67" i="2"/>
  <c r="I515" i="2"/>
  <c r="I758" i="2"/>
  <c r="K758" i="2" s="1"/>
  <c r="I707" i="2"/>
  <c r="I323" i="2"/>
  <c r="I481" i="2"/>
  <c r="K481" i="2" s="1"/>
  <c r="I892" i="2"/>
  <c r="I27" i="2"/>
  <c r="K27" i="2" s="1"/>
  <c r="I376" i="2"/>
  <c r="I180" i="2"/>
  <c r="K180" i="2" s="1"/>
  <c r="I334" i="2"/>
  <c r="K334" i="2" s="1"/>
  <c r="I674" i="2"/>
  <c r="I220" i="2"/>
  <c r="I639" i="2"/>
  <c r="I382" i="2"/>
  <c r="I216" i="2"/>
  <c r="I116" i="2"/>
  <c r="K116" i="2" s="1"/>
  <c r="I142" i="2"/>
  <c r="I777" i="2"/>
  <c r="I929" i="2"/>
  <c r="I451" i="2"/>
  <c r="K451" i="2" s="1"/>
  <c r="I386" i="2"/>
  <c r="K386" i="2" s="1"/>
  <c r="I438" i="2"/>
  <c r="I607" i="2"/>
  <c r="K607" i="2" s="1"/>
  <c r="I318" i="2"/>
  <c r="I796" i="2"/>
  <c r="I890" i="2"/>
  <c r="I184" i="2"/>
  <c r="I489" i="2"/>
  <c r="K489" i="2" s="1"/>
  <c r="I899" i="2"/>
  <c r="I291" i="2"/>
  <c r="I835" i="2"/>
  <c r="K835" i="2" s="1"/>
  <c r="I800" i="2"/>
  <c r="I575" i="2"/>
  <c r="K575" i="2" s="1"/>
  <c r="I286" i="2"/>
  <c r="I794" i="2"/>
  <c r="K794" i="2" s="1"/>
  <c r="I24" i="2"/>
  <c r="I14" i="2"/>
  <c r="K14" i="2" s="1"/>
  <c r="I329" i="2"/>
  <c r="K329" i="2" s="1"/>
  <c r="I96" i="2"/>
  <c r="K96" i="2" s="1"/>
  <c r="I803" i="2"/>
  <c r="K803" i="2" s="1"/>
  <c r="I669" i="2"/>
  <c r="I865" i="2"/>
  <c r="K865" i="2" s="1"/>
  <c r="I768" i="2"/>
  <c r="K768" i="2" s="1"/>
  <c r="I543" i="2"/>
  <c r="K543" i="2" s="1"/>
  <c r="I254" i="2"/>
  <c r="K254" i="2" s="1"/>
  <c r="I700" i="2"/>
  <c r="K700" i="2" s="1"/>
  <c r="I698" i="2"/>
  <c r="K698" i="2" s="1"/>
  <c r="I258" i="2"/>
  <c r="I560" i="2"/>
  <c r="I802" i="2"/>
  <c r="I137" i="2"/>
  <c r="I864" i="2"/>
  <c r="I611" i="2"/>
  <c r="I867" i="2"/>
  <c r="K867" i="2" s="1"/>
  <c r="I637" i="2"/>
  <c r="K637" i="2" s="1"/>
  <c r="I833" i="2"/>
  <c r="I511" i="2"/>
  <c r="I190" i="2"/>
  <c r="K190" i="2" s="1"/>
  <c r="I538" i="2"/>
  <c r="K538" i="2" s="1"/>
  <c r="I947" i="2"/>
  <c r="K947" i="2" s="1"/>
  <c r="I909" i="2"/>
  <c r="I834" i="2"/>
  <c r="K834" i="2" s="1"/>
  <c r="I445" i="2"/>
  <c r="K445" i="2" s="1"/>
  <c r="I160" i="2"/>
  <c r="K160" i="2" s="1"/>
  <c r="I739" i="2"/>
  <c r="I771" i="2"/>
  <c r="K771" i="2" s="1"/>
  <c r="I513" i="2"/>
  <c r="K513" i="2" s="1"/>
  <c r="I268" i="2"/>
  <c r="K268" i="2" s="1"/>
  <c r="I801" i="2"/>
  <c r="K801" i="2" s="1"/>
  <c r="I704" i="2"/>
  <c r="I479" i="2"/>
  <c r="K479" i="2" s="1"/>
  <c r="I158" i="2"/>
  <c r="I474" i="2"/>
  <c r="I599" i="2"/>
  <c r="K599" i="2" s="1"/>
  <c r="I659" i="2"/>
  <c r="K659" i="2" s="1"/>
  <c r="I621" i="2"/>
  <c r="I317" i="2"/>
  <c r="K317" i="2" s="1"/>
  <c r="I995" i="2"/>
  <c r="K995" i="2" s="1"/>
  <c r="I387" i="2"/>
  <c r="I769" i="2"/>
  <c r="K769" i="2" s="1"/>
  <c r="I672" i="2"/>
  <c r="I447" i="2"/>
  <c r="I94" i="2"/>
  <c r="I346" i="2"/>
  <c r="I439" i="2"/>
  <c r="I499" i="2"/>
  <c r="I333" i="2"/>
  <c r="K333" i="2" s="1"/>
  <c r="I642" i="2"/>
  <c r="I128" i="2"/>
  <c r="K128" i="2" s="1"/>
  <c r="I737" i="2"/>
  <c r="K737" i="2" s="1"/>
  <c r="I415" i="2"/>
  <c r="I508" i="2"/>
  <c r="I314" i="2"/>
  <c r="I375" i="2"/>
  <c r="I307" i="2"/>
  <c r="I269" i="2"/>
  <c r="K269" i="2" s="1"/>
  <c r="I706" i="2"/>
  <c r="K706" i="2" s="1"/>
  <c r="I34" i="2"/>
  <c r="I547" i="2"/>
  <c r="I419" i="2"/>
  <c r="I736" i="2"/>
  <c r="I705" i="2"/>
  <c r="I383" i="2"/>
  <c r="K383" i="2" s="1"/>
  <c r="I30" i="2"/>
  <c r="I476" i="2"/>
  <c r="K476" i="2" s="1"/>
  <c r="I250" i="2"/>
  <c r="K250" i="2" s="1"/>
  <c r="I215" i="2"/>
  <c r="K215" i="2" s="1"/>
  <c r="I141" i="2"/>
  <c r="K141" i="2" s="1"/>
  <c r="I448" i="2"/>
  <c r="I322" i="2"/>
  <c r="K322" i="2" s="1"/>
  <c r="I416" i="2"/>
  <c r="I226" i="2"/>
  <c r="I673" i="2"/>
  <c r="I319" i="2"/>
  <c r="I989" i="2"/>
  <c r="I444" i="2"/>
  <c r="I218" i="2"/>
  <c r="K218" i="2" s="1"/>
  <c r="I119" i="2"/>
  <c r="I13" i="2"/>
  <c r="I866" i="2"/>
  <c r="K866" i="2" s="1"/>
  <c r="I192" i="2"/>
  <c r="K192" i="2" s="1"/>
  <c r="I98" i="2"/>
  <c r="I931" i="2"/>
  <c r="K931" i="2" s="1"/>
  <c r="I641" i="2"/>
  <c r="I544" i="2"/>
  <c r="I316" i="2"/>
  <c r="K316" i="2" s="1"/>
  <c r="I90" i="2"/>
  <c r="I87" i="2"/>
  <c r="I930" i="2"/>
  <c r="I897" i="2"/>
  <c r="K897" i="2" s="1"/>
  <c r="I243" i="2"/>
  <c r="K243" i="2" s="1"/>
  <c r="I66" i="2"/>
  <c r="K66" i="2" s="1"/>
  <c r="I418" i="2"/>
  <c r="K418" i="2" s="1"/>
  <c r="I195" i="2"/>
  <c r="K195" i="2" s="1"/>
  <c r="I287" i="2"/>
  <c r="I609" i="2"/>
  <c r="K609" i="2" s="1"/>
  <c r="I255" i="2"/>
  <c r="K255" i="2" s="1"/>
  <c r="I861" i="2"/>
  <c r="I284" i="2"/>
  <c r="I354" i="2"/>
  <c r="K354" i="2" s="1"/>
  <c r="I55" i="2"/>
  <c r="K55" i="2" s="1"/>
  <c r="I240" i="2"/>
  <c r="K240" i="2" s="1"/>
  <c r="I620" i="2"/>
  <c r="I64" i="2"/>
  <c r="I577" i="2"/>
  <c r="K577" i="2" s="1"/>
  <c r="I480" i="2"/>
  <c r="I223" i="2"/>
  <c r="K223" i="2" s="1"/>
  <c r="I765" i="2"/>
  <c r="K765" i="2" s="1"/>
  <c r="I252" i="2"/>
  <c r="I450" i="2"/>
  <c r="K450" i="2" s="1"/>
  <c r="I460" i="2"/>
  <c r="K460" i="2" s="1"/>
  <c r="I832" i="2"/>
  <c r="I449" i="2"/>
  <c r="I127" i="2"/>
  <c r="K127" i="2" s="1"/>
  <c r="I573" i="2"/>
  <c r="I156" i="2"/>
  <c r="K156" i="2" s="1"/>
  <c r="I601" i="2"/>
  <c r="I374" i="2"/>
  <c r="I242" i="2"/>
  <c r="K242" i="2" s="1"/>
  <c r="I115" i="2"/>
  <c r="I417" i="2"/>
  <c r="I95" i="2"/>
  <c r="I541" i="2"/>
  <c r="K541" i="2" s="1"/>
  <c r="I124" i="2"/>
  <c r="K124" i="2" s="1"/>
  <c r="I537" i="2"/>
  <c r="K537" i="2" s="1"/>
  <c r="I310" i="2"/>
  <c r="K310" i="2" s="1"/>
  <c r="I16" i="2"/>
  <c r="K16" i="2" s="1"/>
  <c r="I770" i="2"/>
  <c r="I10" i="2"/>
  <c r="K10" i="2" s="1"/>
  <c r="I385" i="2"/>
  <c r="K385" i="2" s="1"/>
  <c r="I320" i="2"/>
  <c r="I63" i="2"/>
  <c r="K63" i="2" s="1"/>
  <c r="I509" i="2"/>
  <c r="K509" i="2" s="1"/>
  <c r="I92" i="2"/>
  <c r="K92" i="2" s="1"/>
  <c r="I182" i="2"/>
  <c r="I561" i="2"/>
  <c r="I738" i="2"/>
  <c r="I683" i="2"/>
  <c r="K683" i="2" s="1"/>
  <c r="I130" i="2"/>
  <c r="I163" i="2"/>
  <c r="K163" i="2" s="1"/>
  <c r="I483" i="2"/>
  <c r="I353" i="2"/>
  <c r="I377" i="2"/>
  <c r="K377" i="2" s="1"/>
  <c r="I118" i="2"/>
  <c r="I911" i="2"/>
  <c r="I157" i="2"/>
  <c r="K157" i="2" s="1"/>
  <c r="K770" i="2" l="1"/>
  <c r="K158" i="2"/>
  <c r="K131" i="2"/>
  <c r="K638" i="2"/>
  <c r="K257" i="2"/>
  <c r="K907" i="2"/>
  <c r="K873" i="2"/>
  <c r="K508" i="2"/>
  <c r="K415" i="2"/>
  <c r="K15" i="2"/>
  <c r="D38" i="2"/>
  <c r="C25" i="4" s="1"/>
  <c r="K118" i="2"/>
  <c r="K191" i="2"/>
  <c r="K475" i="2"/>
  <c r="K928" i="2"/>
  <c r="K912" i="2"/>
  <c r="K856" i="2"/>
  <c r="K920" i="2"/>
  <c r="K422" i="2"/>
  <c r="K120" i="2"/>
  <c r="K629" i="2"/>
  <c r="K581" i="2"/>
  <c r="K558" i="2"/>
  <c r="K530" i="2"/>
  <c r="K248" i="2"/>
  <c r="K621" i="2"/>
  <c r="K352" i="2"/>
  <c r="K30" i="2"/>
  <c r="K117" i="2"/>
  <c r="K249" i="2"/>
  <c r="K87" i="2"/>
  <c r="K684" i="2"/>
  <c r="K830" i="2"/>
  <c r="K262" i="2"/>
  <c r="K823" i="2"/>
  <c r="K392" i="2"/>
  <c r="K811" i="2"/>
  <c r="K978" i="2"/>
  <c r="K86" i="2"/>
  <c r="K228" i="2"/>
  <c r="K184" i="2"/>
  <c r="K70" i="2"/>
  <c r="K98" i="2"/>
  <c r="K911" i="2"/>
  <c r="K796" i="2"/>
  <c r="K526" i="2"/>
  <c r="K496" i="2"/>
  <c r="K49" i="2"/>
  <c r="K663" i="2"/>
  <c r="K112" i="2"/>
  <c r="K910" i="2"/>
  <c r="K149" i="2"/>
  <c r="K159" i="2"/>
  <c r="K320" i="2"/>
  <c r="K284" i="2"/>
  <c r="K904" i="2"/>
  <c r="K837" i="2"/>
  <c r="K653" i="2"/>
  <c r="K568" i="2"/>
  <c r="K247" i="2"/>
  <c r="K143" i="2"/>
  <c r="K453" i="2"/>
  <c r="K695" i="2"/>
  <c r="K327" i="2"/>
  <c r="K161" i="2"/>
  <c r="K633" i="2"/>
  <c r="K998" i="2"/>
  <c r="K145" i="2"/>
  <c r="K680" i="2"/>
  <c r="K21" i="2"/>
  <c r="K968" i="2"/>
  <c r="K908" i="2"/>
  <c r="K533" i="2"/>
  <c r="K551" i="2"/>
  <c r="K882" i="2"/>
  <c r="K889" i="2"/>
  <c r="K337" i="2"/>
  <c r="K473" i="2"/>
  <c r="K675" i="2"/>
  <c r="K504" i="2"/>
  <c r="K953" i="2"/>
  <c r="K267" i="2"/>
  <c r="K722" i="2"/>
  <c r="K977" i="2"/>
  <c r="K909" i="2"/>
  <c r="K903" i="2"/>
  <c r="G31" i="4"/>
  <c r="C27" i="4"/>
  <c r="F27" i="4" s="1"/>
  <c r="K353" i="2"/>
  <c r="K713" i="2"/>
  <c r="K296" i="2"/>
  <c r="K548" i="2"/>
  <c r="K728" i="2"/>
  <c r="K263" i="2"/>
  <c r="K612" i="2"/>
  <c r="K53" i="2"/>
  <c r="K996" i="2"/>
  <c r="K517" i="2"/>
  <c r="K7" i="2"/>
  <c r="K781" i="2"/>
  <c r="K944" i="2"/>
  <c r="K396" i="2"/>
  <c r="K861" i="2"/>
  <c r="K589" i="2"/>
  <c r="K892" i="2"/>
  <c r="K306" i="2"/>
  <c r="K135" i="2"/>
  <c r="K694" i="2"/>
  <c r="K376" i="2"/>
  <c r="K785" i="2"/>
  <c r="K389" i="2"/>
  <c r="K45" i="2"/>
  <c r="K714" i="2"/>
  <c r="K382" i="2"/>
  <c r="K13" i="2"/>
  <c r="K902" i="2"/>
  <c r="K295" i="2"/>
  <c r="K521" i="2"/>
  <c r="K749" i="2"/>
  <c r="K702" i="2"/>
  <c r="K36" i="2"/>
  <c r="K311" i="2"/>
  <c r="K744" i="2"/>
  <c r="K193" i="2"/>
  <c r="K332" i="2"/>
  <c r="K976" i="2"/>
  <c r="K168" i="2"/>
  <c r="K444" i="2"/>
  <c r="K387" i="2"/>
  <c r="K819" i="2"/>
  <c r="K344" i="2"/>
  <c r="K941" i="2"/>
  <c r="K203" i="2"/>
  <c r="K565" i="2"/>
  <c r="K511" i="2"/>
  <c r="K994" i="2"/>
  <c r="K119" i="2"/>
  <c r="K764" i="2"/>
  <c r="K175" i="2"/>
  <c r="K179" i="2"/>
  <c r="K710" i="2"/>
  <c r="K795" i="2"/>
  <c r="K519" i="2"/>
  <c r="K563" i="2"/>
  <c r="K974" i="2"/>
  <c r="K670" i="2"/>
  <c r="K890" i="2"/>
  <c r="K602" i="2"/>
  <c r="K104" i="2"/>
  <c r="K820" i="2"/>
  <c r="K966" i="2"/>
  <c r="K271" i="2"/>
  <c r="K93" i="2"/>
  <c r="K469" i="2"/>
  <c r="K814" i="2"/>
  <c r="K739" i="2"/>
  <c r="K751" i="2"/>
  <c r="K462" i="2"/>
  <c r="K90" i="2"/>
  <c r="K309" i="2"/>
  <c r="K330" i="2"/>
  <c r="K426" i="2"/>
  <c r="K736" i="2"/>
  <c r="K825" i="2"/>
  <c r="K288" i="2"/>
  <c r="K647" i="2"/>
  <c r="K373" i="2"/>
  <c r="K197" i="2"/>
  <c r="K272" i="2"/>
  <c r="K847" i="2"/>
  <c r="K3" i="2"/>
  <c r="K130" i="2"/>
  <c r="K94" i="2"/>
  <c r="K929" i="2"/>
  <c r="K859" i="2"/>
  <c r="K480" i="2"/>
  <c r="K319" i="2"/>
  <c r="K802" i="2"/>
  <c r="K842" i="2"/>
  <c r="K673" i="2"/>
  <c r="K186" i="2"/>
  <c r="K266" i="2"/>
  <c r="K416" i="2"/>
  <c r="K981" i="2"/>
  <c r="K51" i="2"/>
  <c r="K777" i="2"/>
  <c r="K738" i="2"/>
  <c r="K606" i="2"/>
  <c r="K220" i="2"/>
  <c r="K500" i="2"/>
  <c r="K35" i="2"/>
  <c r="K925" i="2"/>
  <c r="K368" i="2"/>
  <c r="K414" i="2"/>
  <c r="K336" i="2"/>
  <c r="K707" i="2"/>
  <c r="K355" i="2"/>
  <c r="K68" i="2"/>
  <c r="K704" i="2"/>
  <c r="K731" i="2"/>
  <c r="K375" i="2"/>
  <c r="K121" i="2"/>
  <c r="K601" i="2"/>
  <c r="K137" i="2"/>
  <c r="K47" i="2"/>
  <c r="K217" i="2"/>
  <c r="K730" i="2"/>
  <c r="K201" i="2"/>
  <c r="K574" i="2"/>
  <c r="K561" i="2"/>
  <c r="K226" i="2"/>
  <c r="K189" i="2"/>
  <c r="K132" i="2"/>
  <c r="K942" i="2"/>
  <c r="K448" i="2"/>
  <c r="K963" i="2"/>
  <c r="K474" i="2"/>
  <c r="K275" i="2"/>
  <c r="K841" i="2"/>
  <c r="K325" i="2"/>
  <c r="K286" i="2"/>
  <c r="K227" i="2"/>
  <c r="K932" i="2"/>
  <c r="K939" i="2"/>
  <c r="K417" i="2"/>
  <c r="K930" i="2"/>
  <c r="K515" i="2"/>
  <c r="K610" i="2"/>
  <c r="K241" i="2"/>
  <c r="K636" i="2"/>
  <c r="K435" i="2"/>
  <c r="K349" i="2"/>
  <c r="K805" i="2"/>
  <c r="K274" i="2"/>
  <c r="K547" i="2"/>
  <c r="K573" i="2"/>
  <c r="K446" i="2"/>
  <c r="K594" i="2"/>
  <c r="K346" i="2"/>
  <c r="K258" i="2"/>
  <c r="K182" i="2"/>
  <c r="K216" i="2"/>
  <c r="K960" i="2"/>
  <c r="K398" i="2"/>
  <c r="K891" i="2"/>
  <c r="K752" i="2"/>
  <c r="K964" i="2"/>
  <c r="K323" i="2"/>
  <c r="K73" i="2"/>
  <c r="K91" i="2"/>
  <c r="K419" i="2"/>
  <c r="K129" i="2"/>
  <c r="K572" i="2"/>
  <c r="K233" i="2"/>
  <c r="K41" i="2"/>
  <c r="K559" i="2"/>
  <c r="K735" i="2"/>
  <c r="K347" i="2"/>
  <c r="K860" i="2"/>
  <c r="K784" i="2"/>
  <c r="K291" i="2"/>
  <c r="K439" i="2"/>
  <c r="K990" i="2"/>
  <c r="K151" i="2"/>
  <c r="K43" i="2"/>
  <c r="K256" i="2"/>
  <c r="K57" i="2"/>
  <c r="K399" i="2"/>
  <c r="K321" i="2"/>
  <c r="K447" i="2"/>
  <c r="K592" i="2"/>
  <c r="K560" i="2"/>
  <c r="K699" i="2"/>
  <c r="K22" i="2"/>
  <c r="K766" i="2"/>
  <c r="K225" i="2"/>
  <c r="K992" i="2"/>
  <c r="K576" i="2"/>
  <c r="K23" i="2"/>
  <c r="K11" i="2"/>
  <c r="K656" i="2"/>
  <c r="K62" i="2"/>
  <c r="K65" i="2"/>
  <c r="K58" i="2"/>
  <c r="K33" i="2"/>
  <c r="K67" i="2"/>
  <c r="K42" i="2"/>
  <c r="K848" i="2"/>
  <c r="K44" i="2"/>
  <c r="K660" i="2"/>
  <c r="K539" i="2"/>
  <c r="K342" i="2"/>
  <c r="K747" i="2"/>
  <c r="K915" i="2"/>
  <c r="K409" i="2"/>
  <c r="K800" i="2"/>
  <c r="K367" i="2"/>
  <c r="K705" i="2"/>
  <c r="K499" i="2"/>
  <c r="K797" i="2"/>
  <c r="K80" i="2"/>
  <c r="K864" i="2"/>
  <c r="K482" i="2"/>
  <c r="K483" i="2"/>
  <c r="K639" i="2"/>
  <c r="K83" i="2"/>
  <c r="K442" i="2"/>
  <c r="K113" i="2"/>
  <c r="K895" i="2"/>
  <c r="K56" i="2"/>
  <c r="K420" i="2"/>
  <c r="K477" i="2"/>
  <c r="K772" i="2"/>
  <c r="K956" i="2"/>
  <c r="K283" i="2"/>
  <c r="K490" i="2"/>
  <c r="K24" i="2"/>
  <c r="K115" i="2"/>
  <c r="K339" i="2"/>
  <c r="K898" i="2"/>
  <c r="K300" i="2"/>
  <c r="K404" i="2"/>
  <c r="K807" i="2"/>
  <c r="K623" i="2"/>
  <c r="K166" i="2"/>
  <c r="K95" i="2"/>
  <c r="K672" i="2"/>
  <c r="K497" i="2"/>
  <c r="K259" i="2"/>
  <c r="K553" i="2"/>
  <c r="K372" i="2"/>
  <c r="K495" i="2"/>
  <c r="K674" i="2"/>
  <c r="K884" i="2"/>
  <c r="K879" i="2"/>
  <c r="K293" i="2"/>
  <c r="K669" i="2"/>
  <c r="K194" i="2"/>
  <c r="K839" i="2"/>
  <c r="K791" i="2"/>
  <c r="K287" i="2"/>
  <c r="K1000" i="2"/>
  <c r="K84" i="2"/>
  <c r="K379" i="2"/>
  <c r="K756" i="2"/>
  <c r="K729" i="2"/>
  <c r="K369" i="2"/>
  <c r="K993" i="2"/>
  <c r="K668" i="2"/>
  <c r="K393" i="2"/>
  <c r="K686" i="2"/>
  <c r="K265" i="2"/>
  <c r="K980" i="2"/>
  <c r="K264" i="2"/>
  <c r="K727" i="2"/>
  <c r="K874" i="2"/>
  <c r="K488" i="2"/>
  <c r="K9" i="2"/>
  <c r="K357" i="2"/>
  <c r="K452" i="2"/>
  <c r="K615" i="2"/>
  <c r="K234" i="2"/>
  <c r="K958" i="2"/>
  <c r="K231" i="2"/>
  <c r="K413" i="2"/>
  <c r="K545" i="2"/>
  <c r="K307" i="2"/>
  <c r="K205" i="2"/>
  <c r="K613" i="2"/>
  <c r="K788" i="2"/>
  <c r="K849" i="2"/>
  <c r="K845" i="2"/>
  <c r="K733" i="2"/>
  <c r="K688" i="2"/>
  <c r="K876" i="2"/>
  <c r="K111" i="2"/>
  <c r="K364" i="2"/>
  <c r="K221" i="2"/>
  <c r="K853" i="2"/>
  <c r="K492" i="2"/>
  <c r="K26" i="2"/>
  <c r="K632" i="2"/>
  <c r="K762" i="2"/>
  <c r="K280" i="2"/>
  <c r="K870" i="2"/>
  <c r="K774" i="2"/>
  <c r="K816" i="2"/>
  <c r="K544" i="2"/>
  <c r="K836" i="2"/>
  <c r="K466" i="2"/>
  <c r="K586" i="2"/>
  <c r="K172" i="2"/>
  <c r="K719" i="2"/>
  <c r="K381" i="2"/>
  <c r="K926" i="2"/>
  <c r="K285" i="2"/>
  <c r="K289" i="2"/>
  <c r="K102" i="2"/>
  <c r="K238" i="2"/>
  <c r="K437" i="2"/>
  <c r="K78" i="2"/>
  <c r="K724" i="2"/>
  <c r="K199" i="2"/>
  <c r="K827" i="2"/>
  <c r="K652" i="2"/>
  <c r="K290" i="2"/>
  <c r="K224" i="2"/>
  <c r="K703" i="2"/>
  <c r="K571" i="2"/>
  <c r="K153" i="2"/>
  <c r="K880" i="2"/>
  <c r="K54" i="2"/>
  <c r="K679" i="2"/>
  <c r="K106" i="2"/>
  <c r="K671" i="2"/>
  <c r="K246" i="2"/>
  <c r="K605" i="2"/>
  <c r="K314" i="2"/>
  <c r="K641" i="2"/>
  <c r="K449" i="2"/>
  <c r="K99" i="2"/>
  <c r="K40" i="2"/>
  <c r="K654" i="2"/>
  <c r="K138" i="2"/>
  <c r="K696" i="2"/>
  <c r="K410" i="2"/>
  <c r="K627" i="2"/>
  <c r="K34" i="2"/>
  <c r="K927" i="2"/>
  <c r="K832" i="2"/>
  <c r="K642" i="2"/>
  <c r="K833" i="2"/>
  <c r="K318" i="2"/>
  <c r="K472" i="2"/>
  <c r="K840" i="2"/>
  <c r="K896" i="2"/>
  <c r="K108" i="2"/>
  <c r="K72" i="2"/>
  <c r="K374" i="2"/>
  <c r="K162" i="2"/>
  <c r="K899" i="2"/>
  <c r="K984" i="2"/>
  <c r="K356" i="2"/>
  <c r="K297" i="2"/>
  <c r="K52" i="2"/>
  <c r="K583" i="2"/>
  <c r="K361" i="2"/>
  <c r="K971" i="2"/>
  <c r="K556" i="2"/>
  <c r="K438" i="2"/>
  <c r="K384" i="2"/>
  <c r="K640" i="2"/>
  <c r="K20" i="2"/>
  <c r="K886" i="2"/>
  <c r="K611" i="2"/>
  <c r="K948" i="2"/>
  <c r="K299" i="2"/>
  <c r="K923" i="2"/>
  <c r="K532" i="2"/>
  <c r="K783" i="2"/>
  <c r="K505" i="2"/>
  <c r="K600" i="2"/>
  <c r="K689" i="2"/>
  <c r="K75" i="2"/>
  <c r="K485" i="2"/>
  <c r="K140" i="2"/>
  <c r="D41" i="2" s="1"/>
  <c r="C26" i="4" s="1"/>
  <c r="C28" i="4" s="1"/>
  <c r="F28" i="4" s="1"/>
  <c r="K487" i="2"/>
  <c r="K18" i="2"/>
  <c r="K456" i="2"/>
  <c r="K986" i="2"/>
  <c r="K37" i="2"/>
  <c r="K432" i="2"/>
  <c r="K252" i="2"/>
  <c r="K142" i="2"/>
  <c r="K507" i="2"/>
  <c r="K550" i="2"/>
  <c r="K528" i="2"/>
  <c r="K989" i="2"/>
  <c r="K29" i="2"/>
  <c r="K478" i="2"/>
  <c r="K64" i="2"/>
  <c r="K620" i="2"/>
  <c r="K619" i="2"/>
  <c r="K425" i="2"/>
  <c r="K12" i="2"/>
  <c r="C14" i="4" l="1"/>
  <c r="F14" i="4" s="1"/>
  <c r="H15" i="4" s="1"/>
  <c r="I21" i="4" s="1"/>
  <c r="D34" i="2"/>
  <c r="D35" i="2" s="1"/>
  <c r="I22" i="4"/>
  <c r="H16" i="4"/>
  <c r="H19" i="4" s="1"/>
  <c r="H18" i="4" l="1"/>
  <c r="I24" i="4"/>
  <c r="I25" i="4"/>
</calcChain>
</file>

<file path=xl/sharedStrings.xml><?xml version="1.0" encoding="utf-8"?>
<sst xmlns="http://schemas.openxmlformats.org/spreadsheetml/2006/main" count="142" uniqueCount="104">
  <si>
    <t>Inputs</t>
  </si>
  <si>
    <t>Units</t>
  </si>
  <si>
    <t xml:space="preserve">Metric </t>
  </si>
  <si>
    <t>Shaft Length</t>
  </si>
  <si>
    <t>Location of forces along axis</t>
  </si>
  <si>
    <t>Force 1</t>
  </si>
  <si>
    <t>Force 2</t>
  </si>
  <si>
    <t>Magnitude of the Forces</t>
  </si>
  <si>
    <t>y-direction</t>
  </si>
  <si>
    <t>z-direction</t>
  </si>
  <si>
    <t>Reaction at left bearing</t>
  </si>
  <si>
    <t>Reaction at right bearing</t>
  </si>
  <si>
    <t>mm</t>
  </si>
  <si>
    <t>Magnitude of caused Torques</t>
  </si>
  <si>
    <t>x-direction</t>
  </si>
  <si>
    <t>Gear Diameters</t>
  </si>
  <si>
    <t>Force 3</t>
  </si>
  <si>
    <t>Force 4</t>
  </si>
  <si>
    <t>Gear 1,2</t>
  </si>
  <si>
    <t>Gear 3,4</t>
  </si>
  <si>
    <t>Magnitude</t>
  </si>
  <si>
    <t>P2</t>
  </si>
  <si>
    <t>P1</t>
  </si>
  <si>
    <t>50N</t>
  </si>
  <si>
    <t>270N</t>
  </si>
  <si>
    <t>Torque 1,2</t>
  </si>
  <si>
    <t>Torque 3,4</t>
  </si>
  <si>
    <t>O</t>
  </si>
  <si>
    <t>E</t>
  </si>
  <si>
    <t>x [mm]</t>
  </si>
  <si>
    <t>moment about the z-axis [Nm]</t>
  </si>
  <si>
    <t>moment about the y-axis [Nm]</t>
  </si>
  <si>
    <t>Net Moment [Nm]</t>
  </si>
  <si>
    <t>Max moment</t>
  </si>
  <si>
    <t>Nm</t>
  </si>
  <si>
    <t>location</t>
  </si>
  <si>
    <t>-</t>
  </si>
  <si>
    <t>step size</t>
  </si>
  <si>
    <t/>
  </si>
  <si>
    <t>Shaft Material Properties</t>
  </si>
  <si>
    <r>
      <t>Ultimate Strength, S</t>
    </r>
    <r>
      <rPr>
        <vertAlign val="subscript"/>
        <sz val="11"/>
        <color theme="1"/>
        <rFont val="Aptos Narrow"/>
        <family val="2"/>
        <scheme val="minor"/>
      </rPr>
      <t>ut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</si>
  <si>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e</t>
    </r>
  </si>
  <si>
    <r>
      <t>Yield Strength, S</t>
    </r>
    <r>
      <rPr>
        <vertAlign val="subscript"/>
        <sz val="11"/>
        <color theme="1"/>
        <rFont val="Aptos Narrow"/>
        <family val="2"/>
        <scheme val="minor"/>
      </rPr>
      <t>y</t>
    </r>
  </si>
  <si>
    <t>Shaft Material</t>
  </si>
  <si>
    <t>Metric</t>
  </si>
  <si>
    <t>Fatigue factor of safety, n</t>
  </si>
  <si>
    <t>Fatigue Criterion</t>
  </si>
  <si>
    <t>Goodman</t>
  </si>
  <si>
    <t>Moment</t>
  </si>
  <si>
    <t>Moment Amplitude</t>
  </si>
  <si>
    <t>Estimated diameter of the shaft</t>
  </si>
  <si>
    <t>Torque</t>
  </si>
  <si>
    <t>Mean Moment</t>
  </si>
  <si>
    <t>Torque Amplitude</t>
  </si>
  <si>
    <t>Stress Concentration Factors</t>
  </si>
  <si>
    <t>Mean Torque</t>
  </si>
  <si>
    <t>Shoulder in Bending</t>
  </si>
  <si>
    <t>Shoulder under Torsion</t>
  </si>
  <si>
    <t>Keyway</t>
  </si>
  <si>
    <t>Snap Ring</t>
  </si>
  <si>
    <r>
      <t>σ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'</t>
    </r>
  </si>
  <si>
    <r>
      <t>σ</t>
    </r>
    <r>
      <rPr>
        <vertAlign val="subscript"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>'</t>
    </r>
  </si>
  <si>
    <t>Yield Factor of safety</t>
  </si>
  <si>
    <t>Nmm</t>
  </si>
  <si>
    <t>N</t>
  </si>
  <si>
    <t>Moment at location</t>
  </si>
  <si>
    <t>CD shoulder location</t>
  </si>
  <si>
    <t>AB shoulder location</t>
  </si>
  <si>
    <t>Se=229</t>
  </si>
  <si>
    <t>CD</t>
  </si>
  <si>
    <t>AB</t>
  </si>
  <si>
    <t>`</t>
  </si>
  <si>
    <t>x</t>
  </si>
  <si>
    <t>y</t>
  </si>
  <si>
    <t>left side</t>
  </si>
  <si>
    <t>small diameter</t>
  </si>
  <si>
    <t>larger diameter</t>
  </si>
  <si>
    <t>middle</t>
  </si>
  <si>
    <t>right side</t>
  </si>
  <si>
    <t>centerline</t>
  </si>
  <si>
    <t>Vertical lines on graph</t>
  </si>
  <si>
    <t>For Net Moment Graph</t>
  </si>
  <si>
    <t>Steel</t>
  </si>
  <si>
    <t>Moment at AB</t>
  </si>
  <si>
    <t>Moment at CD</t>
  </si>
  <si>
    <t>I</t>
  </si>
  <si>
    <t>m</t>
  </si>
  <si>
    <t>m^4</t>
  </si>
  <si>
    <t>Pa</t>
  </si>
  <si>
    <t>MPA</t>
  </si>
  <si>
    <t>kt</t>
  </si>
  <si>
    <t>kts</t>
  </si>
  <si>
    <t>MPa</t>
  </si>
  <si>
    <r>
      <t>σ</t>
    </r>
    <r>
      <rPr>
        <vertAlign val="subscript"/>
        <sz val="11"/>
        <color theme="1"/>
        <rFont val="Aptos Narrow"/>
        <family val="2"/>
        <scheme val="minor"/>
      </rPr>
      <t>bendingAB</t>
    </r>
  </si>
  <si>
    <r>
      <t>σ</t>
    </r>
    <r>
      <rPr>
        <vertAlign val="subscript"/>
        <sz val="11"/>
        <color theme="1"/>
        <rFont val="Aptos Narrow"/>
        <family val="2"/>
        <scheme val="minor"/>
      </rPr>
      <t>bendingCD</t>
    </r>
  </si>
  <si>
    <t>=</t>
  </si>
  <si>
    <t>shaft diameter</t>
  </si>
  <si>
    <t>----&gt;</t>
  </si>
  <si>
    <t>From FEA</t>
  </si>
  <si>
    <t>Ultimate Factor of safety</t>
  </si>
  <si>
    <t>Round-up diameter</t>
  </si>
  <si>
    <t xml:space="preserve">different problem values </t>
  </si>
  <si>
    <t>Stress from FEA - Forces Only</t>
  </si>
  <si>
    <t>Stress from FEA - Torques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</si>
</sst>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00E+00"/>
    <numFmt numFmtId="166" formatCode="0.000000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2" fontId="0" fillId="2" borderId="0" xfId="0" applyNumberFormat="1" applyFill="1"/>
    <xf numFmtId="2" fontId="0" fillId="5" borderId="0" xfId="0" applyNumberFormat="1" applyFill="1"/>
    <xf numFmtId="0" fontId="0" fillId="0" borderId="0" xfId="0" quotePrefix="1"/>
    <xf numFmtId="1" fontId="0" fillId="0" borderId="0" xfId="0" applyNumberFormat="1"/>
    <xf numFmtId="0" fontId="0" fillId="5" borderId="0" xfId="0" applyFill="1"/>
    <xf numFmtId="0" fontId="0" fillId="2" borderId="0" xfId="0" applyFill="1" applyAlignment="1">
      <alignment horizontal="lef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2" borderId="0" xfId="0" applyNumberFormat="1" applyFill="1"/>
    <xf numFmtId="165" fontId="0" fillId="0" borderId="0" xfId="0" applyNumberFormat="1"/>
    <xf numFmtId="0" fontId="0" fillId="3" borderId="0" xfId="0" applyFill="1"/>
    <xf numFmtId="164" fontId="0" fillId="2" borderId="0" xfId="0" applyNumberFormat="1" applyFill="1"/>
    <xf numFmtId="2" fontId="0" fillId="0" borderId="0" xfId="0" applyNumberFormat="1"/>
    <xf numFmtId="166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11614173228346E-2"/>
          <c:y val="2.1363735783027121E-2"/>
          <c:w val="0.88663385826771657"/>
          <c:h val="0.86723261154855646"/>
        </c:manualLayout>
      </c:layout>
      <c:scatterChart>
        <c:scatterStyle val="lineMarker"/>
        <c:varyColors val="0"/>
        <c:ser>
          <c:idx val="0"/>
          <c:order val="0"/>
          <c:tx>
            <c:strRef>
              <c:f>'Moment Calculations (1)'!$K$1</c:f>
              <c:strCache>
                <c:ptCount val="1"/>
                <c:pt idx="0">
                  <c:v>Net Moment [Nm]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'Moment Calculations (1)'!$H$2:$H$1000</c:f>
              <c:numCache>
                <c:formatCode>0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</c:numCache>
            </c:numRef>
          </c:xVal>
          <c:yVal>
            <c:numRef>
              <c:f>'Moment Calculations (1)'!$K$2:$K$1000</c:f>
              <c:numCache>
                <c:formatCode>0</c:formatCode>
                <c:ptCount val="999"/>
                <c:pt idx="0">
                  <c:v>0</c:v>
                </c:pt>
                <c:pt idx="1">
                  <c:v>0.19530892348674692</c:v>
                </c:pt>
                <c:pt idx="2">
                  <c:v>0.39061784697349383</c:v>
                </c:pt>
                <c:pt idx="3">
                  <c:v>0.58592677046024066</c:v>
                </c:pt>
                <c:pt idx="4">
                  <c:v>0.78123569394698766</c:v>
                </c:pt>
                <c:pt idx="5">
                  <c:v>0.97654461743373455</c:v>
                </c:pt>
                <c:pt idx="6">
                  <c:v>1.1718535409204813</c:v>
                </c:pt>
                <c:pt idx="7">
                  <c:v>1.3671624644072284</c:v>
                </c:pt>
                <c:pt idx="8">
                  <c:v>1.5624713878939753</c:v>
                </c:pt>
                <c:pt idx="9">
                  <c:v>1.757780311380722</c:v>
                </c:pt>
                <c:pt idx="10">
                  <c:v>1.9530892348674691</c:v>
                </c:pt>
                <c:pt idx="11">
                  <c:v>2.1483981583542158</c:v>
                </c:pt>
                <c:pt idx="12">
                  <c:v>2.3437070818409627</c:v>
                </c:pt>
                <c:pt idx="13">
                  <c:v>2.53901600532771</c:v>
                </c:pt>
                <c:pt idx="14">
                  <c:v>2.7343249288144569</c:v>
                </c:pt>
                <c:pt idx="15">
                  <c:v>2.9296338523012033</c:v>
                </c:pt>
                <c:pt idx="16">
                  <c:v>3.1249427757879507</c:v>
                </c:pt>
                <c:pt idx="17">
                  <c:v>3.3202516992746975</c:v>
                </c:pt>
                <c:pt idx="18">
                  <c:v>3.515560622761444</c:v>
                </c:pt>
                <c:pt idx="19">
                  <c:v>3.7108695462481913</c:v>
                </c:pt>
                <c:pt idx="20">
                  <c:v>3.9061784697349382</c:v>
                </c:pt>
                <c:pt idx="21">
                  <c:v>4.1014873932216851</c:v>
                </c:pt>
                <c:pt idx="22">
                  <c:v>4.2967963167084315</c:v>
                </c:pt>
                <c:pt idx="23">
                  <c:v>4.4921052401951789</c:v>
                </c:pt>
                <c:pt idx="24">
                  <c:v>4.6874141636819253</c:v>
                </c:pt>
                <c:pt idx="25">
                  <c:v>4.8827230871686735</c:v>
                </c:pt>
                <c:pt idx="26">
                  <c:v>5.07803201065542</c:v>
                </c:pt>
                <c:pt idx="27">
                  <c:v>5.2733409341421664</c:v>
                </c:pt>
                <c:pt idx="28">
                  <c:v>5.4686498576289138</c:v>
                </c:pt>
                <c:pt idx="29">
                  <c:v>5.6639587811156611</c:v>
                </c:pt>
                <c:pt idx="30">
                  <c:v>5.8592677046024066</c:v>
                </c:pt>
                <c:pt idx="31">
                  <c:v>6.054576628089154</c:v>
                </c:pt>
                <c:pt idx="32">
                  <c:v>6.2498855515759013</c:v>
                </c:pt>
                <c:pt idx="33">
                  <c:v>6.4451944750626486</c:v>
                </c:pt>
                <c:pt idx="34">
                  <c:v>6.6405033985493951</c:v>
                </c:pt>
                <c:pt idx="35">
                  <c:v>6.8358123220361424</c:v>
                </c:pt>
                <c:pt idx="36">
                  <c:v>7.031121245522888</c:v>
                </c:pt>
                <c:pt idx="37">
                  <c:v>7.2264301690096353</c:v>
                </c:pt>
                <c:pt idx="38">
                  <c:v>7.4217390924963826</c:v>
                </c:pt>
                <c:pt idx="39">
                  <c:v>7.6170480159831291</c:v>
                </c:pt>
                <c:pt idx="40">
                  <c:v>7.8123569394698764</c:v>
                </c:pt>
                <c:pt idx="41">
                  <c:v>8.0076658629566246</c:v>
                </c:pt>
                <c:pt idx="42">
                  <c:v>8.2029747864433702</c:v>
                </c:pt>
                <c:pt idx="43">
                  <c:v>8.3982837099301157</c:v>
                </c:pt>
                <c:pt idx="44">
                  <c:v>8.5935926334168631</c:v>
                </c:pt>
                <c:pt idx="45">
                  <c:v>8.7889015569036104</c:v>
                </c:pt>
                <c:pt idx="46">
                  <c:v>8.9842104803903577</c:v>
                </c:pt>
                <c:pt idx="47">
                  <c:v>9.1795194038771051</c:v>
                </c:pt>
                <c:pt idx="48">
                  <c:v>9.3748283273638506</c:v>
                </c:pt>
                <c:pt idx="49">
                  <c:v>9.570137250850598</c:v>
                </c:pt>
                <c:pt idx="50">
                  <c:v>9.7654461743373471</c:v>
                </c:pt>
                <c:pt idx="51">
                  <c:v>9.9607550978240909</c:v>
                </c:pt>
                <c:pt idx="52">
                  <c:v>10.15606402131084</c:v>
                </c:pt>
                <c:pt idx="53">
                  <c:v>10.351372944797586</c:v>
                </c:pt>
                <c:pt idx="54">
                  <c:v>10.546681868284333</c:v>
                </c:pt>
                <c:pt idx="55">
                  <c:v>10.74199079177108</c:v>
                </c:pt>
                <c:pt idx="56">
                  <c:v>10.937299715257828</c:v>
                </c:pt>
                <c:pt idx="57">
                  <c:v>11.132608638744573</c:v>
                </c:pt>
                <c:pt idx="58">
                  <c:v>11.327917562231322</c:v>
                </c:pt>
                <c:pt idx="59">
                  <c:v>11.523226485718068</c:v>
                </c:pt>
                <c:pt idx="60">
                  <c:v>11.718535409204813</c:v>
                </c:pt>
                <c:pt idx="61">
                  <c:v>11.913844332691561</c:v>
                </c:pt>
                <c:pt idx="62">
                  <c:v>12.109153256178308</c:v>
                </c:pt>
                <c:pt idx="63">
                  <c:v>12.304462179665055</c:v>
                </c:pt>
                <c:pt idx="64">
                  <c:v>12.499771103151803</c:v>
                </c:pt>
                <c:pt idx="65">
                  <c:v>12.69508002663855</c:v>
                </c:pt>
                <c:pt idx="66">
                  <c:v>12.890388950125297</c:v>
                </c:pt>
                <c:pt idx="67">
                  <c:v>13.085697873612045</c:v>
                </c:pt>
                <c:pt idx="68">
                  <c:v>13.28100679709879</c:v>
                </c:pt>
                <c:pt idx="69">
                  <c:v>13.476315720585538</c:v>
                </c:pt>
                <c:pt idx="70">
                  <c:v>13.671624644072285</c:v>
                </c:pt>
                <c:pt idx="71">
                  <c:v>13.866933567559029</c:v>
                </c:pt>
                <c:pt idx="72">
                  <c:v>14.062242491045776</c:v>
                </c:pt>
                <c:pt idx="73">
                  <c:v>14.257551414532523</c:v>
                </c:pt>
                <c:pt idx="74">
                  <c:v>14.452860338019271</c:v>
                </c:pt>
                <c:pt idx="75">
                  <c:v>14.648169261506018</c:v>
                </c:pt>
                <c:pt idx="76">
                  <c:v>14.843478184992765</c:v>
                </c:pt>
                <c:pt idx="77">
                  <c:v>15.038787108479513</c:v>
                </c:pt>
                <c:pt idx="78">
                  <c:v>15.234096031966258</c:v>
                </c:pt>
                <c:pt idx="79">
                  <c:v>15.429404955453007</c:v>
                </c:pt>
                <c:pt idx="80">
                  <c:v>15.624713878939753</c:v>
                </c:pt>
                <c:pt idx="81">
                  <c:v>15.820022802426498</c:v>
                </c:pt>
                <c:pt idx="82">
                  <c:v>16.015331725913249</c:v>
                </c:pt>
                <c:pt idx="83">
                  <c:v>16.210640649399991</c:v>
                </c:pt>
                <c:pt idx="84">
                  <c:v>16.40594957288674</c:v>
                </c:pt>
                <c:pt idx="85">
                  <c:v>16.601258496373489</c:v>
                </c:pt>
                <c:pt idx="86">
                  <c:v>16.796567419860231</c:v>
                </c:pt>
                <c:pt idx="87">
                  <c:v>16.991876343346981</c:v>
                </c:pt>
                <c:pt idx="88">
                  <c:v>17.187185266833726</c:v>
                </c:pt>
                <c:pt idx="89">
                  <c:v>17.382494190320475</c:v>
                </c:pt>
                <c:pt idx="90">
                  <c:v>17.577803113807221</c:v>
                </c:pt>
                <c:pt idx="91">
                  <c:v>17.773112037293966</c:v>
                </c:pt>
                <c:pt idx="92">
                  <c:v>17.968420960780715</c:v>
                </c:pt>
                <c:pt idx="93">
                  <c:v>18.163729884267461</c:v>
                </c:pt>
                <c:pt idx="94">
                  <c:v>18.35903880775421</c:v>
                </c:pt>
                <c:pt idx="95">
                  <c:v>18.554347731240956</c:v>
                </c:pt>
                <c:pt idx="96">
                  <c:v>18.749656654727701</c:v>
                </c:pt>
                <c:pt idx="97">
                  <c:v>18.94496557821445</c:v>
                </c:pt>
                <c:pt idx="98">
                  <c:v>19.140274501701196</c:v>
                </c:pt>
                <c:pt idx="99">
                  <c:v>19.335583425187945</c:v>
                </c:pt>
                <c:pt idx="100">
                  <c:v>19.530892348674694</c:v>
                </c:pt>
                <c:pt idx="101">
                  <c:v>19.726201272161436</c:v>
                </c:pt>
                <c:pt idx="102">
                  <c:v>19.921510195648182</c:v>
                </c:pt>
                <c:pt idx="103">
                  <c:v>20.116819119134931</c:v>
                </c:pt>
                <c:pt idx="104">
                  <c:v>20.31212804262168</c:v>
                </c:pt>
                <c:pt idx="105">
                  <c:v>20.507436966108425</c:v>
                </c:pt>
                <c:pt idx="106">
                  <c:v>20.702745889595171</c:v>
                </c:pt>
                <c:pt idx="107">
                  <c:v>20.89805481308192</c:v>
                </c:pt>
                <c:pt idx="108">
                  <c:v>21.093363736568666</c:v>
                </c:pt>
                <c:pt idx="109">
                  <c:v>21.288672660055415</c:v>
                </c:pt>
                <c:pt idx="110">
                  <c:v>21.48398158354216</c:v>
                </c:pt>
                <c:pt idx="111">
                  <c:v>21.679290507028906</c:v>
                </c:pt>
                <c:pt idx="112">
                  <c:v>21.874599430515655</c:v>
                </c:pt>
                <c:pt idx="113">
                  <c:v>22.069908354002401</c:v>
                </c:pt>
                <c:pt idx="114">
                  <c:v>22.265217277489146</c:v>
                </c:pt>
                <c:pt idx="115">
                  <c:v>22.460526200975895</c:v>
                </c:pt>
                <c:pt idx="116">
                  <c:v>22.655835124462644</c:v>
                </c:pt>
                <c:pt idx="117">
                  <c:v>22.85114404794939</c:v>
                </c:pt>
                <c:pt idx="118">
                  <c:v>23.046452971436135</c:v>
                </c:pt>
                <c:pt idx="119">
                  <c:v>23.241761894922881</c:v>
                </c:pt>
                <c:pt idx="120">
                  <c:v>23.437070818409627</c:v>
                </c:pt>
                <c:pt idx="121">
                  <c:v>23.632379741896372</c:v>
                </c:pt>
                <c:pt idx="122">
                  <c:v>23.827688665383121</c:v>
                </c:pt>
                <c:pt idx="123">
                  <c:v>24.02299758886987</c:v>
                </c:pt>
                <c:pt idx="124">
                  <c:v>24.218306512356616</c:v>
                </c:pt>
                <c:pt idx="125">
                  <c:v>24.413615435843361</c:v>
                </c:pt>
                <c:pt idx="126">
                  <c:v>24.608924359330111</c:v>
                </c:pt>
                <c:pt idx="127">
                  <c:v>24.804233282816856</c:v>
                </c:pt>
                <c:pt idx="128">
                  <c:v>24.999542206303605</c:v>
                </c:pt>
                <c:pt idx="129">
                  <c:v>25.194851129790354</c:v>
                </c:pt>
                <c:pt idx="130">
                  <c:v>25.3901600532771</c:v>
                </c:pt>
                <c:pt idx="131">
                  <c:v>25.585468976763845</c:v>
                </c:pt>
                <c:pt idx="132">
                  <c:v>25.780777900250595</c:v>
                </c:pt>
                <c:pt idx="133">
                  <c:v>25.97608682373734</c:v>
                </c:pt>
                <c:pt idx="134">
                  <c:v>26.171395747224089</c:v>
                </c:pt>
                <c:pt idx="135">
                  <c:v>26.366704670710835</c:v>
                </c:pt>
                <c:pt idx="136">
                  <c:v>26.56201359419758</c:v>
                </c:pt>
                <c:pt idx="137">
                  <c:v>26.757322517684329</c:v>
                </c:pt>
                <c:pt idx="138">
                  <c:v>26.952631441171075</c:v>
                </c:pt>
                <c:pt idx="139">
                  <c:v>27.147940364657821</c:v>
                </c:pt>
                <c:pt idx="140">
                  <c:v>27.34324928814457</c:v>
                </c:pt>
                <c:pt idx="141">
                  <c:v>27.538558211631312</c:v>
                </c:pt>
                <c:pt idx="142">
                  <c:v>27.733867135118057</c:v>
                </c:pt>
                <c:pt idx="143">
                  <c:v>27.929176058604806</c:v>
                </c:pt>
                <c:pt idx="144">
                  <c:v>28.124484982091552</c:v>
                </c:pt>
                <c:pt idx="145">
                  <c:v>28.319793905578297</c:v>
                </c:pt>
                <c:pt idx="146">
                  <c:v>28.515102829065047</c:v>
                </c:pt>
                <c:pt idx="147">
                  <c:v>28.710411752551792</c:v>
                </c:pt>
                <c:pt idx="148">
                  <c:v>28.905720676038541</c:v>
                </c:pt>
                <c:pt idx="149">
                  <c:v>29.10102959952529</c:v>
                </c:pt>
                <c:pt idx="150">
                  <c:v>29.296338523012036</c:v>
                </c:pt>
                <c:pt idx="151">
                  <c:v>29.491647446498781</c:v>
                </c:pt>
                <c:pt idx="152">
                  <c:v>29.686956369985531</c:v>
                </c:pt>
                <c:pt idx="153">
                  <c:v>29.882265293472276</c:v>
                </c:pt>
                <c:pt idx="154">
                  <c:v>30.077574216959025</c:v>
                </c:pt>
                <c:pt idx="155">
                  <c:v>30.272883140445771</c:v>
                </c:pt>
                <c:pt idx="156">
                  <c:v>30.468192063932516</c:v>
                </c:pt>
                <c:pt idx="157">
                  <c:v>30.663500987419265</c:v>
                </c:pt>
                <c:pt idx="158">
                  <c:v>30.858809910906015</c:v>
                </c:pt>
                <c:pt idx="159">
                  <c:v>31.054118834392757</c:v>
                </c:pt>
                <c:pt idx="160">
                  <c:v>31.249427757879506</c:v>
                </c:pt>
                <c:pt idx="161">
                  <c:v>31.444736681366251</c:v>
                </c:pt>
                <c:pt idx="162">
                  <c:v>31.640045604852997</c:v>
                </c:pt>
                <c:pt idx="163">
                  <c:v>31.835354528339746</c:v>
                </c:pt>
                <c:pt idx="164">
                  <c:v>32.030663451826499</c:v>
                </c:pt>
                <c:pt idx="165">
                  <c:v>32.225972375313241</c:v>
                </c:pt>
                <c:pt idx="166">
                  <c:v>32.421281298799983</c:v>
                </c:pt>
                <c:pt idx="167">
                  <c:v>32.616590222286739</c:v>
                </c:pt>
                <c:pt idx="168">
                  <c:v>32.811899145773481</c:v>
                </c:pt>
                <c:pt idx="169">
                  <c:v>33.00720806926023</c:v>
                </c:pt>
                <c:pt idx="170">
                  <c:v>33.202516992746979</c:v>
                </c:pt>
                <c:pt idx="171">
                  <c:v>33.397825916233721</c:v>
                </c:pt>
                <c:pt idx="172">
                  <c:v>33.593134839720463</c:v>
                </c:pt>
                <c:pt idx="173">
                  <c:v>33.788443763207212</c:v>
                </c:pt>
                <c:pt idx="174">
                  <c:v>33.983752686693961</c:v>
                </c:pt>
                <c:pt idx="175">
                  <c:v>34.17906161018071</c:v>
                </c:pt>
                <c:pt idx="176">
                  <c:v>34.374370533667452</c:v>
                </c:pt>
                <c:pt idx="177">
                  <c:v>34.569679457154201</c:v>
                </c:pt>
                <c:pt idx="178">
                  <c:v>34.764988380640951</c:v>
                </c:pt>
                <c:pt idx="179">
                  <c:v>34.960297304127693</c:v>
                </c:pt>
                <c:pt idx="180">
                  <c:v>35.155606227614442</c:v>
                </c:pt>
                <c:pt idx="181">
                  <c:v>35.350915151101191</c:v>
                </c:pt>
                <c:pt idx="182">
                  <c:v>35.546224074587933</c:v>
                </c:pt>
                <c:pt idx="183">
                  <c:v>35.741532998074682</c:v>
                </c:pt>
                <c:pt idx="184">
                  <c:v>35.936841921561431</c:v>
                </c:pt>
                <c:pt idx="185">
                  <c:v>36.132150845048173</c:v>
                </c:pt>
                <c:pt idx="186">
                  <c:v>36.327459768534922</c:v>
                </c:pt>
                <c:pt idx="187">
                  <c:v>36.522768692021671</c:v>
                </c:pt>
                <c:pt idx="188">
                  <c:v>36.71807761550842</c:v>
                </c:pt>
                <c:pt idx="189">
                  <c:v>36.913386538995162</c:v>
                </c:pt>
                <c:pt idx="190">
                  <c:v>37.108695462481911</c:v>
                </c:pt>
                <c:pt idx="191">
                  <c:v>37.304004385968661</c:v>
                </c:pt>
                <c:pt idx="192">
                  <c:v>37.499313309455403</c:v>
                </c:pt>
                <c:pt idx="193">
                  <c:v>37.694622232942152</c:v>
                </c:pt>
                <c:pt idx="194">
                  <c:v>37.889931156428901</c:v>
                </c:pt>
                <c:pt idx="195">
                  <c:v>38.08524007991565</c:v>
                </c:pt>
                <c:pt idx="196">
                  <c:v>38.280549003402392</c:v>
                </c:pt>
                <c:pt idx="197">
                  <c:v>38.475857926889148</c:v>
                </c:pt>
                <c:pt idx="198">
                  <c:v>38.67116685037589</c:v>
                </c:pt>
                <c:pt idx="199">
                  <c:v>38.866475773862632</c:v>
                </c:pt>
                <c:pt idx="200">
                  <c:v>39.061784697349388</c:v>
                </c:pt>
                <c:pt idx="201">
                  <c:v>39.25709362083613</c:v>
                </c:pt>
                <c:pt idx="202">
                  <c:v>39.452402544322872</c:v>
                </c:pt>
                <c:pt idx="203">
                  <c:v>39.647711467809629</c:v>
                </c:pt>
                <c:pt idx="204">
                  <c:v>39.843020391296363</c:v>
                </c:pt>
                <c:pt idx="205">
                  <c:v>40.038329314783113</c:v>
                </c:pt>
                <c:pt idx="206">
                  <c:v>40.233638238269862</c:v>
                </c:pt>
                <c:pt idx="207">
                  <c:v>40.428947161756604</c:v>
                </c:pt>
                <c:pt idx="208">
                  <c:v>40.62425608524336</c:v>
                </c:pt>
                <c:pt idx="209">
                  <c:v>40.819565008730102</c:v>
                </c:pt>
                <c:pt idx="210">
                  <c:v>41.014873932216851</c:v>
                </c:pt>
                <c:pt idx="211">
                  <c:v>41.2101828557036</c:v>
                </c:pt>
                <c:pt idx="212">
                  <c:v>41.405491779190342</c:v>
                </c:pt>
                <c:pt idx="213">
                  <c:v>41.600800702677091</c:v>
                </c:pt>
                <c:pt idx="214">
                  <c:v>41.79610962616384</c:v>
                </c:pt>
                <c:pt idx="215">
                  <c:v>41.991418549650582</c:v>
                </c:pt>
                <c:pt idx="216">
                  <c:v>42.186727473137331</c:v>
                </c:pt>
                <c:pt idx="217">
                  <c:v>42.382036396624081</c:v>
                </c:pt>
                <c:pt idx="218">
                  <c:v>42.57734532011083</c:v>
                </c:pt>
                <c:pt idx="219">
                  <c:v>42.772654243597572</c:v>
                </c:pt>
                <c:pt idx="220">
                  <c:v>42.967963167084321</c:v>
                </c:pt>
                <c:pt idx="221">
                  <c:v>43.163272090571063</c:v>
                </c:pt>
                <c:pt idx="222">
                  <c:v>43.358581014057812</c:v>
                </c:pt>
                <c:pt idx="223">
                  <c:v>43.553889937544561</c:v>
                </c:pt>
                <c:pt idx="224">
                  <c:v>43.74919886103131</c:v>
                </c:pt>
                <c:pt idx="225">
                  <c:v>43.944507784518052</c:v>
                </c:pt>
                <c:pt idx="226">
                  <c:v>44.139816708004801</c:v>
                </c:pt>
                <c:pt idx="227">
                  <c:v>44.33512563149155</c:v>
                </c:pt>
                <c:pt idx="228">
                  <c:v>44.530434554978292</c:v>
                </c:pt>
                <c:pt idx="229">
                  <c:v>44.725743478465048</c:v>
                </c:pt>
                <c:pt idx="230">
                  <c:v>44.921052401951791</c:v>
                </c:pt>
                <c:pt idx="231">
                  <c:v>45.11636132543854</c:v>
                </c:pt>
                <c:pt idx="232">
                  <c:v>45.311670248925289</c:v>
                </c:pt>
                <c:pt idx="233">
                  <c:v>45.506979172412031</c:v>
                </c:pt>
                <c:pt idx="234">
                  <c:v>45.70228809589878</c:v>
                </c:pt>
                <c:pt idx="235">
                  <c:v>45.897597019385522</c:v>
                </c:pt>
                <c:pt idx="236">
                  <c:v>46.092905942872271</c:v>
                </c:pt>
                <c:pt idx="237">
                  <c:v>46.28821486635902</c:v>
                </c:pt>
                <c:pt idx="238">
                  <c:v>46.483523789845762</c:v>
                </c:pt>
                <c:pt idx="239">
                  <c:v>46.678832713332504</c:v>
                </c:pt>
                <c:pt idx="240">
                  <c:v>46.874141636819253</c:v>
                </c:pt>
                <c:pt idx="241">
                  <c:v>47.069450560306002</c:v>
                </c:pt>
                <c:pt idx="242">
                  <c:v>47.264759483792744</c:v>
                </c:pt>
                <c:pt idx="243">
                  <c:v>47.4600684072795</c:v>
                </c:pt>
                <c:pt idx="244">
                  <c:v>47.655377330766242</c:v>
                </c:pt>
                <c:pt idx="245">
                  <c:v>47.850686254252992</c:v>
                </c:pt>
                <c:pt idx="246">
                  <c:v>48.045995177739741</c:v>
                </c:pt>
                <c:pt idx="247">
                  <c:v>48.24130410122649</c:v>
                </c:pt>
                <c:pt idx="248">
                  <c:v>48.436613024713232</c:v>
                </c:pt>
                <c:pt idx="249">
                  <c:v>48.631921948199981</c:v>
                </c:pt>
                <c:pt idx="250">
                  <c:v>48.827230871686723</c:v>
                </c:pt>
                <c:pt idx="251">
                  <c:v>49.022539795173472</c:v>
                </c:pt>
                <c:pt idx="252">
                  <c:v>49.217848718660221</c:v>
                </c:pt>
                <c:pt idx="253">
                  <c:v>49.41315764214697</c:v>
                </c:pt>
                <c:pt idx="254">
                  <c:v>49.608466565633712</c:v>
                </c:pt>
                <c:pt idx="255">
                  <c:v>49.803775489120461</c:v>
                </c:pt>
                <c:pt idx="256">
                  <c:v>49.99908441260721</c:v>
                </c:pt>
                <c:pt idx="257">
                  <c:v>50.194393336093952</c:v>
                </c:pt>
                <c:pt idx="258">
                  <c:v>50.389702259580709</c:v>
                </c:pt>
                <c:pt idx="259">
                  <c:v>50.585011183067451</c:v>
                </c:pt>
                <c:pt idx="260">
                  <c:v>50.7803201065542</c:v>
                </c:pt>
                <c:pt idx="261">
                  <c:v>50.975629030040949</c:v>
                </c:pt>
                <c:pt idx="262">
                  <c:v>51.170937953527691</c:v>
                </c:pt>
                <c:pt idx="263">
                  <c:v>51.366246877014433</c:v>
                </c:pt>
                <c:pt idx="264">
                  <c:v>51.561555800501189</c:v>
                </c:pt>
                <c:pt idx="265">
                  <c:v>51.756864723987931</c:v>
                </c:pt>
                <c:pt idx="266">
                  <c:v>51.95217364747468</c:v>
                </c:pt>
                <c:pt idx="267">
                  <c:v>52.147482570961429</c:v>
                </c:pt>
                <c:pt idx="268">
                  <c:v>52.342791494448178</c:v>
                </c:pt>
                <c:pt idx="269">
                  <c:v>52.53810041793492</c:v>
                </c:pt>
                <c:pt idx="270">
                  <c:v>52.73340934142167</c:v>
                </c:pt>
                <c:pt idx="271">
                  <c:v>52.928718264908412</c:v>
                </c:pt>
                <c:pt idx="272">
                  <c:v>53.124027188395161</c:v>
                </c:pt>
                <c:pt idx="273">
                  <c:v>53.31933611188191</c:v>
                </c:pt>
                <c:pt idx="274">
                  <c:v>53.514645035368659</c:v>
                </c:pt>
                <c:pt idx="275">
                  <c:v>53.709953958855401</c:v>
                </c:pt>
                <c:pt idx="276">
                  <c:v>53.90526288234215</c:v>
                </c:pt>
                <c:pt idx="277">
                  <c:v>54.100571805828899</c:v>
                </c:pt>
                <c:pt idx="278">
                  <c:v>54.295880729315641</c:v>
                </c:pt>
                <c:pt idx="279">
                  <c:v>54.491189652802397</c:v>
                </c:pt>
                <c:pt idx="280">
                  <c:v>54.686498576289139</c:v>
                </c:pt>
                <c:pt idx="281">
                  <c:v>54.881807499775881</c:v>
                </c:pt>
                <c:pt idx="282">
                  <c:v>55.077116423262623</c:v>
                </c:pt>
                <c:pt idx="283">
                  <c:v>55.272425346749372</c:v>
                </c:pt>
                <c:pt idx="284">
                  <c:v>55.467734270236114</c:v>
                </c:pt>
                <c:pt idx="285">
                  <c:v>55.663043193722856</c:v>
                </c:pt>
                <c:pt idx="286">
                  <c:v>55.858352117209613</c:v>
                </c:pt>
                <c:pt idx="287">
                  <c:v>56.053661040696362</c:v>
                </c:pt>
                <c:pt idx="288">
                  <c:v>56.248969964183104</c:v>
                </c:pt>
                <c:pt idx="289">
                  <c:v>56.444278887669853</c:v>
                </c:pt>
                <c:pt idx="290">
                  <c:v>56.639587811156595</c:v>
                </c:pt>
                <c:pt idx="291">
                  <c:v>56.834896734643344</c:v>
                </c:pt>
                <c:pt idx="292">
                  <c:v>57.030205658130093</c:v>
                </c:pt>
                <c:pt idx="293">
                  <c:v>57.225514581616842</c:v>
                </c:pt>
                <c:pt idx="294">
                  <c:v>57.420823505103584</c:v>
                </c:pt>
                <c:pt idx="295">
                  <c:v>57.61613242859034</c:v>
                </c:pt>
                <c:pt idx="296">
                  <c:v>57.811441352077082</c:v>
                </c:pt>
                <c:pt idx="297">
                  <c:v>58.006750275563832</c:v>
                </c:pt>
                <c:pt idx="298">
                  <c:v>58.202059199050581</c:v>
                </c:pt>
                <c:pt idx="299">
                  <c:v>58.397368122537323</c:v>
                </c:pt>
                <c:pt idx="300">
                  <c:v>58.592677046024072</c:v>
                </c:pt>
                <c:pt idx="301">
                  <c:v>58.438399693781037</c:v>
                </c:pt>
                <c:pt idx="302">
                  <c:v>58.284214075622529</c:v>
                </c:pt>
                <c:pt idx="303">
                  <c:v>58.130120921501117</c:v>
                </c:pt>
                <c:pt idx="304">
                  <c:v>57.976120968689749</c:v>
                </c:pt>
                <c:pt idx="305">
                  <c:v>57.822214961867466</c:v>
                </c:pt>
                <c:pt idx="306">
                  <c:v>57.668403653206241</c:v>
                </c:pt>
                <c:pt idx="307">
                  <c:v>57.514687802458852</c:v>
                </c:pt>
                <c:pt idx="308">
                  <c:v>57.361068177047976</c:v>
                </c:pt>
                <c:pt idx="309">
                  <c:v>57.207545552156326</c:v>
                </c:pt>
                <c:pt idx="310">
                  <c:v>57.054120710818019</c:v>
                </c:pt>
                <c:pt idx="311">
                  <c:v>56.900794444011105</c:v>
                </c:pt>
                <c:pt idx="312">
                  <c:v>56.747567550751214</c:v>
                </c:pt>
                <c:pt idx="313">
                  <c:v>56.594440838186564</c:v>
                </c:pt>
                <c:pt idx="314">
                  <c:v>56.441415121693964</c:v>
                </c:pt>
                <c:pt idx="315">
                  <c:v>56.288491224976234</c:v>
                </c:pt>
                <c:pt idx="316">
                  <c:v>56.135669980160813</c:v>
                </c:pt>
                <c:pt idx="317">
                  <c:v>55.982952227899567</c:v>
                </c:pt>
                <c:pt idx="318">
                  <c:v>55.830338817470036</c:v>
                </c:pt>
                <c:pt idx="319">
                  <c:v>55.677830606877784</c:v>
                </c:pt>
                <c:pt idx="320">
                  <c:v>55.525428462960178</c:v>
                </c:pt>
                <c:pt idx="321">
                  <c:v>55.373133261491517</c:v>
                </c:pt>
                <c:pt idx="322">
                  <c:v>55.220945887289432</c:v>
                </c:pt>
                <c:pt idx="323">
                  <c:v>55.068867234322639</c:v>
                </c:pt>
                <c:pt idx="324">
                  <c:v>54.916898205820203</c:v>
                </c:pt>
                <c:pt idx="325">
                  <c:v>54.765039714382027</c:v>
                </c:pt>
                <c:pt idx="326">
                  <c:v>54.613292682090872</c:v>
                </c:pt>
                <c:pt idx="327">
                  <c:v>54.461658040625785</c:v>
                </c:pt>
                <c:pt idx="328">
                  <c:v>54.310136731376907</c:v>
                </c:pt>
                <c:pt idx="329">
                  <c:v>54.158729705561868</c:v>
                </c:pt>
                <c:pt idx="330">
                  <c:v>54.007437924343535</c:v>
                </c:pt>
                <c:pt idx="331">
                  <c:v>53.856262358949422</c:v>
                </c:pt>
                <c:pt idx="332">
                  <c:v>53.705203990792363</c:v>
                </c:pt>
                <c:pt idx="333">
                  <c:v>53.55426381159306</c:v>
                </c:pt>
                <c:pt idx="334">
                  <c:v>53.403442823503909</c:v>
                </c:pt>
                <c:pt idx="335">
                  <c:v>53.252742039234491</c:v>
                </c:pt>
                <c:pt idx="336">
                  <c:v>53.102162482178748</c:v>
                </c:pt>
                <c:pt idx="337">
                  <c:v>52.951705186543627</c:v>
                </c:pt>
                <c:pt idx="338">
                  <c:v>52.801371197479398</c:v>
                </c:pt>
                <c:pt idx="339">
                  <c:v>52.651161571211702</c:v>
                </c:pt>
                <c:pt idx="340">
                  <c:v>52.501077375175193</c:v>
                </c:pt>
                <c:pt idx="341">
                  <c:v>52.35111968814882</c:v>
                </c:pt>
                <c:pt idx="342">
                  <c:v>52.201289600392926</c:v>
                </c:pt>
                <c:pt idx="343">
                  <c:v>52.051588213788037</c:v>
                </c:pt>
                <c:pt idx="344">
                  <c:v>51.902016641975301</c:v>
                </c:pt>
                <c:pt idx="345">
                  <c:v>51.752576010498871</c:v>
                </c:pt>
                <c:pt idx="346">
                  <c:v>51.603267456949887</c:v>
                </c:pt>
                <c:pt idx="347">
                  <c:v>51.454092131112382</c:v>
                </c:pt>
                <c:pt idx="348">
                  <c:v>51.305051195110963</c:v>
                </c:pt>
                <c:pt idx="349">
                  <c:v>51.156145823560351</c:v>
                </c:pt>
                <c:pt idx="350">
                  <c:v>51.00737720371675</c:v>
                </c:pt>
                <c:pt idx="351">
                  <c:v>50.858746535631134</c:v>
                </c:pt>
                <c:pt idx="352">
                  <c:v>50.710255032304453</c:v>
                </c:pt>
                <c:pt idx="353">
                  <c:v>50.561903919844696</c:v>
                </c:pt>
                <c:pt idx="354">
                  <c:v>50.413694437625871</c:v>
                </c:pt>
                <c:pt idx="355">
                  <c:v>50.26562783844912</c:v>
                </c:pt>
                <c:pt idx="356">
                  <c:v>50.117705388705602</c:v>
                </c:pt>
                <c:pt idx="357">
                  <c:v>49.969928368541495</c:v>
                </c:pt>
                <c:pt idx="358">
                  <c:v>49.822298072024978</c:v>
                </c:pt>
                <c:pt idx="359">
                  <c:v>49.674815807315262</c:v>
                </c:pt>
                <c:pt idx="360">
                  <c:v>49.527482896833639</c:v>
                </c:pt>
                <c:pt idx="361">
                  <c:v>49.380300677436729</c:v>
                </c:pt>
                <c:pt idx="362">
                  <c:v>49.233270500591644</c:v>
                </c:pt>
                <c:pt idx="363">
                  <c:v>49.08639373255334</c:v>
                </c:pt>
                <c:pt idx="364">
                  <c:v>48.939671754544243</c:v>
                </c:pt>
                <c:pt idx="365">
                  <c:v>48.793105962935755</c:v>
                </c:pt>
                <c:pt idx="366">
                  <c:v>48.646697769432166</c:v>
                </c:pt>
                <c:pt idx="367">
                  <c:v>48.500448601256608</c:v>
                </c:pt>
                <c:pt idx="368">
                  <c:v>48.354359901339294</c:v>
                </c:pt>
                <c:pt idx="369">
                  <c:v>48.208433128507941</c:v>
                </c:pt>
                <c:pt idx="370">
                  <c:v>48.062669757680474</c:v>
                </c:pt>
                <c:pt idx="371">
                  <c:v>47.917071280059922</c:v>
                </c:pt>
                <c:pt idx="372">
                  <c:v>47.771639203331624</c:v>
                </c:pt>
                <c:pt idx="373">
                  <c:v>47.626375051862759</c:v>
                </c:pt>
                <c:pt idx="374">
                  <c:v>47.481280366904166</c:v>
                </c:pt>
                <c:pt idx="375">
                  <c:v>47.336356706794419</c:v>
                </c:pt>
                <c:pt idx="376">
                  <c:v>47.191605647166313</c:v>
                </c:pt>
                <c:pt idx="377">
                  <c:v>47.047028781155753</c:v>
                </c:pt>
                <c:pt idx="378">
                  <c:v>46.902627719612809</c:v>
                </c:pt>
                <c:pt idx="379">
                  <c:v>46.758404091315455</c:v>
                </c:pt>
                <c:pt idx="380">
                  <c:v>46.614359543185373</c:v>
                </c:pt>
                <c:pt idx="381">
                  <c:v>46.470495740506422</c:v>
                </c:pt>
                <c:pt idx="382">
                  <c:v>46.326814367145431</c:v>
                </c:pt>
                <c:pt idx="383">
                  <c:v>46.183317125775375</c:v>
                </c:pt>
                <c:pt idx="384">
                  <c:v>46.040005738101087</c:v>
                </c:pt>
                <c:pt idx="385">
                  <c:v>45.896881945087316</c:v>
                </c:pt>
                <c:pt idx="386">
                  <c:v>45.75394750718938</c:v>
                </c:pt>
                <c:pt idx="387">
                  <c:v>45.611204204586159</c:v>
                </c:pt>
                <c:pt idx="388">
                  <c:v>45.468653837415658</c:v>
                </c:pt>
                <c:pt idx="389">
                  <c:v>45.326298226012966</c:v>
                </c:pt>
                <c:pt idx="390">
                  <c:v>45.184139211150821</c:v>
                </c:pt>
                <c:pt idx="391">
                  <c:v>45.042178654282537</c:v>
                </c:pt>
                <c:pt idx="392">
                  <c:v>44.900418437787557</c:v>
                </c:pt>
                <c:pt idx="393">
                  <c:v>44.758860465219364</c:v>
                </c:pt>
                <c:pt idx="394">
                  <c:v>44.617506661556078</c:v>
                </c:pt>
                <c:pt idx="395">
                  <c:v>44.476358973453323</c:v>
                </c:pt>
                <c:pt idx="396">
                  <c:v>44.335419369499824</c:v>
                </c:pt>
                <c:pt idx="397">
                  <c:v>44.194689840475377</c:v>
                </c:pt>
                <c:pt idx="398">
                  <c:v>44.054172399611268</c:v>
                </c:pt>
                <c:pt idx="399">
                  <c:v>43.91386908285336</c:v>
                </c:pt>
                <c:pt idx="400">
                  <c:v>43.773781949127446</c:v>
                </c:pt>
                <c:pt idx="401">
                  <c:v>43.633913080607201</c:v>
                </c:pt>
                <c:pt idx="402">
                  <c:v>43.494264582984627</c:v>
                </c:pt>
                <c:pt idx="403">
                  <c:v>43.354838585742833</c:v>
                </c:pt>
                <c:pt idx="404">
                  <c:v>43.215637242431328</c:v>
                </c:pt>
                <c:pt idx="405">
                  <c:v>43.076662730943752</c:v>
                </c:pt>
                <c:pt idx="406">
                  <c:v>42.937917253797927</c:v>
                </c:pt>
                <c:pt idx="407">
                  <c:v>42.799403038418355</c:v>
                </c:pt>
                <c:pt idx="408">
                  <c:v>42.661122337421098</c:v>
                </c:pt>
                <c:pt idx="409">
                  <c:v>42.523077428900912</c:v>
                </c:pt>
                <c:pt idx="410">
                  <c:v>42.385270616720767</c:v>
                </c:pt>
                <c:pt idx="411">
                  <c:v>42.247704230803606</c:v>
                </c:pt>
                <c:pt idx="412">
                  <c:v>42.110380627426387</c:v>
                </c:pt>
                <c:pt idx="413">
                  <c:v>41.973302189516275</c:v>
                </c:pt>
                <c:pt idx="414">
                  <c:v>41.836471326949095</c:v>
                </c:pt>
                <c:pt idx="415">
                  <c:v>41.699890476849873</c:v>
                </c:pt>
                <c:pt idx="416">
                  <c:v>41.563562103895443</c:v>
                </c:pt>
                <c:pt idx="417">
                  <c:v>41.427488700619186</c:v>
                </c:pt>
                <c:pt idx="418">
                  <c:v>41.291672787717673</c:v>
                </c:pt>
                <c:pt idx="419">
                  <c:v>41.156116914359352</c:v>
                </c:pt>
                <c:pt idx="420">
                  <c:v>41.02082365849504</c:v>
                </c:pt>
                <c:pt idx="421">
                  <c:v>40.885795627170268</c:v>
                </c:pt>
                <c:pt idx="422">
                  <c:v>40.751035456839389</c:v>
                </c:pt>
                <c:pt idx="423">
                  <c:v>40.616545813681469</c:v>
                </c:pt>
                <c:pt idx="424">
                  <c:v>40.482329393917631</c:v>
                </c:pt>
                <c:pt idx="425">
                  <c:v>40.348388924130141</c:v>
                </c:pt>
                <c:pt idx="426">
                  <c:v>40.2147271615828</c:v>
                </c:pt>
                <c:pt idx="427">
                  <c:v>40.081346894542882</c:v>
                </c:pt>
                <c:pt idx="428">
                  <c:v>39.948250942604204</c:v>
                </c:pt>
                <c:pt idx="429">
                  <c:v>39.815442157011496</c:v>
                </c:pt>
                <c:pt idx="430">
                  <c:v>39.682923420985993</c:v>
                </c:pt>
                <c:pt idx="431">
                  <c:v>39.550697650051717</c:v>
                </c:pt>
                <c:pt idx="432">
                  <c:v>39.418767792362971</c:v>
                </c:pt>
                <c:pt idx="433">
                  <c:v>39.287136829032441</c:v>
                </c:pt>
                <c:pt idx="434">
                  <c:v>39.155807774459959</c:v>
                </c:pt>
                <c:pt idx="435">
                  <c:v>39.024783676661933</c:v>
                </c:pt>
                <c:pt idx="436">
                  <c:v>38.894067617600975</c:v>
                </c:pt>
                <c:pt idx="437">
                  <c:v>38.763662713516027</c:v>
                </c:pt>
                <c:pt idx="438">
                  <c:v>38.633572115252385</c:v>
                </c:pt>
                <c:pt idx="439">
                  <c:v>38.503799008591841</c:v>
                </c:pt>
                <c:pt idx="440">
                  <c:v>38.37434661458262</c:v>
                </c:pt>
                <c:pt idx="441">
                  <c:v>38.245218189868865</c:v>
                </c:pt>
                <c:pt idx="442">
                  <c:v>38.116417027019764</c:v>
                </c:pt>
                <c:pt idx="443">
                  <c:v>37.987946454857834</c:v>
                </c:pt>
                <c:pt idx="444">
                  <c:v>37.859809838786397</c:v>
                </c:pt>
                <c:pt idx="445">
                  <c:v>37.732010581115958</c:v>
                </c:pt>
                <c:pt idx="446">
                  <c:v>37.604552121389318</c:v>
                </c:pt>
                <c:pt idx="447">
                  <c:v>37.477437936705087</c:v>
                </c:pt>
                <c:pt idx="448">
                  <c:v>37.350671542039706</c:v>
                </c:pt>
                <c:pt idx="449">
                  <c:v>37.224256490567363</c:v>
                </c:pt>
                <c:pt idx="450">
                  <c:v>37.098196373977757</c:v>
                </c:pt>
                <c:pt idx="451">
                  <c:v>36.972494822791489</c:v>
                </c:pt>
                <c:pt idx="452">
                  <c:v>36.847155506672827</c:v>
                </c:pt>
                <c:pt idx="453">
                  <c:v>36.722182134739406</c:v>
                </c:pt>
                <c:pt idx="454">
                  <c:v>36.597578455868849</c:v>
                </c:pt>
                <c:pt idx="455">
                  <c:v>36.47334825900186</c:v>
                </c:pt>
                <c:pt idx="456">
                  <c:v>36.349495373441599</c:v>
                </c:pt>
                <c:pt idx="457">
                  <c:v>36.226023669148766</c:v>
                </c:pt>
                <c:pt idx="458">
                  <c:v>36.102937057032655</c:v>
                </c:pt>
                <c:pt idx="459">
                  <c:v>35.98023948923705</c:v>
                </c:pt>
                <c:pt idx="460">
                  <c:v>35.857934959421492</c:v>
                </c:pt>
                <c:pt idx="461">
                  <c:v>35.736027503036894</c:v>
                </c:pt>
                <c:pt idx="462">
                  <c:v>35.614521197595437</c:v>
                </c:pt>
                <c:pt idx="463">
                  <c:v>35.493420162934399</c:v>
                </c:pt>
                <c:pt idx="464">
                  <c:v>35.372728561473458</c:v>
                </c:pt>
                <c:pt idx="465">
                  <c:v>35.252450598465053</c:v>
                </c:pt>
                <c:pt idx="466">
                  <c:v>35.132590522237564</c:v>
                </c:pt>
                <c:pt idx="467">
                  <c:v>35.013152624430603</c:v>
                </c:pt>
                <c:pt idx="468">
                  <c:v>34.894141240222332</c:v>
                </c:pt>
                <c:pt idx="469">
                  <c:v>34.775560748548067</c:v>
                </c:pt>
                <c:pt idx="470">
                  <c:v>34.657415572309866</c:v>
                </c:pt>
                <c:pt idx="471">
                  <c:v>34.539710178576676</c:v>
                </c:pt>
                <c:pt idx="472">
                  <c:v>34.422449078774427</c:v>
                </c:pt>
                <c:pt idx="473">
                  <c:v>34.30563682886563</c:v>
                </c:pt>
                <c:pt idx="474">
                  <c:v>34.189278029518015</c:v>
                </c:pt>
                <c:pt idx="475">
                  <c:v>34.073377326261664</c:v>
                </c:pt>
                <c:pt idx="476">
                  <c:v>33.957939409634079</c:v>
                </c:pt>
                <c:pt idx="477">
                  <c:v>33.842969015312683</c:v>
                </c:pt>
                <c:pt idx="478">
                  <c:v>33.728470924234138</c:v>
                </c:pt>
                <c:pt idx="479">
                  <c:v>33.614449962699958</c:v>
                </c:pt>
                <c:pt idx="480">
                  <c:v>33.500911002467802</c:v>
                </c:pt>
                <c:pt idx="481">
                  <c:v>33.387858960827877</c:v>
                </c:pt>
                <c:pt idx="482">
                  <c:v>33.275298800663826</c:v>
                </c:pt>
                <c:pt idx="483">
                  <c:v>33.163235530497367</c:v>
                </c:pt>
                <c:pt idx="484">
                  <c:v>33.051674204516225</c:v>
                </c:pt>
                <c:pt idx="485">
                  <c:v>32.940619922584695</c:v>
                </c:pt>
                <c:pt idx="486">
                  <c:v>32.830077830235801</c:v>
                </c:pt>
                <c:pt idx="487">
                  <c:v>32.720053118645062</c:v>
                </c:pt>
                <c:pt idx="488">
                  <c:v>32.610551024584474</c:v>
                </c:pt>
                <c:pt idx="489">
                  <c:v>32.50157683035637</c:v>
                </c:pt>
                <c:pt idx="490">
                  <c:v>32.393135863706476</c:v>
                </c:pt>
                <c:pt idx="491">
                  <c:v>32.285233497715247</c:v>
                </c:pt>
                <c:pt idx="492">
                  <c:v>32.177875150666786</c:v>
                </c:pt>
                <c:pt idx="493">
                  <c:v>32.071066285894858</c:v>
                </c:pt>
                <c:pt idx="494">
                  <c:v>31.964812411604772</c:v>
                </c:pt>
                <c:pt idx="495">
                  <c:v>31.859119080670776</c:v>
                </c:pt>
                <c:pt idx="496">
                  <c:v>31.753991890408003</c:v>
                </c:pt>
                <c:pt idx="497">
                  <c:v>31.64943648231818</c:v>
                </c:pt>
                <c:pt idx="498">
                  <c:v>31.545458541808291</c:v>
                </c:pt>
                <c:pt idx="499">
                  <c:v>31.442063797881584</c:v>
                </c:pt>
                <c:pt idx="500">
                  <c:v>31.339258022799843</c:v>
                </c:pt>
                <c:pt idx="501">
                  <c:v>31.237047031716216</c:v>
                </c:pt>
                <c:pt idx="502">
                  <c:v>31.135436682277888</c:v>
                </c:pt>
                <c:pt idx="503">
                  <c:v>31.03443287419762</c:v>
                </c:pt>
                <c:pt idx="504">
                  <c:v>30.934041548793441</c:v>
                </c:pt>
                <c:pt idx="505">
                  <c:v>30.834268688495555</c:v>
                </c:pt>
                <c:pt idx="506">
                  <c:v>30.735120316319797</c:v>
                </c:pt>
                <c:pt idx="507">
                  <c:v>30.636602495306629</c:v>
                </c:pt>
                <c:pt idx="508">
                  <c:v>30.538721327924989</c:v>
                </c:pt>
                <c:pt idx="509">
                  <c:v>30.441482955440112</c:v>
                </c:pt>
                <c:pt idx="510">
                  <c:v>30.344893557244522</c:v>
                </c:pt>
                <c:pt idx="511">
                  <c:v>30.24895935015131</c:v>
                </c:pt>
                <c:pt idx="512">
                  <c:v>30.153686587649123</c:v>
                </c:pt>
                <c:pt idx="513">
                  <c:v>30.059081559117743</c:v>
                </c:pt>
                <c:pt idx="514">
                  <c:v>29.965150589003766</c:v>
                </c:pt>
                <c:pt idx="515">
                  <c:v>29.871900035955381</c:v>
                </c:pt>
                <c:pt idx="516">
                  <c:v>29.779336291915712</c:v>
                </c:pt>
                <c:pt idx="517">
                  <c:v>29.687465781173749</c:v>
                </c:pt>
                <c:pt idx="518">
                  <c:v>29.596294959372432</c:v>
                </c:pt>
                <c:pt idx="519">
                  <c:v>29.505830312472895</c:v>
                </c:pt>
                <c:pt idx="520">
                  <c:v>29.416078355674344</c:v>
                </c:pt>
                <c:pt idx="521">
                  <c:v>29.327045632288954</c:v>
                </c:pt>
                <c:pt idx="522">
                  <c:v>29.238738712571088</c:v>
                </c:pt>
                <c:pt idx="523">
                  <c:v>29.151164192500193</c:v>
                </c:pt>
                <c:pt idx="524">
                  <c:v>29.064328692516973</c:v>
                </c:pt>
                <c:pt idx="525">
                  <c:v>28.978238856212144</c:v>
                </c:pt>
                <c:pt idx="526">
                  <c:v>28.892901348967349</c:v>
                </c:pt>
                <c:pt idx="527">
                  <c:v>28.808322856547779</c:v>
                </c:pt>
                <c:pt idx="528">
                  <c:v>28.724510083646091</c:v>
                </c:pt>
                <c:pt idx="529">
                  <c:v>28.641469752377159</c:v>
                </c:pt>
                <c:pt idx="530">
                  <c:v>28.559208600723583</c:v>
                </c:pt>
                <c:pt idx="531">
                  <c:v>28.477733380931308</c:v>
                </c:pt>
                <c:pt idx="532">
                  <c:v>28.397050857855529</c:v>
                </c:pt>
                <c:pt idx="533">
                  <c:v>28.317167807256347</c:v>
                </c:pt>
                <c:pt idx="534">
                  <c:v>28.238091014044414</c:v>
                </c:pt>
                <c:pt idx="535">
                  <c:v>28.159827270476178</c:v>
                </c:pt>
                <c:pt idx="536">
                  <c:v>28.082383374299077</c:v>
                </c:pt>
                <c:pt idx="537">
                  <c:v>28.005766126846503</c:v>
                </c:pt>
                <c:pt idx="538">
                  <c:v>27.929982331082751</c:v>
                </c:pt>
                <c:pt idx="539">
                  <c:v>27.855038789598272</c:v>
                </c:pt>
                <c:pt idx="540">
                  <c:v>27.780942302555413</c:v>
                </c:pt>
                <c:pt idx="541">
                  <c:v>27.707699665584986</c:v>
                </c:pt>
                <c:pt idx="542">
                  <c:v>27.635317667634329</c:v>
                </c:pt>
                <c:pt idx="543">
                  <c:v>27.563803088767049</c:v>
                </c:pt>
                <c:pt idx="544">
                  <c:v>27.493162697915338</c:v>
                </c:pt>
                <c:pt idx="545">
                  <c:v>27.423403250585455</c:v>
                </c:pt>
                <c:pt idx="546">
                  <c:v>27.354531486517132</c:v>
                </c:pt>
                <c:pt idx="547">
                  <c:v>27.286554127297762</c:v>
                </c:pt>
                <c:pt idx="548">
                  <c:v>27.219477873932526</c:v>
                </c:pt>
                <c:pt idx="549">
                  <c:v>27.153309404371171</c:v>
                </c:pt>
                <c:pt idx="550">
                  <c:v>27.088055370992933</c:v>
                </c:pt>
                <c:pt idx="551">
                  <c:v>27.023722398050655</c:v>
                </c:pt>
                <c:pt idx="552">
                  <c:v>26.960317079075473</c:v>
                </c:pt>
                <c:pt idx="553">
                  <c:v>26.897845974243559</c:v>
                </c:pt>
                <c:pt idx="554">
                  <c:v>26.836315607706464</c:v>
                </c:pt>
                <c:pt idx="555">
                  <c:v>26.775732464886683</c:v>
                </c:pt>
                <c:pt idx="556">
                  <c:v>26.716102989740147</c:v>
                </c:pt>
                <c:pt idx="557">
                  <c:v>26.657433581987512</c:v>
                </c:pt>
                <c:pt idx="558">
                  <c:v>26.599730594316323</c:v>
                </c:pt>
                <c:pt idx="559">
                  <c:v>26.543000329555749</c:v>
                </c:pt>
                <c:pt idx="560">
                  <c:v>26.487249037826562</c:v>
                </c:pt>
                <c:pt idx="561">
                  <c:v>26.432482913667975</c:v>
                </c:pt>
                <c:pt idx="562">
                  <c:v>26.378708093144226</c:v>
                </c:pt>
                <c:pt idx="563">
                  <c:v>26.325930650933014</c:v>
                </c:pt>
                <c:pt idx="564">
                  <c:v>26.274156597398392</c:v>
                </c:pt>
                <c:pt idx="565">
                  <c:v>26.223391875650854</c:v>
                </c:pt>
                <c:pt idx="566">
                  <c:v>26.173642358597061</c:v>
                </c:pt>
                <c:pt idx="567">
                  <c:v>26.124913845982334</c:v>
                </c:pt>
                <c:pt idx="568">
                  <c:v>26.077212061428472</c:v>
                </c:pt>
                <c:pt idx="569">
                  <c:v>26.03054264947006</c:v>
                </c:pt>
                <c:pt idx="570">
                  <c:v>25.984911172592195</c:v>
                </c:pt>
                <c:pt idx="571">
                  <c:v>25.940323108272811</c:v>
                </c:pt>
                <c:pt idx="572">
                  <c:v>25.896783846032609</c:v>
                </c:pt>
                <c:pt idx="573">
                  <c:v>25.854298684496097</c:v>
                </c:pt>
                <c:pt idx="574">
                  <c:v>25.812872828466713</c:v>
                </c:pt>
                <c:pt idx="575">
                  <c:v>25.772511386019644</c:v>
                </c:pt>
                <c:pt idx="576">
                  <c:v>25.733219365615469</c:v>
                </c:pt>
                <c:pt idx="577">
                  <c:v>25.695001673238334</c:v>
                </c:pt>
                <c:pt idx="578">
                  <c:v>25.657863109561792</c:v>
                </c:pt>
                <c:pt idx="579">
                  <c:v>25.621808367146148</c:v>
                </c:pt>
                <c:pt idx="580">
                  <c:v>25.586842027670535</c:v>
                </c:pt>
                <c:pt idx="581">
                  <c:v>25.552968559203297</c:v>
                </c:pt>
                <c:pt idx="582">
                  <c:v>25.520192313514311</c:v>
                </c:pt>
                <c:pt idx="583">
                  <c:v>25.488517523432712</c:v>
                </c:pt>
                <c:pt idx="584">
                  <c:v>25.457948300253399</c:v>
                </c:pt>
                <c:pt idx="585">
                  <c:v>25.428488631196146</c:v>
                </c:pt>
                <c:pt idx="586">
                  <c:v>25.400142376920382</c:v>
                </c:pt>
                <c:pt idx="587">
                  <c:v>25.372913269099378</c:v>
                </c:pt>
                <c:pt idx="588">
                  <c:v>25.346804908057148</c:v>
                </c:pt>
                <c:pt idx="589">
                  <c:v>25.321820760471375</c:v>
                </c:pt>
                <c:pt idx="590">
                  <c:v>25.297964157145646</c:v>
                </c:pt>
                <c:pt idx="591">
                  <c:v>25.275238290854361</c:v>
                </c:pt>
                <c:pt idx="592">
                  <c:v>25.253646214263252</c:v>
                </c:pt>
                <c:pt idx="593">
                  <c:v>25.233190837928799</c:v>
                </c:pt>
                <c:pt idx="594">
                  <c:v>25.213874928379262</c:v>
                </c:pt>
                <c:pt idx="595">
                  <c:v>25.195701106280588</c:v>
                </c:pt>
                <c:pt idx="596">
                  <c:v>25.178671844689585</c:v>
                </c:pt>
                <c:pt idx="597">
                  <c:v>25.162789467397211</c:v>
                </c:pt>
                <c:pt idx="598">
                  <c:v>25.148056147364692</c:v>
                </c:pt>
                <c:pt idx="599">
                  <c:v>25.134473905254424</c:v>
                </c:pt>
                <c:pt idx="600">
                  <c:v>25.122044608058502</c:v>
                </c:pt>
                <c:pt idx="601">
                  <c:v>25.110769967826688</c:v>
                </c:pt>
                <c:pt idx="602">
                  <c:v>25.100651540495694</c:v>
                </c:pt>
                <c:pt idx="603">
                  <c:v>25.091690724822222</c:v>
                </c:pt>
                <c:pt idx="604">
                  <c:v>25.083888761420706</c:v>
                </c:pt>
                <c:pt idx="605">
                  <c:v>25.077246731907866</c:v>
                </c:pt>
                <c:pt idx="606">
                  <c:v>25.071765558155228</c:v>
                </c:pt>
                <c:pt idx="607">
                  <c:v>25.067446001650655</c:v>
                </c:pt>
                <c:pt idx="608">
                  <c:v>25.064288662970295</c:v>
                </c:pt>
                <c:pt idx="609">
                  <c:v>25.06229398136152</c:v>
                </c:pt>
                <c:pt idx="610">
                  <c:v>25.061462234437467</c:v>
                </c:pt>
                <c:pt idx="611">
                  <c:v>25.061793537984077</c:v>
                </c:pt>
                <c:pt idx="612">
                  <c:v>25.063287845879326</c:v>
                </c:pt>
                <c:pt idx="613">
                  <c:v>25.065944950125516</c:v>
                </c:pt>
                <c:pt idx="614">
                  <c:v>25.069764480993857</c:v>
                </c:pt>
                <c:pt idx="615">
                  <c:v>25.074745907281635</c:v>
                </c:pt>
                <c:pt idx="616">
                  <c:v>25.0808885366813</c:v>
                </c:pt>
                <c:pt idx="617">
                  <c:v>25.088191516260871</c:v>
                </c:pt>
                <c:pt idx="618">
                  <c:v>25.09665383305498</c:v>
                </c:pt>
                <c:pt idx="619">
                  <c:v>25.10627431476567</c:v>
                </c:pt>
                <c:pt idx="620">
                  <c:v>25.117051630571371</c:v>
                </c:pt>
                <c:pt idx="621">
                  <c:v>25.128984292043562</c:v>
                </c:pt>
                <c:pt idx="622">
                  <c:v>25.142070654168766</c:v>
                </c:pt>
                <c:pt idx="623">
                  <c:v>25.156308916474881</c:v>
                </c:pt>
                <c:pt idx="624">
                  <c:v>25.171697124259861</c:v>
                </c:pt>
                <c:pt idx="625">
                  <c:v>25.188233169920604</c:v>
                </c:pt>
                <c:pt idx="626">
                  <c:v>25.205914794380359</c:v>
                </c:pt>
                <c:pt idx="627">
                  <c:v>25.224739588612096</c:v>
                </c:pt>
                <c:pt idx="628">
                  <c:v>25.244704995255617</c:v>
                </c:pt>
                <c:pt idx="629">
                  <c:v>25.265808310325873</c:v>
                </c:pt>
                <c:pt idx="630">
                  <c:v>25.288046685009856</c:v>
                </c:pt>
                <c:pt idx="631">
                  <c:v>25.311417127549397</c:v>
                </c:pt>
                <c:pt idx="632">
                  <c:v>25.335916505207063</c:v>
                </c:pt>
                <c:pt idx="633">
                  <c:v>25.361541546311877</c:v>
                </c:pt>
                <c:pt idx="634">
                  <c:v>25.388288842382451</c:v>
                </c:pt>
                <c:pt idx="635">
                  <c:v>25.416154850323785</c:v>
                </c:pt>
                <c:pt idx="636">
                  <c:v>25.445135894694886</c:v>
                </c:pt>
                <c:pt idx="637">
                  <c:v>25.475228170043984</c:v>
                </c:pt>
                <c:pt idx="638">
                  <c:v>25.506427743307608</c:v>
                </c:pt>
                <c:pt idx="639">
                  <c:v>25.53873055627081</c:v>
                </c:pt>
                <c:pt idx="640">
                  <c:v>25.572132428084402</c:v>
                </c:pt>
                <c:pt idx="641">
                  <c:v>25.606629057836347</c:v>
                </c:pt>
                <c:pt idx="642">
                  <c:v>25.64221602717345</c:v>
                </c:pt>
                <c:pt idx="643">
                  <c:v>25.678888802969851</c:v>
                </c:pt>
                <c:pt idx="644">
                  <c:v>25.716642740039156</c:v>
                </c:pt>
                <c:pt idx="645">
                  <c:v>25.755473083886148</c:v>
                </c:pt>
                <c:pt idx="646">
                  <c:v>25.795374973495097</c:v>
                </c:pt>
                <c:pt idx="647">
                  <c:v>25.8363434441507</c:v>
                </c:pt>
                <c:pt idx="648">
                  <c:v>25.878373430288438</c:v>
                </c:pt>
                <c:pt idx="649">
                  <c:v>25.921459768370784</c:v>
                </c:pt>
                <c:pt idx="650">
                  <c:v>25.96559719978595</c:v>
                </c:pt>
                <c:pt idx="651">
                  <c:v>26.010780373765307</c:v>
                </c:pt>
                <c:pt idx="652">
                  <c:v>26.057003850317024</c:v>
                </c:pt>
                <c:pt idx="653">
                  <c:v>26.1042621031715</c:v>
                </c:pt>
                <c:pt idx="654">
                  <c:v>26.152549522736255</c:v>
                </c:pt>
                <c:pt idx="655">
                  <c:v>26.201860419056668</c:v>
                </c:pt>
                <c:pt idx="656">
                  <c:v>26.252189024779273</c:v>
                </c:pt>
                <c:pt idx="657">
                  <c:v>26.303529498115143</c:v>
                </c:pt>
                <c:pt idx="658">
                  <c:v>26.355875925799591</c:v>
                </c:pt>
                <c:pt idx="659">
                  <c:v>26.409222326046056</c:v>
                </c:pt>
                <c:pt idx="660">
                  <c:v>26.463562651490729</c:v>
                </c:pt>
                <c:pt idx="661">
                  <c:v>26.518890792125486</c:v>
                </c:pt>
                <c:pt idx="662">
                  <c:v>26.575200578216521</c:v>
                </c:pt>
                <c:pt idx="663">
                  <c:v>26.632485783205791</c:v>
                </c:pt>
                <c:pt idx="664">
                  <c:v>26.690740126593258</c:v>
                </c:pt>
                <c:pt idx="665">
                  <c:v>26.749957276797112</c:v>
                </c:pt>
                <c:pt idx="666">
                  <c:v>26.810130853989957</c:v>
                </c:pt>
                <c:pt idx="667">
                  <c:v>26.871254432908692</c:v>
                </c:pt>
                <c:pt idx="668">
                  <c:v>26.933321545636083</c:v>
                </c:pt>
                <c:pt idx="669">
                  <c:v>26.996325684351767</c:v>
                </c:pt>
                <c:pt idx="670">
                  <c:v>27.06026030405134</c:v>
                </c:pt>
                <c:pt idx="671">
                  <c:v>27.12511882523097</c:v>
                </c:pt>
                <c:pt idx="672">
                  <c:v>27.190894636536687</c:v>
                </c:pt>
                <c:pt idx="673">
                  <c:v>27.257581097376185</c:v>
                </c:pt>
                <c:pt idx="674">
                  <c:v>27.32517154049167</c:v>
                </c:pt>
                <c:pt idx="675">
                  <c:v>27.393659274492915</c:v>
                </c:pt>
                <c:pt idx="676">
                  <c:v>27.463037586348388</c:v>
                </c:pt>
                <c:pt idx="677">
                  <c:v>27.5332997438341</c:v>
                </c:pt>
                <c:pt idx="678">
                  <c:v>27.604438997938431</c:v>
                </c:pt>
                <c:pt idx="679">
                  <c:v>27.676448585222261</c:v>
                </c:pt>
                <c:pt idx="680">
                  <c:v>27.749321730133438</c:v>
                </c:pt>
                <c:pt idx="681">
                  <c:v>27.82305164727477</c:v>
                </c:pt>
                <c:pt idx="682">
                  <c:v>27.897631543624613</c:v>
                </c:pt>
                <c:pt idx="683">
                  <c:v>27.97305462070987</c:v>
                </c:pt>
                <c:pt idx="684">
                  <c:v>28.049314076730205</c:v>
                </c:pt>
                <c:pt idx="685">
                  <c:v>28.126403108633518</c:v>
                </c:pt>
                <c:pt idx="686">
                  <c:v>28.204314914142177</c:v>
                </c:pt>
                <c:pt idx="687">
                  <c:v>28.283042693729271</c:v>
                </c:pt>
                <c:pt idx="688">
                  <c:v>28.362579652545381</c:v>
                </c:pt>
                <c:pt idx="689">
                  <c:v>28.442919002294897</c:v>
                </c:pt>
                <c:pt idx="690">
                  <c:v>28.524053963062343</c:v>
                </c:pt>
                <c:pt idx="691">
                  <c:v>28.605977765088458</c:v>
                </c:pt>
                <c:pt idx="692">
                  <c:v>28.688683650495985</c:v>
                </c:pt>
                <c:pt idx="693">
                  <c:v>28.772164874965426</c:v>
                </c:pt>
                <c:pt idx="694">
                  <c:v>28.856414709360742</c:v>
                </c:pt>
                <c:pt idx="695">
                  <c:v>28.941426441305307</c:v>
                </c:pt>
                <c:pt idx="696">
                  <c:v>29.027193376708293</c:v>
                </c:pt>
                <c:pt idx="697">
                  <c:v>29.11370884124193</c:v>
                </c:pt>
                <c:pt idx="698">
                  <c:v>29.200966181769676</c:v>
                </c:pt>
                <c:pt idx="699">
                  <c:v>29.288958767726161</c:v>
                </c:pt>
                <c:pt idx="700">
                  <c:v>29.377679992448826</c:v>
                </c:pt>
                <c:pt idx="701">
                  <c:v>29.181828792499157</c:v>
                </c:pt>
                <c:pt idx="702">
                  <c:v>28.985977592549503</c:v>
                </c:pt>
                <c:pt idx="703">
                  <c:v>28.790126392599841</c:v>
                </c:pt>
                <c:pt idx="704">
                  <c:v>28.594275192650183</c:v>
                </c:pt>
                <c:pt idx="705">
                  <c:v>28.398423992700526</c:v>
                </c:pt>
                <c:pt idx="706">
                  <c:v>28.202572792750868</c:v>
                </c:pt>
                <c:pt idx="707">
                  <c:v>28.006721592801206</c:v>
                </c:pt>
                <c:pt idx="708">
                  <c:v>27.810870392851555</c:v>
                </c:pt>
                <c:pt idx="709">
                  <c:v>27.61501919290189</c:v>
                </c:pt>
                <c:pt idx="710">
                  <c:v>27.419167992952222</c:v>
                </c:pt>
                <c:pt idx="711">
                  <c:v>27.223316793002571</c:v>
                </c:pt>
                <c:pt idx="712">
                  <c:v>27.027465593052909</c:v>
                </c:pt>
                <c:pt idx="713">
                  <c:v>26.831614393103258</c:v>
                </c:pt>
                <c:pt idx="714">
                  <c:v>26.63576319315359</c:v>
                </c:pt>
                <c:pt idx="715">
                  <c:v>26.439911993203939</c:v>
                </c:pt>
                <c:pt idx="716">
                  <c:v>26.244060793254263</c:v>
                </c:pt>
                <c:pt idx="717">
                  <c:v>26.048209593304627</c:v>
                </c:pt>
                <c:pt idx="718">
                  <c:v>25.852358393354962</c:v>
                </c:pt>
                <c:pt idx="719">
                  <c:v>25.656507193405307</c:v>
                </c:pt>
                <c:pt idx="720">
                  <c:v>25.460655993455642</c:v>
                </c:pt>
                <c:pt idx="721">
                  <c:v>25.264804793505981</c:v>
                </c:pt>
                <c:pt idx="722">
                  <c:v>25.068953593556323</c:v>
                </c:pt>
                <c:pt idx="723">
                  <c:v>24.873102393606665</c:v>
                </c:pt>
                <c:pt idx="724">
                  <c:v>24.677251193657003</c:v>
                </c:pt>
                <c:pt idx="725">
                  <c:v>24.481399993707345</c:v>
                </c:pt>
                <c:pt idx="726">
                  <c:v>24.285548793757695</c:v>
                </c:pt>
                <c:pt idx="727">
                  <c:v>24.089697593808026</c:v>
                </c:pt>
                <c:pt idx="728">
                  <c:v>23.893846393858375</c:v>
                </c:pt>
                <c:pt idx="729">
                  <c:v>23.697995193908703</c:v>
                </c:pt>
                <c:pt idx="730">
                  <c:v>23.502143993959049</c:v>
                </c:pt>
                <c:pt idx="731">
                  <c:v>23.306292794009398</c:v>
                </c:pt>
                <c:pt idx="732">
                  <c:v>23.110441594059733</c:v>
                </c:pt>
                <c:pt idx="733">
                  <c:v>22.914590394110078</c:v>
                </c:pt>
                <c:pt idx="734">
                  <c:v>22.718739194160399</c:v>
                </c:pt>
                <c:pt idx="735">
                  <c:v>22.522887994210766</c:v>
                </c:pt>
                <c:pt idx="736">
                  <c:v>22.327036794261097</c:v>
                </c:pt>
                <c:pt idx="737">
                  <c:v>22.131185594311443</c:v>
                </c:pt>
                <c:pt idx="738">
                  <c:v>21.935334394361782</c:v>
                </c:pt>
                <c:pt idx="739">
                  <c:v>21.739483194412127</c:v>
                </c:pt>
                <c:pt idx="740">
                  <c:v>21.543631994462462</c:v>
                </c:pt>
                <c:pt idx="741">
                  <c:v>21.347780794512804</c:v>
                </c:pt>
                <c:pt idx="742">
                  <c:v>21.15192959456315</c:v>
                </c:pt>
                <c:pt idx="743">
                  <c:v>20.956078394613481</c:v>
                </c:pt>
                <c:pt idx="744">
                  <c:v>20.76022719466383</c:v>
                </c:pt>
                <c:pt idx="745">
                  <c:v>20.564375994714165</c:v>
                </c:pt>
                <c:pt idx="746">
                  <c:v>20.368524794764511</c:v>
                </c:pt>
                <c:pt idx="747">
                  <c:v>20.172673594814846</c:v>
                </c:pt>
                <c:pt idx="748">
                  <c:v>19.976822394865199</c:v>
                </c:pt>
                <c:pt idx="749">
                  <c:v>19.780971194915534</c:v>
                </c:pt>
                <c:pt idx="750">
                  <c:v>19.585119994965876</c:v>
                </c:pt>
                <c:pt idx="751">
                  <c:v>19.389268795016214</c:v>
                </c:pt>
                <c:pt idx="752">
                  <c:v>19.193417595066538</c:v>
                </c:pt>
                <c:pt idx="753">
                  <c:v>18.997566395116898</c:v>
                </c:pt>
                <c:pt idx="754">
                  <c:v>18.801715195167237</c:v>
                </c:pt>
                <c:pt idx="755">
                  <c:v>18.605863995217579</c:v>
                </c:pt>
                <c:pt idx="756">
                  <c:v>18.410012795267917</c:v>
                </c:pt>
                <c:pt idx="757">
                  <c:v>18.214161595318267</c:v>
                </c:pt>
                <c:pt idx="758">
                  <c:v>18.018310395368601</c:v>
                </c:pt>
                <c:pt idx="759">
                  <c:v>17.822459195418947</c:v>
                </c:pt>
                <c:pt idx="760">
                  <c:v>17.626607995469282</c:v>
                </c:pt>
                <c:pt idx="761">
                  <c:v>17.430756795519624</c:v>
                </c:pt>
                <c:pt idx="762">
                  <c:v>17.23490559556997</c:v>
                </c:pt>
                <c:pt idx="763">
                  <c:v>17.039054395620301</c:v>
                </c:pt>
                <c:pt idx="764">
                  <c:v>16.84320319567065</c:v>
                </c:pt>
                <c:pt idx="765">
                  <c:v>16.647351995720975</c:v>
                </c:pt>
                <c:pt idx="766">
                  <c:v>16.451500795771338</c:v>
                </c:pt>
                <c:pt idx="767">
                  <c:v>16.255649595821673</c:v>
                </c:pt>
                <c:pt idx="768">
                  <c:v>16.059798395872015</c:v>
                </c:pt>
                <c:pt idx="769">
                  <c:v>15.863947195922353</c:v>
                </c:pt>
                <c:pt idx="770">
                  <c:v>15.668095995972704</c:v>
                </c:pt>
                <c:pt idx="771">
                  <c:v>15.472244796023034</c:v>
                </c:pt>
                <c:pt idx="772">
                  <c:v>15.276393596073376</c:v>
                </c:pt>
                <c:pt idx="773">
                  <c:v>15.08054239612372</c:v>
                </c:pt>
                <c:pt idx="774">
                  <c:v>14.884691196174057</c:v>
                </c:pt>
                <c:pt idx="775">
                  <c:v>14.688839996224406</c:v>
                </c:pt>
                <c:pt idx="776">
                  <c:v>14.492988796274732</c:v>
                </c:pt>
                <c:pt idx="777">
                  <c:v>14.297137596325088</c:v>
                </c:pt>
                <c:pt idx="778">
                  <c:v>14.101286396375416</c:v>
                </c:pt>
                <c:pt idx="779">
                  <c:v>13.905435196425772</c:v>
                </c:pt>
                <c:pt idx="780">
                  <c:v>13.709583996476111</c:v>
                </c:pt>
                <c:pt idx="781">
                  <c:v>13.513732796526435</c:v>
                </c:pt>
                <c:pt idx="782">
                  <c:v>13.317881596576791</c:v>
                </c:pt>
                <c:pt idx="783">
                  <c:v>13.122030396627114</c:v>
                </c:pt>
                <c:pt idx="784">
                  <c:v>12.92617919667747</c:v>
                </c:pt>
                <c:pt idx="785">
                  <c:v>12.730327996727807</c:v>
                </c:pt>
                <c:pt idx="786">
                  <c:v>12.534476796778144</c:v>
                </c:pt>
                <c:pt idx="787">
                  <c:v>12.338625596828502</c:v>
                </c:pt>
                <c:pt idx="788">
                  <c:v>12.142774396878846</c:v>
                </c:pt>
                <c:pt idx="789">
                  <c:v>11.946923196929179</c:v>
                </c:pt>
                <c:pt idx="790">
                  <c:v>11.75107199697953</c:v>
                </c:pt>
                <c:pt idx="791">
                  <c:v>11.555220797029854</c:v>
                </c:pt>
                <c:pt idx="792">
                  <c:v>11.359369597080192</c:v>
                </c:pt>
                <c:pt idx="793">
                  <c:v>11.163518397130542</c:v>
                </c:pt>
                <c:pt idx="794">
                  <c:v>10.967667197180877</c:v>
                </c:pt>
                <c:pt idx="795">
                  <c:v>10.77181599723122</c:v>
                </c:pt>
                <c:pt idx="796">
                  <c:v>10.575964797281552</c:v>
                </c:pt>
                <c:pt idx="797">
                  <c:v>10.380113597331901</c:v>
                </c:pt>
                <c:pt idx="798">
                  <c:v>10.184262397382238</c:v>
                </c:pt>
                <c:pt idx="799">
                  <c:v>9.9884111974325993</c:v>
                </c:pt>
                <c:pt idx="800">
                  <c:v>9.7925599974829236</c:v>
                </c:pt>
                <c:pt idx="801">
                  <c:v>9.5967087975332799</c:v>
                </c:pt>
                <c:pt idx="802">
                  <c:v>9.4008575975835988</c:v>
                </c:pt>
                <c:pt idx="803">
                  <c:v>9.2050063976339551</c:v>
                </c:pt>
                <c:pt idx="804">
                  <c:v>9.009155197684283</c:v>
                </c:pt>
                <c:pt idx="805">
                  <c:v>8.8133039977346321</c:v>
                </c:pt>
                <c:pt idx="806">
                  <c:v>8.6174527977849706</c:v>
                </c:pt>
                <c:pt idx="807">
                  <c:v>8.4216015978353074</c:v>
                </c:pt>
                <c:pt idx="808">
                  <c:v>8.2257503978856477</c:v>
                </c:pt>
                <c:pt idx="809">
                  <c:v>8.0298991979360004</c:v>
                </c:pt>
                <c:pt idx="810">
                  <c:v>7.83404799798633</c:v>
                </c:pt>
                <c:pt idx="811">
                  <c:v>7.6381967980366863</c:v>
                </c:pt>
                <c:pt idx="812">
                  <c:v>7.4423455980870061</c:v>
                </c:pt>
                <c:pt idx="813">
                  <c:v>7.2464943981373766</c:v>
                </c:pt>
                <c:pt idx="814">
                  <c:v>7.0506431981877311</c:v>
                </c:pt>
                <c:pt idx="815">
                  <c:v>6.8547919982380519</c:v>
                </c:pt>
                <c:pt idx="816">
                  <c:v>6.6589407982884126</c:v>
                </c:pt>
                <c:pt idx="817">
                  <c:v>6.4630895983387449</c:v>
                </c:pt>
                <c:pt idx="818">
                  <c:v>6.2672383983890967</c:v>
                </c:pt>
                <c:pt idx="819">
                  <c:v>6.0713871984394201</c:v>
                </c:pt>
                <c:pt idx="820">
                  <c:v>5.875535998489779</c:v>
                </c:pt>
                <c:pt idx="821">
                  <c:v>5.6796847985401016</c:v>
                </c:pt>
                <c:pt idx="822">
                  <c:v>5.4838335985904596</c:v>
                </c:pt>
                <c:pt idx="823">
                  <c:v>5.287982398640783</c:v>
                </c:pt>
                <c:pt idx="824">
                  <c:v>5.0921311986911419</c:v>
                </c:pt>
                <c:pt idx="825">
                  <c:v>4.8962799987414645</c:v>
                </c:pt>
                <c:pt idx="826">
                  <c:v>4.7004287987918287</c:v>
                </c:pt>
                <c:pt idx="827">
                  <c:v>4.5045775988421513</c:v>
                </c:pt>
                <c:pt idx="828">
                  <c:v>4.308726398892504</c:v>
                </c:pt>
                <c:pt idx="829">
                  <c:v>4.1128751989428274</c:v>
                </c:pt>
                <c:pt idx="830">
                  <c:v>3.917023998993185</c:v>
                </c:pt>
                <c:pt idx="831">
                  <c:v>3.7211727990435142</c:v>
                </c:pt>
                <c:pt idx="832">
                  <c:v>3.5253215990938718</c:v>
                </c:pt>
                <c:pt idx="833">
                  <c:v>3.3294703991442027</c:v>
                </c:pt>
                <c:pt idx="834">
                  <c:v>3.1336191991945475</c:v>
                </c:pt>
                <c:pt idx="835">
                  <c:v>2.9377679992448833</c:v>
                </c:pt>
                <c:pt idx="836">
                  <c:v>2.7419167992952342</c:v>
                </c:pt>
                <c:pt idx="837">
                  <c:v>2.5460655993455652</c:v>
                </c:pt>
                <c:pt idx="838">
                  <c:v>2.3502143993959104</c:v>
                </c:pt>
                <c:pt idx="839">
                  <c:v>2.1543631994462462</c:v>
                </c:pt>
                <c:pt idx="840">
                  <c:v>1.9585119994965907</c:v>
                </c:pt>
                <c:pt idx="841">
                  <c:v>1.762660799546909</c:v>
                </c:pt>
                <c:pt idx="842">
                  <c:v>1.5668095995972919</c:v>
                </c:pt>
                <c:pt idx="843">
                  <c:v>1.3709583996476151</c:v>
                </c:pt>
                <c:pt idx="844">
                  <c:v>1.1751071996979661</c:v>
                </c:pt>
                <c:pt idx="845">
                  <c:v>0.97925599974829092</c:v>
                </c:pt>
                <c:pt idx="846">
                  <c:v>0.7834047997986483</c:v>
                </c:pt>
                <c:pt idx="847">
                  <c:v>0.58755359984897149</c:v>
                </c:pt>
                <c:pt idx="848">
                  <c:v>0.39170239989932887</c:v>
                </c:pt>
                <c:pt idx="849">
                  <c:v>0.195851199949652</c:v>
                </c:pt>
                <c:pt idx="850">
                  <c:v>3.5527136788005009E-15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06-4D74-9A03-5E3595442D45}"/>
            </c:ext>
          </c:extLst>
        </c:ser>
        <c:ser>
          <c:idx val="1"/>
          <c:order val="1"/>
          <c:tx>
            <c:strRef>
              <c:f>'Moment Calculations (1)'!$C$37</c:f>
              <c:strCache>
                <c:ptCount val="1"/>
                <c:pt idx="0">
                  <c:v>AB shoulder location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('Moment Calculations (1)'!$D$37,'Moment Calculations (1)'!$N$25)</c:f>
              <c:numCache>
                <c:formatCode>General</c:formatCode>
                <c:ptCount val="2"/>
                <c:pt idx="0">
                  <c:v>310</c:v>
                </c:pt>
                <c:pt idx="1">
                  <c:v>310</c:v>
                </c:pt>
              </c:numCache>
            </c:numRef>
          </c:xVal>
          <c:yVal>
            <c:numRef>
              <c:f>('Moment Calculations (1)'!$D$38,'Moment Calculations (1)'!$O$25)</c:f>
              <c:numCache>
                <c:formatCode>0</c:formatCode>
                <c:ptCount val="2"/>
                <c:pt idx="0" formatCode="0.00">
                  <c:v>57.054120710818019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06-4D74-9A03-5E3595442D45}"/>
            </c:ext>
          </c:extLst>
        </c:ser>
        <c:ser>
          <c:idx val="2"/>
          <c:order val="2"/>
          <c:tx>
            <c:strRef>
              <c:f>'Moment Calculations (1)'!$C$40</c:f>
              <c:strCache>
                <c:ptCount val="1"/>
                <c:pt idx="0">
                  <c:v>CD shoulder location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('Moment Calculations (1)'!$D$40,'Moment Calculations (1)'!$N$26)</c:f>
              <c:numCache>
                <c:formatCode>General</c:formatCode>
                <c:ptCount val="2"/>
                <c:pt idx="0">
                  <c:v>690</c:v>
                </c:pt>
                <c:pt idx="1">
                  <c:v>690</c:v>
                </c:pt>
              </c:numCache>
            </c:numRef>
          </c:xVal>
          <c:yVal>
            <c:numRef>
              <c:f>('Moment Calculations (1)'!$D$41,'Moment Calculations (1)'!$O$26)</c:f>
              <c:numCache>
                <c:formatCode>0</c:formatCode>
                <c:ptCount val="2"/>
                <c:pt idx="0" formatCode="0.00">
                  <c:v>28.524053963062343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06-4D74-9A03-5E3595442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849231"/>
        <c:axId val="943931647"/>
      </c:scatterChart>
      <c:valAx>
        <c:axId val="533849231"/>
        <c:scaling>
          <c:orientation val="minMax"/>
          <c:max val="85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Position, </a:t>
                </a:r>
                <a:r>
                  <a:rPr lang="en-US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r>
                  <a:rPr lang="en-US" i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[mm]</a:t>
                </a:r>
                <a:endParaRPr 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3931647"/>
        <c:crosses val="autoZero"/>
        <c:crossBetween val="midCat"/>
      </c:valAx>
      <c:valAx>
        <c:axId val="943931647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Net Moment,</a:t>
                </a:r>
                <a:r>
                  <a:rPr lang="en-US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i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</a:t>
                </a:r>
                <a:r>
                  <a:rPr lang="en-US" i="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 [Nm]</a:t>
                </a:r>
                <a:endParaRPr 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33849231"/>
        <c:crossesAt val="-50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11614173228346E-2"/>
          <c:y val="2.1363735783027121E-2"/>
          <c:w val="0.88663385826771657"/>
          <c:h val="0.73815438496467189"/>
        </c:manualLayout>
      </c:layout>
      <c:scatterChart>
        <c:scatterStyle val="lineMarker"/>
        <c:varyColors val="0"/>
        <c:ser>
          <c:idx val="0"/>
          <c:order val="0"/>
          <c:tx>
            <c:strRef>
              <c:f>'Moment Calculations (1)'!$M$3</c:f>
              <c:strCache>
                <c:ptCount val="1"/>
                <c:pt idx="0">
                  <c:v>left side</c:v>
                </c:pt>
              </c:strCache>
            </c:strRef>
          </c:tx>
          <c:spPr>
            <a:ln w="2540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'Moment Calculations (1)'!$N$3:$N$7</c:f>
              <c:numCache>
                <c:formatCode>General</c:formatCode>
                <c:ptCount val="5"/>
                <c:pt idx="0">
                  <c:v>0</c:v>
                </c:pt>
                <c:pt idx="1">
                  <c:v>310</c:v>
                </c:pt>
                <c:pt idx="2">
                  <c:v>310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'Moment Calculations (1)'!$O$3:$O$7</c:f>
              <c:numCache>
                <c:formatCode>General</c:formatCode>
                <c:ptCount val="5"/>
                <c:pt idx="0">
                  <c:v>-15</c:v>
                </c:pt>
                <c:pt idx="1">
                  <c:v>-15</c:v>
                </c:pt>
                <c:pt idx="2">
                  <c:v>15</c:v>
                </c:pt>
                <c:pt idx="3">
                  <c:v>15</c:v>
                </c:pt>
                <c:pt idx="4">
                  <c:v>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7-4267-89E7-F7F9DC437AFE}"/>
            </c:ext>
          </c:extLst>
        </c:ser>
        <c:ser>
          <c:idx val="1"/>
          <c:order val="1"/>
          <c:tx>
            <c:strRef>
              <c:f>'Moment Calculations (1)'!$M$9</c:f>
              <c:strCache>
                <c:ptCount val="1"/>
                <c:pt idx="0">
                  <c:v>middle</c:v>
                </c:pt>
              </c:strCache>
            </c:strRef>
          </c:tx>
          <c:spPr>
            <a:ln w="2540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'Moment Calculations (1)'!$N$9:$N$13</c:f>
              <c:numCache>
                <c:formatCode>General</c:formatCode>
                <c:ptCount val="5"/>
                <c:pt idx="0">
                  <c:v>310</c:v>
                </c:pt>
                <c:pt idx="1">
                  <c:v>690</c:v>
                </c:pt>
                <c:pt idx="2">
                  <c:v>690</c:v>
                </c:pt>
                <c:pt idx="3">
                  <c:v>310</c:v>
                </c:pt>
                <c:pt idx="4">
                  <c:v>310</c:v>
                </c:pt>
              </c:numCache>
            </c:numRef>
          </c:xVal>
          <c:yVal>
            <c:numRef>
              <c:f>'Moment Calculations (1)'!$O$9:$O$13</c:f>
              <c:numCache>
                <c:formatCode>General</c:formatCode>
                <c:ptCount val="5"/>
                <c:pt idx="0">
                  <c:v>-22.5</c:v>
                </c:pt>
                <c:pt idx="1">
                  <c:v>-22.5</c:v>
                </c:pt>
                <c:pt idx="2">
                  <c:v>22.5</c:v>
                </c:pt>
                <c:pt idx="3">
                  <c:v>22.5</c:v>
                </c:pt>
                <c:pt idx="4">
                  <c:v>-22.5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77-4267-89E7-F7F9DC437AFE}"/>
            </c:ext>
          </c:extLst>
        </c:ser>
        <c:ser>
          <c:idx val="2"/>
          <c:order val="2"/>
          <c:tx>
            <c:strRef>
              <c:f>'Moment Calculations (1)'!$M$15</c:f>
              <c:strCache>
                <c:ptCount val="1"/>
                <c:pt idx="0">
                  <c:v>right side</c:v>
                </c:pt>
              </c:strCache>
            </c:strRef>
          </c:tx>
          <c:spPr>
            <a:ln w="2540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'Moment Calculations (1)'!$N$15:$N$19</c:f>
              <c:numCache>
                <c:formatCode>General</c:formatCode>
                <c:ptCount val="5"/>
                <c:pt idx="0">
                  <c:v>690</c:v>
                </c:pt>
                <c:pt idx="1">
                  <c:v>850</c:v>
                </c:pt>
                <c:pt idx="2">
                  <c:v>850</c:v>
                </c:pt>
                <c:pt idx="3">
                  <c:v>690</c:v>
                </c:pt>
                <c:pt idx="4">
                  <c:v>690</c:v>
                </c:pt>
              </c:numCache>
            </c:numRef>
          </c:xVal>
          <c:yVal>
            <c:numRef>
              <c:f>'Moment Calculations (1)'!$O$15:$O$19</c:f>
              <c:numCache>
                <c:formatCode>General</c:formatCode>
                <c:ptCount val="5"/>
                <c:pt idx="0">
                  <c:v>-15</c:v>
                </c:pt>
                <c:pt idx="1">
                  <c:v>-15</c:v>
                </c:pt>
                <c:pt idx="2">
                  <c:v>15</c:v>
                </c:pt>
                <c:pt idx="3">
                  <c:v>15</c:v>
                </c:pt>
                <c:pt idx="4">
                  <c:v>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77-4267-89E7-F7F9DC437AFE}"/>
            </c:ext>
          </c:extLst>
        </c:ser>
        <c:ser>
          <c:idx val="3"/>
          <c:order val="3"/>
          <c:tx>
            <c:strRef>
              <c:f>'Moment Calculations (1)'!$M$21</c:f>
              <c:strCache>
                <c:ptCount val="1"/>
                <c:pt idx="0">
                  <c:v>centerline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'Moment Calculations (1)'!$N$21:$N$22</c:f>
              <c:numCache>
                <c:formatCode>General</c:formatCode>
                <c:ptCount val="2"/>
                <c:pt idx="0">
                  <c:v>0</c:v>
                </c:pt>
                <c:pt idx="1">
                  <c:v>850</c:v>
                </c:pt>
              </c:numCache>
            </c:numRef>
          </c:xVal>
          <c:yVal>
            <c:numRef>
              <c:f>'Moment Calculations (1)'!$O$21:$O$22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577-4267-89E7-F7F9DC437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849231"/>
        <c:axId val="943931647"/>
      </c:scatterChart>
      <c:valAx>
        <c:axId val="533849231"/>
        <c:scaling>
          <c:orientation val="minMax"/>
          <c:max val="85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Position, </a:t>
                </a:r>
                <a:r>
                  <a:rPr lang="en-US" sz="10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r>
                  <a:rPr lang="en-US"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3931647"/>
        <c:crossesAt val="-1000"/>
        <c:crossBetween val="midCat"/>
      </c:valAx>
      <c:valAx>
        <c:axId val="943931647"/>
        <c:scaling>
          <c:orientation val="minMax"/>
          <c:max val="45"/>
          <c:min val="-4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Diameter,</a:t>
                </a:r>
                <a:r>
                  <a:rPr lang="en-US" baseline="0"/>
                  <a:t> </a:t>
                </a:r>
                <a:r>
                  <a:rPr lang="en-US" i="1" baseline="0"/>
                  <a:t>d</a:t>
                </a:r>
                <a:r>
                  <a:rPr lang="en-US" i="0" baseline="0"/>
                  <a:t> [mm]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33849231"/>
        <c:crossesAt val="-50"/>
        <c:crossBetween val="midCat"/>
        <c:majorUnit val="1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66261</xdr:colOff>
      <xdr:row>42</xdr:row>
      <xdr:rowOff>0</xdr:rowOff>
    </xdr:from>
    <xdr:to>
      <xdr:col>6</xdr:col>
      <xdr:colOff>465426</xdr:colOff>
      <xdr:row>59</xdr:row>
      <xdr:rowOff>53340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2663D37-A324-47EF-89FF-72A35018DB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66261</xdr:colOff>
      <xdr:row>60</xdr:row>
      <xdr:rowOff>0</xdr:rowOff>
    </xdr:from>
    <xdr:to>
      <xdr:col>6</xdr:col>
      <xdr:colOff>475422</xdr:colOff>
      <xdr:row>68</xdr:row>
      <xdr:rowOff>145774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5004111-DFC4-4AB9-B4E9-0AA18ABD5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34</xdr:row>
      <xdr:rowOff>57150</xdr:rowOff>
    </xdr:from>
    <xdr:to>
      <xdr:col>7</xdr:col>
      <xdr:colOff>696383</xdr:colOff>
      <xdr:row>73</xdr:row>
      <xdr:rowOff>29608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75877F-194A-4F72-92F4-08CEF31C5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" y="6534150"/>
          <a:ext cx="7582958" cy="7401958"/>
        </a:xfrm>
        <a:prstGeom prst="rect">
          <a:avLst/>
        </a:prstGeom>
      </xdr:spPr>
    </xdr:pic>
    <xdr:clientData/>
  </xdr:twoCellAnchor>
  <xdr:twoCellAnchor editAs="oneCell">
    <xdr:from>
      <xdr:col>7</xdr:col>
      <xdr:colOff>552450</xdr:colOff>
      <xdr:row>34</xdr:row>
      <xdr:rowOff>57150</xdr:rowOff>
    </xdr:from>
    <xdr:to>
      <xdr:col>14</xdr:col>
      <xdr:colOff>10319</xdr:colOff>
      <xdr:row>47</xdr:row>
      <xdr:rowOff>19390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6DD830-E810-4093-98CF-84CFD9BBA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6350" y="6534150"/>
          <a:ext cx="5687219" cy="243874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123825</xdr:rowOff>
    </xdr:from>
    <xdr:to>
      <xdr:col>25</xdr:col>
      <xdr:colOff>448929</xdr:colOff>
      <xdr:row>28</xdr:row>
      <xdr:rowOff>66986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6F42039-446F-4A7F-877A-1D76CAAB5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34850" y="3171825"/>
          <a:ext cx="8983329" cy="2229161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6</xdr:row>
      <xdr:rowOff>0</xdr:rowOff>
    </xdr:from>
    <xdr:to>
      <xdr:col>25</xdr:col>
      <xdr:colOff>467976</xdr:colOff>
      <xdr:row>15</xdr:row>
      <xdr:rowOff>171713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CD50C72-F004-461E-8DBE-745226A27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72950" y="1143000"/>
          <a:ext cx="8964276" cy="1886213"/>
        </a:xfrm>
        <a:prstGeom prst="rect">
          <a:avLst/>
        </a:prstGeom>
      </xdr:spPr>
    </xdr:pic>
    <xdr:clientData/>
  </xdr:twoCellAnchor>
  <xdr:twoCellAnchor>
    <xdr:from>
      <xdr:col>7</xdr:col>
      <xdr:colOff>666750</xdr:colOff>
      <xdr:row>39</xdr:row>
      <xdr:rowOff>123825</xdr:rowOff>
    </xdr:from>
    <xdr:to>
      <xdr:col>13</xdr:col>
      <xdr:colOff>571500</xdr:colOff>
      <xdr:row>40</xdr:row>
      <xdr:rowOff>161925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09CC822-B6D6-4291-A80A-289611E666E1}"/>
            </a:ext>
          </a:extLst>
        </xdr:cNvPr>
        <xdr:cNvSpPr/>
      </xdr:nvSpPr>
      <xdr:spPr>
        <a:xfrm>
          <a:off x="9010650" y="7553325"/>
          <a:ext cx="5524500" cy="228600"/>
        </a:xfrm>
        <a:prstGeom prst="rect">
          <a:avLst/>
        </a:prstGeom>
        <a:solidFill>
          <a:srgbClr val="FFFF99">
            <a:alpha val="40000"/>
          </a:srgb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45F82"/>
    </a:accent1>
    <a:accent2>
      <a:srgbClr val="E87331"/>
    </a:accent2>
    <a:accent3>
      <a:srgbClr val="186C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AB04-1DBA-4D26-B3F2-6C4973A9C587}">
  <sheetPr>
    <tabColor rgb="FFC00000"/>
  </sheetPr>
  <dimension ref="B1:S1000"/>
  <sheetViews>
    <sheetView tabSelected="1" zoomScale="115" zoomScaleNormal="115" workbookViewId="0">
      <selection activeCell="F9" sqref="F9"/>
    </sheetView>
  </sheetViews>
  <sheetFormatPr defaultRowHeight="15" x14ac:dyDescent="0.25"/>
  <cols>
    <col min="2" max="2" width="9.140625" customWidth="1"/>
    <col min="3" max="3" width="26.5703125" customWidth="1"/>
    <col min="4" max="5" width="10.42578125" customWidth="1"/>
    <col min="6" max="6" width="10.28515625" customWidth="1"/>
    <col min="7" max="7" width="9.42578125" customWidth="1"/>
    <col min="8" max="8" width="6.85546875" bestFit="1" customWidth="1"/>
    <col min="9" max="10" width="27.85546875" bestFit="1" customWidth="1"/>
    <col min="11" max="11" width="16.42578125" bestFit="1" customWidth="1"/>
  </cols>
  <sheetData>
    <row r="1" spans="2:19" x14ac:dyDescent="0.25">
      <c r="G1" t="s">
        <v>37</v>
      </c>
      <c r="H1" t="s">
        <v>29</v>
      </c>
      <c r="I1" t="s">
        <v>30</v>
      </c>
      <c r="J1" t="s">
        <v>31</v>
      </c>
      <c r="K1" t="s">
        <v>32</v>
      </c>
      <c r="L1" s="4" t="s">
        <v>38</v>
      </c>
    </row>
    <row r="2" spans="2:19" x14ac:dyDescent="0.25">
      <c r="C2" t="s">
        <v>0</v>
      </c>
      <c r="G2">
        <v>1</v>
      </c>
      <c r="H2" s="5">
        <v>0</v>
      </c>
      <c r="I2">
        <f>D$29*($H2/1000)+D$18*(($H2/1000)-($D$7/1000))*(($H2/1000)&gt;($D$7/1000))+D$19*(($H2/1000)-($D$8/1000))*(($H2/1000)&gt;($D$8/1000))+D$20*(($H2/1000)-($D$9/1000))*(($H2/1000)&gt;($D$9/1000))+D$21*(($H2/1000)-($D$10/1000))*(($H2/1000)&gt;($D$10/1000))</f>
        <v>0</v>
      </c>
      <c r="J2">
        <f>E$29*($H2/1000)+E$18*(($H2/1000)-($D$7/1000))*(($H2/1000)&gt;($D$7/1000))+E$19*(($H2/1000)-($D$8/1000))*(($H2/1000)&gt;($D$8/1000))+E$20*(($H2/1000)-($D$9/1000))*(($H2/1000)&gt;($D$9/1000))+E$21*(($H2/1000)-($D$10/1000))*(($H2/1000)&gt;($D$10/1000))</f>
        <v>0</v>
      </c>
      <c r="K2" s="5">
        <f t="shared" ref="K2:K65" si="0">SQRT((I2^2)+(J2^2))</f>
        <v>0</v>
      </c>
      <c r="N2" t="s">
        <v>72</v>
      </c>
      <c r="O2" t="s">
        <v>73</v>
      </c>
      <c r="Q2" t="s">
        <v>75</v>
      </c>
      <c r="R2">
        <v>30</v>
      </c>
      <c r="S2" t="s">
        <v>12</v>
      </c>
    </row>
    <row r="3" spans="2:19" x14ac:dyDescent="0.25">
      <c r="H3" s="5">
        <f>IF((ROW(A1)*$G$2)&lt;=$D$5, ROW(A1)*$G$2,NA())</f>
        <v>1</v>
      </c>
      <c r="I3">
        <f t="shared" ref="I3:I66" si="1">D$29*($H3/1000)+D$18*(($H3/1000)-($D$7/1000))*(($H3/1000)&gt;($D$7/1000))+D$19*(($H3/1000)-($D$8/1000))*(($H3/1000)&gt;($D$8/1000))+D$20*(($H3/1000)-($D$9/1000))*(($H3/1000)&gt;($D$9/1000))+D$21*(($H3/1000)-($D$10/1000))*(($H3/1000)&gt;($D$10/1000))</f>
        <v>-0.16342240875090619</v>
      </c>
      <c r="J3">
        <f t="shared" ref="J3:J66" si="2">E$29*($H3/1000)+E$18*(($H3/1000)-($D$7/1000))*(($H3/1000)&gt;($D$7/1000))+E$19*(($H3/1000)-($D$8/1000))*(($H3/1000)&gt;($D$8/1000))+E$20*(($H3/1000)-($D$9/1000))*(($H3/1000)&gt;($D$9/1000))+E$21*(($H3/1000)-($D$10/1000))*(($H3/1000)&gt;($D$10/1000))</f>
        <v>0.10695182051561207</v>
      </c>
      <c r="K3" s="5">
        <f t="shared" si="0"/>
        <v>0.19530892348674692</v>
      </c>
      <c r="M3" t="s">
        <v>74</v>
      </c>
      <c r="N3">
        <v>0</v>
      </c>
      <c r="O3">
        <f>-$R$2/2</f>
        <v>-15</v>
      </c>
      <c r="Q3" t="s">
        <v>76</v>
      </c>
      <c r="R3">
        <v>45</v>
      </c>
      <c r="S3" t="s">
        <v>12</v>
      </c>
    </row>
    <row r="4" spans="2:19" x14ac:dyDescent="0.25">
      <c r="C4" t="s">
        <v>1</v>
      </c>
      <c r="D4" t="s">
        <v>2</v>
      </c>
      <c r="H4" s="5">
        <f t="shared" ref="H4:H67" si="3">IF((ROW(A2)*$G$2)&lt;=$D$5, ROW(A2)*$G$2,NA())</f>
        <v>2</v>
      </c>
      <c r="I4">
        <f t="shared" si="1"/>
        <v>-0.32684481750181238</v>
      </c>
      <c r="J4">
        <f t="shared" si="2"/>
        <v>0.21390364103122414</v>
      </c>
      <c r="K4" s="5">
        <f t="shared" si="0"/>
        <v>0.39061784697349383</v>
      </c>
      <c r="N4">
        <v>310</v>
      </c>
      <c r="O4">
        <f>-$R$2/2</f>
        <v>-15</v>
      </c>
    </row>
    <row r="5" spans="2:19" x14ac:dyDescent="0.25">
      <c r="C5" t="s">
        <v>3</v>
      </c>
      <c r="D5" s="1">
        <f>300+400+150</f>
        <v>850</v>
      </c>
      <c r="E5" t="s">
        <v>12</v>
      </c>
      <c r="H5" s="5">
        <f t="shared" si="3"/>
        <v>3</v>
      </c>
      <c r="I5">
        <f t="shared" si="1"/>
        <v>-0.49026722625271857</v>
      </c>
      <c r="J5">
        <f t="shared" si="2"/>
        <v>0.3208554615468362</v>
      </c>
      <c r="K5" s="5">
        <f t="shared" si="0"/>
        <v>0.58592677046024066</v>
      </c>
      <c r="N5">
        <v>310</v>
      </c>
      <c r="O5">
        <f>$R$2/2</f>
        <v>15</v>
      </c>
    </row>
    <row r="6" spans="2:19" x14ac:dyDescent="0.25">
      <c r="C6" t="s">
        <v>4</v>
      </c>
      <c r="H6" s="5">
        <f t="shared" si="3"/>
        <v>4</v>
      </c>
      <c r="I6">
        <f t="shared" si="1"/>
        <v>-0.65368963500362476</v>
      </c>
      <c r="J6">
        <f t="shared" si="2"/>
        <v>0.42780728206244828</v>
      </c>
      <c r="K6" s="5">
        <f t="shared" si="0"/>
        <v>0.78123569394698766</v>
      </c>
      <c r="N6">
        <v>0</v>
      </c>
      <c r="O6">
        <f>$R$2/2</f>
        <v>15</v>
      </c>
    </row>
    <row r="7" spans="2:19" x14ac:dyDescent="0.25">
      <c r="B7" t="s">
        <v>22</v>
      </c>
      <c r="C7" t="s">
        <v>5</v>
      </c>
      <c r="D7" s="1">
        <v>300</v>
      </c>
      <c r="E7" t="s">
        <v>12</v>
      </c>
      <c r="H7" s="5">
        <f t="shared" si="3"/>
        <v>5</v>
      </c>
      <c r="I7">
        <f t="shared" si="1"/>
        <v>-0.81711204375453095</v>
      </c>
      <c r="J7">
        <f t="shared" si="2"/>
        <v>0.53475910257806036</v>
      </c>
      <c r="K7" s="5">
        <f t="shared" si="0"/>
        <v>0.97654461743373455</v>
      </c>
      <c r="N7">
        <v>0</v>
      </c>
      <c r="O7">
        <f>-$R$2/2</f>
        <v>-15</v>
      </c>
    </row>
    <row r="8" spans="2:19" x14ac:dyDescent="0.25">
      <c r="B8" t="s">
        <v>21</v>
      </c>
      <c r="C8" t="s">
        <v>6</v>
      </c>
      <c r="D8" s="1">
        <v>300</v>
      </c>
      <c r="E8" t="s">
        <v>12</v>
      </c>
      <c r="H8" s="5">
        <f t="shared" si="3"/>
        <v>6</v>
      </c>
      <c r="I8">
        <f t="shared" si="1"/>
        <v>-0.98053445250543714</v>
      </c>
      <c r="J8">
        <f t="shared" si="2"/>
        <v>0.64171092309367239</v>
      </c>
      <c r="K8" s="5">
        <f t="shared" si="0"/>
        <v>1.1718535409204813</v>
      </c>
    </row>
    <row r="9" spans="2:19" x14ac:dyDescent="0.25">
      <c r="B9" t="s">
        <v>23</v>
      </c>
      <c r="C9" t="s">
        <v>16</v>
      </c>
      <c r="D9" s="1">
        <v>700</v>
      </c>
      <c r="E9" t="s">
        <v>12</v>
      </c>
      <c r="H9" s="5">
        <f t="shared" si="3"/>
        <v>7</v>
      </c>
      <c r="I9">
        <f t="shared" si="1"/>
        <v>-1.1439568612563433</v>
      </c>
      <c r="J9">
        <f t="shared" si="2"/>
        <v>0.74866274360928453</v>
      </c>
      <c r="K9" s="5">
        <f t="shared" si="0"/>
        <v>1.3671624644072284</v>
      </c>
      <c r="M9" t="s">
        <v>77</v>
      </c>
      <c r="N9">
        <v>310</v>
      </c>
      <c r="O9">
        <f>-$R$3/2</f>
        <v>-22.5</v>
      </c>
    </row>
    <row r="10" spans="2:19" x14ac:dyDescent="0.25">
      <c r="B10" t="s">
        <v>24</v>
      </c>
      <c r="C10" t="s">
        <v>17</v>
      </c>
      <c r="D10" s="1">
        <v>700</v>
      </c>
      <c r="E10" t="s">
        <v>12</v>
      </c>
      <c r="H10" s="5">
        <f t="shared" si="3"/>
        <v>8</v>
      </c>
      <c r="I10">
        <f t="shared" si="1"/>
        <v>-1.3073792700072495</v>
      </c>
      <c r="J10">
        <f t="shared" si="2"/>
        <v>0.85561456412489656</v>
      </c>
      <c r="K10" s="5">
        <f t="shared" si="0"/>
        <v>1.5624713878939753</v>
      </c>
      <c r="N10">
        <v>690</v>
      </c>
      <c r="O10">
        <f>-$R$3/2</f>
        <v>-22.5</v>
      </c>
    </row>
    <row r="11" spans="2:19" x14ac:dyDescent="0.25">
      <c r="H11" s="5">
        <f t="shared" si="3"/>
        <v>9</v>
      </c>
      <c r="I11">
        <f t="shared" si="1"/>
        <v>-1.4708016787581555</v>
      </c>
      <c r="J11">
        <f t="shared" si="2"/>
        <v>0.96256638464050859</v>
      </c>
      <c r="K11" s="5">
        <f t="shared" si="0"/>
        <v>1.757780311380722</v>
      </c>
      <c r="N11">
        <v>690</v>
      </c>
      <c r="O11">
        <f>$R$3/2</f>
        <v>22.5</v>
      </c>
    </row>
    <row r="12" spans="2:19" x14ac:dyDescent="0.25">
      <c r="C12" t="s">
        <v>15</v>
      </c>
      <c r="H12" s="5">
        <f t="shared" si="3"/>
        <v>10</v>
      </c>
      <c r="I12">
        <f t="shared" si="1"/>
        <v>-1.6342240875090619</v>
      </c>
      <c r="J12">
        <f t="shared" si="2"/>
        <v>1.0695182051561207</v>
      </c>
      <c r="K12" s="5">
        <f t="shared" si="0"/>
        <v>1.9530892348674691</v>
      </c>
      <c r="N12">
        <v>310</v>
      </c>
      <c r="O12">
        <f>$R$3/2</f>
        <v>22.5</v>
      </c>
    </row>
    <row r="13" spans="2:19" x14ac:dyDescent="0.25">
      <c r="C13" t="s">
        <v>18</v>
      </c>
      <c r="D13" s="1">
        <v>250</v>
      </c>
      <c r="E13" t="s">
        <v>12</v>
      </c>
      <c r="H13" s="5">
        <f t="shared" si="3"/>
        <v>11</v>
      </c>
      <c r="I13">
        <f t="shared" si="1"/>
        <v>-1.7976464962599679</v>
      </c>
      <c r="J13">
        <f t="shared" si="2"/>
        <v>1.1764700256717326</v>
      </c>
      <c r="K13" s="5">
        <f t="shared" si="0"/>
        <v>2.1483981583542158</v>
      </c>
      <c r="N13">
        <v>310</v>
      </c>
      <c r="O13">
        <f>-$R$3/2</f>
        <v>-22.5</v>
      </c>
    </row>
    <row r="14" spans="2:19" x14ac:dyDescent="0.25">
      <c r="C14" t="s">
        <v>19</v>
      </c>
      <c r="D14" s="1">
        <v>300</v>
      </c>
      <c r="E14" t="s">
        <v>12</v>
      </c>
      <c r="H14" s="5">
        <f t="shared" si="3"/>
        <v>12</v>
      </c>
      <c r="I14">
        <f t="shared" si="1"/>
        <v>-1.9610689050108743</v>
      </c>
      <c r="J14">
        <f t="shared" si="2"/>
        <v>1.2834218461873448</v>
      </c>
      <c r="K14" s="5">
        <f t="shared" si="0"/>
        <v>2.3437070818409627</v>
      </c>
    </row>
    <row r="15" spans="2:19" x14ac:dyDescent="0.25">
      <c r="H15" s="5">
        <f t="shared" si="3"/>
        <v>13</v>
      </c>
      <c r="I15">
        <f t="shared" si="1"/>
        <v>-2.1244913137617805</v>
      </c>
      <c r="J15">
        <f t="shared" si="2"/>
        <v>1.3903736667029569</v>
      </c>
      <c r="K15" s="5">
        <f t="shared" si="0"/>
        <v>2.53901600532771</v>
      </c>
      <c r="M15" t="s">
        <v>78</v>
      </c>
      <c r="N15">
        <v>690</v>
      </c>
      <c r="O15">
        <f>-$R$2/2</f>
        <v>-15</v>
      </c>
    </row>
    <row r="16" spans="2:19" x14ac:dyDescent="0.25">
      <c r="H16" s="5">
        <f t="shared" si="3"/>
        <v>14</v>
      </c>
      <c r="I16">
        <f t="shared" si="1"/>
        <v>-2.2879137225126867</v>
      </c>
      <c r="J16">
        <f t="shared" si="2"/>
        <v>1.4973254872185691</v>
      </c>
      <c r="K16" s="5">
        <f t="shared" si="0"/>
        <v>2.7343249288144569</v>
      </c>
      <c r="N16">
        <v>850</v>
      </c>
      <c r="O16">
        <f>-$R$2/2</f>
        <v>-15</v>
      </c>
    </row>
    <row r="17" spans="2:15" x14ac:dyDescent="0.25">
      <c r="C17" t="s">
        <v>7</v>
      </c>
      <c r="D17" t="s">
        <v>8</v>
      </c>
      <c r="E17" t="s">
        <v>9</v>
      </c>
      <c r="F17" t="s">
        <v>20</v>
      </c>
      <c r="H17" s="5">
        <f t="shared" si="3"/>
        <v>15</v>
      </c>
      <c r="I17">
        <f t="shared" si="1"/>
        <v>-2.4513361312635928</v>
      </c>
      <c r="J17">
        <f t="shared" si="2"/>
        <v>1.604277307734181</v>
      </c>
      <c r="K17" s="5">
        <f t="shared" si="0"/>
        <v>2.9296338523012033</v>
      </c>
      <c r="N17">
        <v>850</v>
      </c>
      <c r="O17">
        <f>$R$2/2</f>
        <v>15</v>
      </c>
    </row>
    <row r="18" spans="2:15" x14ac:dyDescent="0.25">
      <c r="B18" t="s">
        <v>22</v>
      </c>
      <c r="C18" t="s">
        <v>5</v>
      </c>
      <c r="D18" s="2">
        <f>F18*SIN(RADIANS(45))</f>
        <v>219.6190473332336</v>
      </c>
      <c r="E18" s="2">
        <f>-F18*COS(RADIANS(45))</f>
        <v>-219.61904733323362</v>
      </c>
      <c r="F18" s="2">
        <f>(-D26/(D13/2))/(1-0.15)</f>
        <v>310.58823529411768</v>
      </c>
      <c r="G18" t="s">
        <v>64</v>
      </c>
      <c r="H18" s="5">
        <f t="shared" si="3"/>
        <v>16</v>
      </c>
      <c r="I18">
        <f t="shared" si="1"/>
        <v>-2.614758540014499</v>
      </c>
      <c r="J18">
        <f t="shared" si="2"/>
        <v>1.7112291282497931</v>
      </c>
      <c r="K18" s="5">
        <f t="shared" si="0"/>
        <v>3.1249427757879507</v>
      </c>
      <c r="N18">
        <v>690</v>
      </c>
      <c r="O18">
        <f>$R$2/2</f>
        <v>15</v>
      </c>
    </row>
    <row r="19" spans="2:15" x14ac:dyDescent="0.25">
      <c r="B19" t="s">
        <v>21</v>
      </c>
      <c r="C19" t="s">
        <v>6</v>
      </c>
      <c r="D19" s="2">
        <f>F19*SIN(RADIANS(45))</f>
        <v>32.942857099985041</v>
      </c>
      <c r="E19" s="2">
        <f>-F19*COS(RADIANS(45))</f>
        <v>-32.942857099985041</v>
      </c>
      <c r="F19" s="2">
        <f>F18*0.15</f>
        <v>46.588235294117652</v>
      </c>
      <c r="G19" t="s">
        <v>64</v>
      </c>
      <c r="H19" s="5">
        <f t="shared" si="3"/>
        <v>17</v>
      </c>
      <c r="I19">
        <f t="shared" si="1"/>
        <v>-2.7781809487654052</v>
      </c>
      <c r="J19">
        <f t="shared" si="2"/>
        <v>1.8181809487654053</v>
      </c>
      <c r="K19" s="5">
        <f t="shared" si="0"/>
        <v>3.3202516992746975</v>
      </c>
      <c r="N19">
        <v>690</v>
      </c>
      <c r="O19">
        <f>-$R$2/2</f>
        <v>-15</v>
      </c>
    </row>
    <row r="20" spans="2:15" x14ac:dyDescent="0.25">
      <c r="B20" t="s">
        <v>23</v>
      </c>
      <c r="C20" t="s">
        <v>16</v>
      </c>
      <c r="D20" s="1">
        <v>0</v>
      </c>
      <c r="E20" s="1">
        <v>50</v>
      </c>
      <c r="G20" t="s">
        <v>64</v>
      </c>
      <c r="H20" s="5">
        <f t="shared" si="3"/>
        <v>18</v>
      </c>
      <c r="I20">
        <f t="shared" si="1"/>
        <v>-2.941603357516311</v>
      </c>
      <c r="J20">
        <f t="shared" si="2"/>
        <v>1.9251327692810172</v>
      </c>
      <c r="K20" s="5">
        <f t="shared" si="0"/>
        <v>3.515560622761444</v>
      </c>
    </row>
    <row r="21" spans="2:15" x14ac:dyDescent="0.25">
      <c r="B21" t="s">
        <v>24</v>
      </c>
      <c r="C21" t="s">
        <v>17</v>
      </c>
      <c r="D21" s="1">
        <v>0</v>
      </c>
      <c r="E21" s="1">
        <v>270</v>
      </c>
      <c r="G21" t="s">
        <v>64</v>
      </c>
      <c r="H21" s="5">
        <f t="shared" si="3"/>
        <v>19</v>
      </c>
      <c r="I21">
        <f t="shared" si="1"/>
        <v>-3.1050257662672176</v>
      </c>
      <c r="J21">
        <f t="shared" si="2"/>
        <v>2.0320845897966291</v>
      </c>
      <c r="K21" s="5">
        <f t="shared" si="0"/>
        <v>3.7108695462481913</v>
      </c>
      <c r="M21" t="s">
        <v>79</v>
      </c>
      <c r="N21">
        <v>0</v>
      </c>
      <c r="O21">
        <v>0</v>
      </c>
    </row>
    <row r="22" spans="2:15" x14ac:dyDescent="0.25">
      <c r="H22" s="5">
        <f t="shared" si="3"/>
        <v>20</v>
      </c>
      <c r="I22">
        <f t="shared" si="1"/>
        <v>-3.2684481750181238</v>
      </c>
      <c r="J22">
        <f t="shared" si="2"/>
        <v>2.1390364103122415</v>
      </c>
      <c r="K22" s="5">
        <f t="shared" si="0"/>
        <v>3.9061784697349382</v>
      </c>
      <c r="N22">
        <v>850</v>
      </c>
      <c r="O22">
        <v>0</v>
      </c>
    </row>
    <row r="23" spans="2:15" x14ac:dyDescent="0.25">
      <c r="H23" s="5">
        <f t="shared" si="3"/>
        <v>21</v>
      </c>
      <c r="I23">
        <f t="shared" si="1"/>
        <v>-3.43187058376903</v>
      </c>
      <c r="J23">
        <f t="shared" si="2"/>
        <v>2.2459882308278538</v>
      </c>
      <c r="K23" s="5">
        <f t="shared" si="0"/>
        <v>4.1014873932216851</v>
      </c>
    </row>
    <row r="24" spans="2:15" x14ac:dyDescent="0.25">
      <c r="C24" t="s">
        <v>13</v>
      </c>
      <c r="D24" t="s">
        <v>14</v>
      </c>
      <c r="H24" s="5">
        <f t="shared" si="3"/>
        <v>22</v>
      </c>
      <c r="I24">
        <f t="shared" si="1"/>
        <v>-3.5952929925199357</v>
      </c>
      <c r="J24">
        <f t="shared" si="2"/>
        <v>2.3529400513434653</v>
      </c>
      <c r="K24" s="5">
        <f t="shared" si="0"/>
        <v>4.2967963167084315</v>
      </c>
      <c r="M24" t="s">
        <v>81</v>
      </c>
    </row>
    <row r="25" spans="2:15" x14ac:dyDescent="0.25">
      <c r="B25" t="s">
        <v>70</v>
      </c>
      <c r="C25" t="s">
        <v>25</v>
      </c>
      <c r="D25" s="6">
        <f>F18*(D13/2)-F19*(D13/2)</f>
        <v>33000.000000000007</v>
      </c>
      <c r="E25" t="s">
        <v>63</v>
      </c>
      <c r="H25" s="5">
        <f t="shared" si="3"/>
        <v>23</v>
      </c>
      <c r="I25">
        <f t="shared" si="1"/>
        <v>-3.7587154012708424</v>
      </c>
      <c r="J25">
        <f t="shared" si="2"/>
        <v>2.4598918718590776</v>
      </c>
      <c r="K25" s="5">
        <f t="shared" si="0"/>
        <v>4.4921052401951789</v>
      </c>
      <c r="M25" t="s">
        <v>80</v>
      </c>
      <c r="N25">
        <f>D37</f>
        <v>310</v>
      </c>
      <c r="O25" s="5">
        <v>0</v>
      </c>
    </row>
    <row r="26" spans="2:15" x14ac:dyDescent="0.25">
      <c r="B26" t="s">
        <v>69</v>
      </c>
      <c r="C26" t="s">
        <v>26</v>
      </c>
      <c r="D26" s="6">
        <f>E20*(D14/2)-E21*(D14/2)</f>
        <v>-33000</v>
      </c>
      <c r="E26" t="s">
        <v>63</v>
      </c>
      <c r="H26" s="5">
        <f t="shared" si="3"/>
        <v>24</v>
      </c>
      <c r="I26">
        <f t="shared" si="1"/>
        <v>-3.9221378100217485</v>
      </c>
      <c r="J26">
        <f t="shared" si="2"/>
        <v>2.5668436923746896</v>
      </c>
      <c r="K26" s="5">
        <f t="shared" si="0"/>
        <v>4.6874141636819253</v>
      </c>
      <c r="N26">
        <f>D40</f>
        <v>690</v>
      </c>
      <c r="O26" s="5">
        <v>0</v>
      </c>
    </row>
    <row r="27" spans="2:15" x14ac:dyDescent="0.25">
      <c r="H27" s="5">
        <f t="shared" si="3"/>
        <v>25</v>
      </c>
      <c r="I27">
        <f t="shared" si="1"/>
        <v>-4.0855602187726552</v>
      </c>
      <c r="J27">
        <f t="shared" si="2"/>
        <v>2.6737955128903019</v>
      </c>
      <c r="K27" s="5">
        <f t="shared" si="0"/>
        <v>4.8827230871686735</v>
      </c>
    </row>
    <row r="28" spans="2:15" x14ac:dyDescent="0.25">
      <c r="D28" t="s">
        <v>8</v>
      </c>
      <c r="E28" t="s">
        <v>9</v>
      </c>
      <c r="H28" s="5">
        <f t="shared" si="3"/>
        <v>26</v>
      </c>
      <c r="I28">
        <f t="shared" si="1"/>
        <v>-4.2489826275235609</v>
      </c>
      <c r="J28">
        <f t="shared" si="2"/>
        <v>2.7807473334059138</v>
      </c>
      <c r="K28" s="5">
        <f t="shared" si="0"/>
        <v>5.07803201065542</v>
      </c>
    </row>
    <row r="29" spans="2:15" x14ac:dyDescent="0.25">
      <c r="B29" t="s">
        <v>27</v>
      </c>
      <c r="C29" t="s">
        <v>10</v>
      </c>
      <c r="D29" s="3">
        <f>-(D18+D19+D20+D21+D30)</f>
        <v>-163.42240875090619</v>
      </c>
      <c r="E29" s="3">
        <f>-(E18+E19+E20+E21+E30)</f>
        <v>106.95182051561207</v>
      </c>
      <c r="F29" t="s">
        <v>64</v>
      </c>
      <c r="H29" s="5">
        <f t="shared" si="3"/>
        <v>27</v>
      </c>
      <c r="I29">
        <f t="shared" si="1"/>
        <v>-4.4124050362744667</v>
      </c>
      <c r="J29">
        <f t="shared" si="2"/>
        <v>2.8876991539215258</v>
      </c>
      <c r="K29" s="5">
        <f t="shared" si="0"/>
        <v>5.2733409341421664</v>
      </c>
    </row>
    <row r="30" spans="2:15" x14ac:dyDescent="0.25">
      <c r="B30" t="s">
        <v>28</v>
      </c>
      <c r="C30" t="s">
        <v>11</v>
      </c>
      <c r="D30" s="3">
        <f>(D18*($D7)+D19*($D8)+D20*($D9)+D21*($D10))/-$D5</f>
        <v>-89.139495682312457</v>
      </c>
      <c r="E30" s="3">
        <f>(E18*($D7)+E19*($D8)+E20*($D9)+E21*($D10))/-$D5</f>
        <v>-174.3899160823934</v>
      </c>
      <c r="F30" t="s">
        <v>64</v>
      </c>
      <c r="H30" s="5">
        <f t="shared" si="3"/>
        <v>28</v>
      </c>
      <c r="I30">
        <f t="shared" si="1"/>
        <v>-4.5758274450253733</v>
      </c>
      <c r="J30">
        <f t="shared" si="2"/>
        <v>2.9946509744371381</v>
      </c>
      <c r="K30" s="5">
        <f t="shared" si="0"/>
        <v>5.4686498576289138</v>
      </c>
    </row>
    <row r="31" spans="2:15" x14ac:dyDescent="0.25">
      <c r="H31" s="5">
        <f t="shared" si="3"/>
        <v>29</v>
      </c>
      <c r="I31">
        <f t="shared" si="1"/>
        <v>-4.7392498537762799</v>
      </c>
      <c r="J31">
        <f t="shared" si="2"/>
        <v>3.10160279495275</v>
      </c>
      <c r="K31" s="5">
        <f t="shared" si="0"/>
        <v>5.6639587811156611</v>
      </c>
    </row>
    <row r="32" spans="2:15" x14ac:dyDescent="0.25">
      <c r="H32" s="5">
        <f t="shared" si="3"/>
        <v>30</v>
      </c>
      <c r="I32">
        <f t="shared" si="1"/>
        <v>-4.9026722625271857</v>
      </c>
      <c r="J32">
        <f t="shared" si="2"/>
        <v>3.208554615468362</v>
      </c>
      <c r="K32" s="5">
        <f t="shared" si="0"/>
        <v>5.8592677046024066</v>
      </c>
    </row>
    <row r="33" spans="3:11" x14ac:dyDescent="0.25">
      <c r="H33" s="5">
        <f t="shared" si="3"/>
        <v>31</v>
      </c>
      <c r="I33">
        <f t="shared" si="1"/>
        <v>-5.0660946712780914</v>
      </c>
      <c r="J33">
        <f t="shared" si="2"/>
        <v>3.3155064359839743</v>
      </c>
      <c r="K33" s="5">
        <f t="shared" si="0"/>
        <v>6.054576628089154</v>
      </c>
    </row>
    <row r="34" spans="3:11" x14ac:dyDescent="0.25">
      <c r="C34" t="s">
        <v>33</v>
      </c>
      <c r="D34" s="3">
        <f>_xlfn.AGGREGATE(4, 6, K:K)</f>
        <v>58.592677046024072</v>
      </c>
      <c r="E34" t="s">
        <v>34</v>
      </c>
      <c r="H34" s="5">
        <f t="shared" si="3"/>
        <v>32</v>
      </c>
      <c r="I34">
        <f t="shared" si="1"/>
        <v>-5.2295170800289981</v>
      </c>
      <c r="J34">
        <f t="shared" si="2"/>
        <v>3.4224582564995862</v>
      </c>
      <c r="K34" s="5">
        <f t="shared" si="0"/>
        <v>6.2498855515759013</v>
      </c>
    </row>
    <row r="35" spans="3:11" x14ac:dyDescent="0.25">
      <c r="C35" t="s">
        <v>35</v>
      </c>
      <c r="D35" s="6">
        <f>INDEX(H:H,MATCH(D34,K:K,0))</f>
        <v>300</v>
      </c>
      <c r="E35" t="s">
        <v>12</v>
      </c>
      <c r="H35" s="5">
        <f t="shared" si="3"/>
        <v>33</v>
      </c>
      <c r="I35">
        <f t="shared" si="1"/>
        <v>-5.3929394887799047</v>
      </c>
      <c r="J35">
        <f t="shared" si="2"/>
        <v>3.5294100770151986</v>
      </c>
      <c r="K35" s="5">
        <f t="shared" si="0"/>
        <v>6.4451944750626486</v>
      </c>
    </row>
    <row r="36" spans="3:11" x14ac:dyDescent="0.25">
      <c r="H36" s="5">
        <f t="shared" si="3"/>
        <v>34</v>
      </c>
      <c r="I36">
        <f t="shared" si="1"/>
        <v>-5.5563618975308104</v>
      </c>
      <c r="J36">
        <f t="shared" si="2"/>
        <v>3.6363618975308105</v>
      </c>
      <c r="K36" s="5">
        <f t="shared" si="0"/>
        <v>6.6405033985493951</v>
      </c>
    </row>
    <row r="37" spans="3:11" x14ac:dyDescent="0.25">
      <c r="C37" t="s">
        <v>67</v>
      </c>
      <c r="D37" s="1">
        <v>310</v>
      </c>
      <c r="E37" t="s">
        <v>12</v>
      </c>
      <c r="H37" s="5">
        <f t="shared" si="3"/>
        <v>35</v>
      </c>
      <c r="I37">
        <f t="shared" si="1"/>
        <v>-5.7197843062817171</v>
      </c>
      <c r="J37">
        <f t="shared" si="2"/>
        <v>3.7433137180464229</v>
      </c>
      <c r="K37" s="5">
        <f t="shared" si="0"/>
        <v>6.8358123220361424</v>
      </c>
    </row>
    <row r="38" spans="3:11" x14ac:dyDescent="0.25">
      <c r="C38" t="s">
        <v>65</v>
      </c>
      <c r="D38" s="3">
        <f>INDEX(K:K,MATCH(D37,H:H,0))</f>
        <v>57.054120710818019</v>
      </c>
      <c r="E38" t="s">
        <v>34</v>
      </c>
      <c r="H38" s="5">
        <f t="shared" si="3"/>
        <v>36</v>
      </c>
      <c r="I38">
        <f t="shared" si="1"/>
        <v>-5.8832067150326219</v>
      </c>
      <c r="J38">
        <f t="shared" si="2"/>
        <v>3.8502655385620344</v>
      </c>
      <c r="K38" s="5">
        <f t="shared" si="0"/>
        <v>7.031121245522888</v>
      </c>
    </row>
    <row r="39" spans="3:11" x14ac:dyDescent="0.25">
      <c r="H39" s="5">
        <f t="shared" si="3"/>
        <v>37</v>
      </c>
      <c r="I39">
        <f t="shared" si="1"/>
        <v>-6.0466291237835286</v>
      </c>
      <c r="J39">
        <f t="shared" si="2"/>
        <v>3.9572173590776463</v>
      </c>
      <c r="K39" s="5">
        <f t="shared" si="0"/>
        <v>7.2264301690096353</v>
      </c>
    </row>
    <row r="40" spans="3:11" x14ac:dyDescent="0.25">
      <c r="C40" t="s">
        <v>66</v>
      </c>
      <c r="D40" s="1">
        <v>690</v>
      </c>
      <c r="E40" t="s">
        <v>12</v>
      </c>
      <c r="H40" s="5">
        <f t="shared" si="3"/>
        <v>38</v>
      </c>
      <c r="I40">
        <f t="shared" si="1"/>
        <v>-6.2100515325344352</v>
      </c>
      <c r="J40">
        <f t="shared" si="2"/>
        <v>4.0641691795932582</v>
      </c>
      <c r="K40" s="5">
        <f t="shared" si="0"/>
        <v>7.4217390924963826</v>
      </c>
    </row>
    <row r="41" spans="3:11" x14ac:dyDescent="0.25">
      <c r="C41" t="s">
        <v>65</v>
      </c>
      <c r="D41" s="3">
        <f>INDEX(K:K,MATCH(D40,H:H,0))</f>
        <v>28.524053963062343</v>
      </c>
      <c r="E41" t="s">
        <v>34</v>
      </c>
      <c r="H41" s="5">
        <f t="shared" si="3"/>
        <v>39</v>
      </c>
      <c r="I41">
        <f t="shared" si="1"/>
        <v>-6.3734739412853409</v>
      </c>
      <c r="J41">
        <f t="shared" si="2"/>
        <v>4.1711210001088705</v>
      </c>
      <c r="K41" s="5">
        <f t="shared" si="0"/>
        <v>7.6170480159831291</v>
      </c>
    </row>
    <row r="42" spans="3:11" x14ac:dyDescent="0.25">
      <c r="H42" s="5">
        <f t="shared" si="3"/>
        <v>40</v>
      </c>
      <c r="I42">
        <f t="shared" si="1"/>
        <v>-6.5368963500362476</v>
      </c>
      <c r="J42">
        <f t="shared" si="2"/>
        <v>4.2780728206244829</v>
      </c>
      <c r="K42" s="5">
        <f t="shared" si="0"/>
        <v>7.8123569394698764</v>
      </c>
    </row>
    <row r="43" spans="3:11" x14ac:dyDescent="0.25">
      <c r="H43" s="5">
        <f t="shared" si="3"/>
        <v>41</v>
      </c>
      <c r="I43">
        <f t="shared" si="1"/>
        <v>-6.7003187587871542</v>
      </c>
      <c r="J43">
        <f t="shared" si="2"/>
        <v>4.3850246411400953</v>
      </c>
      <c r="K43" s="5">
        <f t="shared" si="0"/>
        <v>8.0076658629566246</v>
      </c>
    </row>
    <row r="44" spans="3:11" x14ac:dyDescent="0.25">
      <c r="H44" s="5">
        <f t="shared" si="3"/>
        <v>42</v>
      </c>
      <c r="I44">
        <f t="shared" si="1"/>
        <v>-6.86374116753806</v>
      </c>
      <c r="J44">
        <f t="shared" si="2"/>
        <v>4.4919764616557076</v>
      </c>
      <c r="K44" s="5">
        <f t="shared" si="0"/>
        <v>8.2029747864433702</v>
      </c>
    </row>
    <row r="45" spans="3:11" x14ac:dyDescent="0.25">
      <c r="H45" s="5">
        <f t="shared" si="3"/>
        <v>43</v>
      </c>
      <c r="I45">
        <f t="shared" si="1"/>
        <v>-7.0271635762889657</v>
      </c>
      <c r="J45">
        <f t="shared" si="2"/>
        <v>4.5989282821713182</v>
      </c>
      <c r="K45" s="5">
        <f t="shared" si="0"/>
        <v>8.3982837099301157</v>
      </c>
    </row>
    <row r="46" spans="3:11" x14ac:dyDescent="0.25">
      <c r="H46" s="5">
        <f t="shared" si="3"/>
        <v>44</v>
      </c>
      <c r="I46">
        <f t="shared" si="1"/>
        <v>-7.1905859850398715</v>
      </c>
      <c r="J46">
        <f t="shared" si="2"/>
        <v>4.7058801026869306</v>
      </c>
      <c r="K46" s="5">
        <f t="shared" si="0"/>
        <v>8.5935926334168631</v>
      </c>
    </row>
    <row r="47" spans="3:11" x14ac:dyDescent="0.25">
      <c r="H47" s="5">
        <f t="shared" si="3"/>
        <v>45</v>
      </c>
      <c r="I47">
        <f t="shared" si="1"/>
        <v>-7.3540083937907781</v>
      </c>
      <c r="J47">
        <f t="shared" si="2"/>
        <v>4.8128319232025429</v>
      </c>
      <c r="K47" s="5">
        <f t="shared" si="0"/>
        <v>8.7889015569036104</v>
      </c>
    </row>
    <row r="48" spans="3:11" x14ac:dyDescent="0.25">
      <c r="H48" s="5">
        <f t="shared" si="3"/>
        <v>46</v>
      </c>
      <c r="I48">
        <f t="shared" si="1"/>
        <v>-7.5174308025416847</v>
      </c>
      <c r="J48">
        <f t="shared" si="2"/>
        <v>4.9197837437181553</v>
      </c>
      <c r="K48" s="5">
        <f t="shared" si="0"/>
        <v>8.9842104803903577</v>
      </c>
    </row>
    <row r="49" spans="8:11" x14ac:dyDescent="0.25">
      <c r="H49" s="5">
        <f t="shared" si="3"/>
        <v>47</v>
      </c>
      <c r="I49">
        <f t="shared" si="1"/>
        <v>-7.6808532112925905</v>
      </c>
      <c r="J49">
        <f t="shared" si="2"/>
        <v>5.0267355642337677</v>
      </c>
      <c r="K49" s="5">
        <f t="shared" si="0"/>
        <v>9.1795194038771051</v>
      </c>
    </row>
    <row r="50" spans="8:11" x14ac:dyDescent="0.25">
      <c r="H50" s="5">
        <f t="shared" si="3"/>
        <v>48</v>
      </c>
      <c r="I50">
        <f t="shared" si="1"/>
        <v>-7.8442756200434971</v>
      </c>
      <c r="J50">
        <f t="shared" si="2"/>
        <v>5.1336873847493791</v>
      </c>
      <c r="K50" s="5">
        <f t="shared" si="0"/>
        <v>9.3748283273638506</v>
      </c>
    </row>
    <row r="51" spans="8:11" x14ac:dyDescent="0.25">
      <c r="H51" s="5">
        <f t="shared" si="3"/>
        <v>49</v>
      </c>
      <c r="I51">
        <f t="shared" si="1"/>
        <v>-8.0076980287944028</v>
      </c>
      <c r="J51">
        <f t="shared" si="2"/>
        <v>5.2406392052649915</v>
      </c>
      <c r="K51" s="5">
        <f t="shared" si="0"/>
        <v>9.570137250850598</v>
      </c>
    </row>
    <row r="52" spans="8:11" x14ac:dyDescent="0.25">
      <c r="H52" s="5">
        <f t="shared" si="3"/>
        <v>50</v>
      </c>
      <c r="I52">
        <f t="shared" si="1"/>
        <v>-8.1711204375453104</v>
      </c>
      <c r="J52">
        <f t="shared" si="2"/>
        <v>5.3475910257806039</v>
      </c>
      <c r="K52" s="5">
        <f t="shared" si="0"/>
        <v>9.7654461743373471</v>
      </c>
    </row>
    <row r="53" spans="8:11" x14ac:dyDescent="0.25">
      <c r="H53" s="5">
        <f t="shared" si="3"/>
        <v>51</v>
      </c>
      <c r="I53">
        <f t="shared" si="1"/>
        <v>-8.3345428462962143</v>
      </c>
      <c r="J53">
        <f t="shared" si="2"/>
        <v>5.4545428462962153</v>
      </c>
      <c r="K53" s="5">
        <f t="shared" si="0"/>
        <v>9.9607550978240909</v>
      </c>
    </row>
    <row r="54" spans="8:11" x14ac:dyDescent="0.25">
      <c r="H54" s="5">
        <f t="shared" si="3"/>
        <v>52</v>
      </c>
      <c r="I54">
        <f t="shared" si="1"/>
        <v>-8.4979652550471219</v>
      </c>
      <c r="J54">
        <f t="shared" si="2"/>
        <v>5.5614946668118277</v>
      </c>
      <c r="K54" s="5">
        <f t="shared" si="0"/>
        <v>10.15606402131084</v>
      </c>
    </row>
    <row r="55" spans="8:11" x14ac:dyDescent="0.25">
      <c r="H55" s="5">
        <f t="shared" si="3"/>
        <v>53</v>
      </c>
      <c r="I55">
        <f t="shared" si="1"/>
        <v>-8.6613876637980276</v>
      </c>
      <c r="J55">
        <f t="shared" si="2"/>
        <v>5.6684464873274392</v>
      </c>
      <c r="K55" s="5">
        <f t="shared" si="0"/>
        <v>10.351372944797586</v>
      </c>
    </row>
    <row r="56" spans="8:11" x14ac:dyDescent="0.25">
      <c r="H56" s="5">
        <f t="shared" si="3"/>
        <v>54</v>
      </c>
      <c r="I56">
        <f t="shared" si="1"/>
        <v>-8.8248100725489333</v>
      </c>
      <c r="J56">
        <f t="shared" si="2"/>
        <v>5.7753983078430515</v>
      </c>
      <c r="K56" s="5">
        <f t="shared" si="0"/>
        <v>10.546681868284333</v>
      </c>
    </row>
    <row r="57" spans="8:11" x14ac:dyDescent="0.25">
      <c r="H57" s="5">
        <f t="shared" si="3"/>
        <v>55</v>
      </c>
      <c r="I57">
        <f t="shared" si="1"/>
        <v>-8.9882324812998409</v>
      </c>
      <c r="J57">
        <f t="shared" si="2"/>
        <v>5.8823501283586639</v>
      </c>
      <c r="K57" s="5">
        <f t="shared" si="0"/>
        <v>10.74199079177108</v>
      </c>
    </row>
    <row r="58" spans="8:11" x14ac:dyDescent="0.25">
      <c r="H58" s="5">
        <f t="shared" si="3"/>
        <v>56</v>
      </c>
      <c r="I58">
        <f t="shared" si="1"/>
        <v>-9.1516548900507466</v>
      </c>
      <c r="J58">
        <f t="shared" si="2"/>
        <v>5.9893019488742762</v>
      </c>
      <c r="K58" s="5">
        <f t="shared" si="0"/>
        <v>10.937299715257828</v>
      </c>
    </row>
    <row r="59" spans="8:11" x14ac:dyDescent="0.25">
      <c r="H59" s="5">
        <f t="shared" si="3"/>
        <v>57</v>
      </c>
      <c r="I59">
        <f t="shared" si="1"/>
        <v>-9.3150772988016524</v>
      </c>
      <c r="J59">
        <f t="shared" si="2"/>
        <v>6.0962537693898886</v>
      </c>
      <c r="K59" s="5">
        <f t="shared" si="0"/>
        <v>11.132608638744573</v>
      </c>
    </row>
    <row r="60" spans="8:11" x14ac:dyDescent="0.25">
      <c r="H60" s="5">
        <f t="shared" si="3"/>
        <v>58</v>
      </c>
      <c r="I60">
        <f t="shared" si="1"/>
        <v>-9.4784997075525599</v>
      </c>
      <c r="J60">
        <f t="shared" si="2"/>
        <v>6.2032055899055001</v>
      </c>
      <c r="K60" s="5">
        <f t="shared" si="0"/>
        <v>11.327917562231322</v>
      </c>
    </row>
    <row r="61" spans="8:11" x14ac:dyDescent="0.25">
      <c r="H61" s="5">
        <f t="shared" si="3"/>
        <v>59</v>
      </c>
      <c r="I61">
        <f t="shared" si="1"/>
        <v>-9.6419221163034639</v>
      </c>
      <c r="J61">
        <f t="shared" si="2"/>
        <v>6.3101574104211116</v>
      </c>
      <c r="K61" s="5">
        <f t="shared" si="0"/>
        <v>11.523226485718068</v>
      </c>
    </row>
    <row r="62" spans="8:11" x14ac:dyDescent="0.25">
      <c r="H62" s="5">
        <f t="shared" si="3"/>
        <v>60</v>
      </c>
      <c r="I62">
        <f t="shared" si="1"/>
        <v>-9.8053445250543714</v>
      </c>
      <c r="J62">
        <f t="shared" si="2"/>
        <v>6.4171092309367239</v>
      </c>
      <c r="K62" s="5">
        <f t="shared" si="0"/>
        <v>11.718535409204813</v>
      </c>
    </row>
    <row r="63" spans="8:11" x14ac:dyDescent="0.25">
      <c r="H63" s="5">
        <f t="shared" si="3"/>
        <v>61</v>
      </c>
      <c r="I63">
        <f t="shared" si="1"/>
        <v>-9.9687669338052771</v>
      </c>
      <c r="J63">
        <f t="shared" si="2"/>
        <v>6.5240610514523363</v>
      </c>
      <c r="K63" s="5">
        <f t="shared" si="0"/>
        <v>11.913844332691561</v>
      </c>
    </row>
    <row r="64" spans="8:11" x14ac:dyDescent="0.25">
      <c r="H64" s="5">
        <f t="shared" si="3"/>
        <v>62</v>
      </c>
      <c r="I64">
        <f t="shared" si="1"/>
        <v>-10.132189342556183</v>
      </c>
      <c r="J64">
        <f t="shared" si="2"/>
        <v>6.6310128719679486</v>
      </c>
      <c r="K64" s="5">
        <f t="shared" si="0"/>
        <v>12.109153256178308</v>
      </c>
    </row>
    <row r="65" spans="8:11" x14ac:dyDescent="0.25">
      <c r="H65" s="5">
        <f t="shared" si="3"/>
        <v>63</v>
      </c>
      <c r="I65">
        <f t="shared" si="1"/>
        <v>-10.29561175130709</v>
      </c>
      <c r="J65">
        <f t="shared" si="2"/>
        <v>6.7379646924835601</v>
      </c>
      <c r="K65" s="5">
        <f t="shared" si="0"/>
        <v>12.304462179665055</v>
      </c>
    </row>
    <row r="66" spans="8:11" x14ac:dyDescent="0.25">
      <c r="H66" s="5">
        <f t="shared" si="3"/>
        <v>64</v>
      </c>
      <c r="I66">
        <f t="shared" si="1"/>
        <v>-10.459034160057996</v>
      </c>
      <c r="J66">
        <f t="shared" si="2"/>
        <v>6.8449165129991725</v>
      </c>
      <c r="K66" s="5">
        <f t="shared" ref="K66:K129" si="4">SQRT((I66^2)+(J66^2))</f>
        <v>12.499771103151803</v>
      </c>
    </row>
    <row r="67" spans="8:11" x14ac:dyDescent="0.25">
      <c r="H67" s="5">
        <f t="shared" si="3"/>
        <v>65</v>
      </c>
      <c r="I67">
        <f t="shared" ref="I67:I130" si="5">D$29*($H67/1000)+D$18*(($H67/1000)-($D$7/1000))*(($H67/1000)&gt;($D$7/1000))+D$19*(($H67/1000)-($D$8/1000))*(($H67/1000)&gt;($D$8/1000))+D$20*(($H67/1000)-($D$9/1000))*(($H67/1000)&gt;($D$9/1000))+D$21*(($H67/1000)-($D$10/1000))*(($H67/1000)&gt;($D$10/1000))</f>
        <v>-10.622456568808902</v>
      </c>
      <c r="J67">
        <f t="shared" ref="J67:J130" si="6">E$29*($H67/1000)+E$18*(($H67/1000)-($D$7/1000))*(($H67/1000)&gt;($D$7/1000))+E$19*(($H67/1000)-($D$8/1000))*(($H67/1000)&gt;($D$8/1000))+E$20*(($H67/1000)-($D$9/1000))*(($H67/1000)&gt;($D$9/1000))+E$21*(($H67/1000)-($D$10/1000))*(($H67/1000)&gt;($D$10/1000))</f>
        <v>6.9518683335147848</v>
      </c>
      <c r="K67" s="5">
        <f t="shared" si="4"/>
        <v>12.69508002663855</v>
      </c>
    </row>
    <row r="68" spans="8:11" x14ac:dyDescent="0.25">
      <c r="H68" s="5">
        <f t="shared" ref="H68:H131" si="7">IF((ROW(A66)*$G$2)&lt;=$D$5, ROW(A66)*$G$2,NA())</f>
        <v>66</v>
      </c>
      <c r="I68">
        <f t="shared" si="5"/>
        <v>-10.785878977559809</v>
      </c>
      <c r="J68">
        <f t="shared" si="6"/>
        <v>7.0588201540303972</v>
      </c>
      <c r="K68" s="5">
        <f t="shared" si="4"/>
        <v>12.890388950125297</v>
      </c>
    </row>
    <row r="69" spans="8:11" x14ac:dyDescent="0.25">
      <c r="H69" s="5">
        <f t="shared" si="7"/>
        <v>67</v>
      </c>
      <c r="I69">
        <f t="shared" si="5"/>
        <v>-10.949301386310715</v>
      </c>
      <c r="J69">
        <f t="shared" si="6"/>
        <v>7.1657719745460096</v>
      </c>
      <c r="K69" s="5">
        <f t="shared" si="4"/>
        <v>13.085697873612045</v>
      </c>
    </row>
    <row r="70" spans="8:11" x14ac:dyDescent="0.25">
      <c r="H70" s="5">
        <f t="shared" si="7"/>
        <v>68</v>
      </c>
      <c r="I70">
        <f t="shared" si="5"/>
        <v>-11.112723795061621</v>
      </c>
      <c r="J70">
        <f t="shared" si="6"/>
        <v>7.272723795061621</v>
      </c>
      <c r="K70" s="5">
        <f t="shared" si="4"/>
        <v>13.28100679709879</v>
      </c>
    </row>
    <row r="71" spans="8:11" x14ac:dyDescent="0.25">
      <c r="H71" s="5">
        <f t="shared" si="7"/>
        <v>69</v>
      </c>
      <c r="I71">
        <f t="shared" si="5"/>
        <v>-11.276146203812528</v>
      </c>
      <c r="J71">
        <f t="shared" si="6"/>
        <v>7.3796756155772334</v>
      </c>
      <c r="K71" s="5">
        <f t="shared" si="4"/>
        <v>13.476315720585538</v>
      </c>
    </row>
    <row r="72" spans="8:11" x14ac:dyDescent="0.25">
      <c r="H72" s="5">
        <f t="shared" si="7"/>
        <v>70</v>
      </c>
      <c r="I72">
        <f t="shared" si="5"/>
        <v>-11.439568612563434</v>
      </c>
      <c r="J72">
        <f t="shared" si="6"/>
        <v>7.4866274360928458</v>
      </c>
      <c r="K72" s="5">
        <f t="shared" si="4"/>
        <v>13.671624644072285</v>
      </c>
    </row>
    <row r="73" spans="8:11" x14ac:dyDescent="0.25">
      <c r="H73" s="5">
        <f t="shared" si="7"/>
        <v>71</v>
      </c>
      <c r="I73">
        <f t="shared" si="5"/>
        <v>-11.602991021314338</v>
      </c>
      <c r="J73">
        <f t="shared" si="6"/>
        <v>7.5935792566084563</v>
      </c>
      <c r="K73" s="5">
        <f t="shared" si="4"/>
        <v>13.866933567559029</v>
      </c>
    </row>
    <row r="74" spans="8:11" x14ac:dyDescent="0.25">
      <c r="H74" s="5">
        <f t="shared" si="7"/>
        <v>72</v>
      </c>
      <c r="I74">
        <f t="shared" si="5"/>
        <v>-11.766413430065244</v>
      </c>
      <c r="J74">
        <f t="shared" si="6"/>
        <v>7.7005310771240687</v>
      </c>
      <c r="K74" s="5">
        <f t="shared" si="4"/>
        <v>14.062242491045776</v>
      </c>
    </row>
    <row r="75" spans="8:11" x14ac:dyDescent="0.25">
      <c r="H75" s="5">
        <f t="shared" si="7"/>
        <v>73</v>
      </c>
      <c r="I75">
        <f t="shared" si="5"/>
        <v>-11.929835838816151</v>
      </c>
      <c r="J75">
        <f t="shared" si="6"/>
        <v>7.8074828976396811</v>
      </c>
      <c r="K75" s="5">
        <f t="shared" si="4"/>
        <v>14.257551414532523</v>
      </c>
    </row>
    <row r="76" spans="8:11" x14ac:dyDescent="0.25">
      <c r="H76" s="5">
        <f t="shared" si="7"/>
        <v>74</v>
      </c>
      <c r="I76">
        <f t="shared" si="5"/>
        <v>-12.093258247567057</v>
      </c>
      <c r="J76">
        <f t="shared" si="6"/>
        <v>7.9144347181552925</v>
      </c>
      <c r="K76" s="5">
        <f t="shared" si="4"/>
        <v>14.452860338019271</v>
      </c>
    </row>
    <row r="77" spans="8:11" x14ac:dyDescent="0.25">
      <c r="H77" s="5">
        <f t="shared" si="7"/>
        <v>75</v>
      </c>
      <c r="I77">
        <f t="shared" si="5"/>
        <v>-12.256680656317963</v>
      </c>
      <c r="J77">
        <f t="shared" si="6"/>
        <v>8.0213865386709049</v>
      </c>
      <c r="K77" s="5">
        <f t="shared" si="4"/>
        <v>14.648169261506018</v>
      </c>
    </row>
    <row r="78" spans="8:11" x14ac:dyDescent="0.25">
      <c r="H78" s="5">
        <f t="shared" si="7"/>
        <v>76</v>
      </c>
      <c r="I78">
        <f t="shared" si="5"/>
        <v>-12.42010306506887</v>
      </c>
      <c r="J78">
        <f t="shared" si="6"/>
        <v>8.1283383591865164</v>
      </c>
      <c r="K78" s="5">
        <f t="shared" si="4"/>
        <v>14.843478184992765</v>
      </c>
    </row>
    <row r="79" spans="8:11" x14ac:dyDescent="0.25">
      <c r="H79" s="5">
        <f t="shared" si="7"/>
        <v>77</v>
      </c>
      <c r="I79">
        <f t="shared" si="5"/>
        <v>-12.583525473819776</v>
      </c>
      <c r="J79">
        <f t="shared" si="6"/>
        <v>8.2352901797021296</v>
      </c>
      <c r="K79" s="5">
        <f t="shared" si="4"/>
        <v>15.038787108479513</v>
      </c>
    </row>
    <row r="80" spans="8:11" x14ac:dyDescent="0.25">
      <c r="H80" s="5">
        <f t="shared" si="7"/>
        <v>78</v>
      </c>
      <c r="I80">
        <f t="shared" si="5"/>
        <v>-12.746947882570682</v>
      </c>
      <c r="J80">
        <f t="shared" si="6"/>
        <v>8.3422420002177411</v>
      </c>
      <c r="K80" s="5">
        <f t="shared" si="4"/>
        <v>15.234096031966258</v>
      </c>
    </row>
    <row r="81" spans="7:11" x14ac:dyDescent="0.25">
      <c r="H81" s="5">
        <f t="shared" si="7"/>
        <v>79</v>
      </c>
      <c r="I81">
        <f t="shared" si="5"/>
        <v>-12.910370291321589</v>
      </c>
      <c r="J81">
        <f t="shared" si="6"/>
        <v>8.4491938207333543</v>
      </c>
      <c r="K81" s="5">
        <f t="shared" si="4"/>
        <v>15.429404955453007</v>
      </c>
    </row>
    <row r="82" spans="7:11" x14ac:dyDescent="0.25">
      <c r="H82" s="5">
        <f t="shared" si="7"/>
        <v>80</v>
      </c>
      <c r="I82">
        <f t="shared" si="5"/>
        <v>-13.073792700072495</v>
      </c>
      <c r="J82">
        <f t="shared" si="6"/>
        <v>8.5561456412489658</v>
      </c>
      <c r="K82" s="5">
        <f t="shared" si="4"/>
        <v>15.624713878939753</v>
      </c>
    </row>
    <row r="83" spans="7:11" x14ac:dyDescent="0.25">
      <c r="H83" s="5">
        <f t="shared" si="7"/>
        <v>81</v>
      </c>
      <c r="I83">
        <f t="shared" si="5"/>
        <v>-13.237215108823401</v>
      </c>
      <c r="J83">
        <f t="shared" si="6"/>
        <v>8.6630974617645773</v>
      </c>
      <c r="K83" s="5">
        <f t="shared" si="4"/>
        <v>15.820022802426498</v>
      </c>
    </row>
    <row r="84" spans="7:11" x14ac:dyDescent="0.25">
      <c r="H84" s="5">
        <f t="shared" si="7"/>
        <v>82</v>
      </c>
      <c r="I84">
        <f t="shared" si="5"/>
        <v>-13.400637517574308</v>
      </c>
      <c r="J84">
        <f t="shared" si="6"/>
        <v>8.7700492822801905</v>
      </c>
      <c r="K84" s="5">
        <f t="shared" si="4"/>
        <v>16.015331725913249</v>
      </c>
    </row>
    <row r="85" spans="7:11" x14ac:dyDescent="0.25">
      <c r="H85" s="5">
        <f t="shared" si="7"/>
        <v>83</v>
      </c>
      <c r="I85">
        <f t="shared" si="5"/>
        <v>-13.564059926325214</v>
      </c>
      <c r="J85">
        <f t="shared" si="6"/>
        <v>8.877001102795802</v>
      </c>
      <c r="K85" s="5">
        <f t="shared" si="4"/>
        <v>16.210640649399991</v>
      </c>
    </row>
    <row r="86" spans="7:11" x14ac:dyDescent="0.25">
      <c r="H86" s="5">
        <f t="shared" si="7"/>
        <v>84</v>
      </c>
      <c r="I86">
        <f t="shared" si="5"/>
        <v>-13.72748233507612</v>
      </c>
      <c r="J86">
        <f t="shared" si="6"/>
        <v>8.9839529233114153</v>
      </c>
      <c r="K86" s="5">
        <f t="shared" si="4"/>
        <v>16.40594957288674</v>
      </c>
    </row>
    <row r="87" spans="7:11" x14ac:dyDescent="0.25">
      <c r="G87" t="s">
        <v>36</v>
      </c>
      <c r="H87" s="5">
        <f t="shared" si="7"/>
        <v>85</v>
      </c>
      <c r="I87">
        <f t="shared" si="5"/>
        <v>-13.890904743827027</v>
      </c>
      <c r="J87">
        <f t="shared" si="6"/>
        <v>9.0909047438270267</v>
      </c>
      <c r="K87" s="5">
        <f t="shared" si="4"/>
        <v>16.601258496373489</v>
      </c>
    </row>
    <row r="88" spans="7:11" x14ac:dyDescent="0.25">
      <c r="H88" s="5">
        <f t="shared" si="7"/>
        <v>86</v>
      </c>
      <c r="I88">
        <f>D$29*($H88/1000)+D$18*(($H88/1000)-($D$7/1000))*(($H88/1000)&gt;($D$7/1000))+D$19*(($H88/1000)-($D$8/1000))*(($H88/1000)&gt;($D$8/1000))+D$20*(($H88/1000)-($D$9/1000))*(($H88/1000)&gt;($D$9/1000))+D$21*(($H88/1000)-($D$10/1000))*(($H88/1000)&gt;($D$10/1000))</f>
        <v>-14.054327152577931</v>
      </c>
      <c r="J88">
        <f t="shared" si="6"/>
        <v>9.1978565643426364</v>
      </c>
      <c r="K88" s="5">
        <f t="shared" si="4"/>
        <v>16.796567419860231</v>
      </c>
    </row>
    <row r="89" spans="7:11" x14ac:dyDescent="0.25">
      <c r="H89" s="5">
        <f t="shared" si="7"/>
        <v>87</v>
      </c>
      <c r="I89">
        <f t="shared" si="5"/>
        <v>-14.217749561328837</v>
      </c>
      <c r="J89">
        <f t="shared" si="6"/>
        <v>9.3048083848582497</v>
      </c>
      <c r="K89" s="5">
        <f t="shared" si="4"/>
        <v>16.991876343346981</v>
      </c>
    </row>
    <row r="90" spans="7:11" x14ac:dyDescent="0.25">
      <c r="H90" s="5">
        <f t="shared" si="7"/>
        <v>88</v>
      </c>
      <c r="I90">
        <f t="shared" si="5"/>
        <v>-14.381171970079743</v>
      </c>
      <c r="J90">
        <f t="shared" si="6"/>
        <v>9.4117602053738612</v>
      </c>
      <c r="K90" s="5">
        <f t="shared" si="4"/>
        <v>17.187185266833726</v>
      </c>
    </row>
    <row r="91" spans="7:11" x14ac:dyDescent="0.25">
      <c r="H91" s="5">
        <f t="shared" si="7"/>
        <v>89</v>
      </c>
      <c r="I91">
        <f t="shared" si="5"/>
        <v>-14.54459437883065</v>
      </c>
      <c r="J91">
        <f t="shared" si="6"/>
        <v>9.5187120258894744</v>
      </c>
      <c r="K91" s="5">
        <f t="shared" si="4"/>
        <v>17.382494190320475</v>
      </c>
    </row>
    <row r="92" spans="7:11" x14ac:dyDescent="0.25">
      <c r="H92" s="5">
        <f t="shared" si="7"/>
        <v>90</v>
      </c>
      <c r="I92">
        <f t="shared" si="5"/>
        <v>-14.708016787581556</v>
      </c>
      <c r="J92">
        <f t="shared" si="6"/>
        <v>9.6256638464050859</v>
      </c>
      <c r="K92" s="5">
        <f t="shared" si="4"/>
        <v>17.577803113807221</v>
      </c>
    </row>
    <row r="93" spans="7:11" x14ac:dyDescent="0.25">
      <c r="H93" s="5">
        <f t="shared" si="7"/>
        <v>91</v>
      </c>
      <c r="I93">
        <f t="shared" si="5"/>
        <v>-14.871439196332462</v>
      </c>
      <c r="J93">
        <f t="shared" si="6"/>
        <v>9.7326156669206974</v>
      </c>
      <c r="K93" s="5">
        <f t="shared" si="4"/>
        <v>17.773112037293966</v>
      </c>
    </row>
    <row r="94" spans="7:11" x14ac:dyDescent="0.25">
      <c r="H94" s="5">
        <f t="shared" si="7"/>
        <v>92</v>
      </c>
      <c r="I94">
        <f t="shared" si="5"/>
        <v>-15.034861605083369</v>
      </c>
      <c r="J94">
        <f t="shared" si="6"/>
        <v>9.8395674874363106</v>
      </c>
      <c r="K94" s="5">
        <f t="shared" si="4"/>
        <v>17.968420960780715</v>
      </c>
    </row>
    <row r="95" spans="7:11" x14ac:dyDescent="0.25">
      <c r="H95" s="5">
        <f t="shared" si="7"/>
        <v>93</v>
      </c>
      <c r="I95">
        <f t="shared" si="5"/>
        <v>-15.198284013834275</v>
      </c>
      <c r="J95">
        <f t="shared" si="6"/>
        <v>9.9465193079519221</v>
      </c>
      <c r="K95" s="5">
        <f t="shared" si="4"/>
        <v>18.163729884267461</v>
      </c>
    </row>
    <row r="96" spans="7:11" x14ac:dyDescent="0.25">
      <c r="H96" s="5">
        <f t="shared" si="7"/>
        <v>94</v>
      </c>
      <c r="I96">
        <f t="shared" si="5"/>
        <v>-15.361706422585181</v>
      </c>
      <c r="J96">
        <f t="shared" si="6"/>
        <v>10.053471128467535</v>
      </c>
      <c r="K96" s="5">
        <f t="shared" si="4"/>
        <v>18.35903880775421</v>
      </c>
    </row>
    <row r="97" spans="8:11" x14ac:dyDescent="0.25">
      <c r="H97" s="5">
        <f t="shared" si="7"/>
        <v>95</v>
      </c>
      <c r="I97">
        <f t="shared" si="5"/>
        <v>-15.525128831336088</v>
      </c>
      <c r="J97">
        <f t="shared" si="6"/>
        <v>10.160422948983147</v>
      </c>
      <c r="K97" s="5">
        <f t="shared" si="4"/>
        <v>18.554347731240956</v>
      </c>
    </row>
    <row r="98" spans="8:11" x14ac:dyDescent="0.25">
      <c r="H98" s="5">
        <f t="shared" si="7"/>
        <v>96</v>
      </c>
      <c r="I98">
        <f t="shared" si="5"/>
        <v>-15.688551240086994</v>
      </c>
      <c r="J98">
        <f t="shared" si="6"/>
        <v>10.267374769498758</v>
      </c>
      <c r="K98" s="5">
        <f t="shared" si="4"/>
        <v>18.749656654727701</v>
      </c>
    </row>
    <row r="99" spans="8:11" x14ac:dyDescent="0.25">
      <c r="H99" s="5">
        <f t="shared" si="7"/>
        <v>97</v>
      </c>
      <c r="I99">
        <f t="shared" si="5"/>
        <v>-15.8519736488379</v>
      </c>
      <c r="J99">
        <f t="shared" si="6"/>
        <v>10.374326590014372</v>
      </c>
      <c r="K99" s="5">
        <f t="shared" si="4"/>
        <v>18.94496557821445</v>
      </c>
    </row>
    <row r="100" spans="8:11" x14ac:dyDescent="0.25">
      <c r="H100" s="5">
        <f t="shared" si="7"/>
        <v>98</v>
      </c>
      <c r="I100">
        <f t="shared" si="5"/>
        <v>-16.015396057588806</v>
      </c>
      <c r="J100">
        <f t="shared" si="6"/>
        <v>10.481278410529983</v>
      </c>
      <c r="K100" s="5">
        <f t="shared" si="4"/>
        <v>19.140274501701196</v>
      </c>
    </row>
    <row r="101" spans="8:11" x14ac:dyDescent="0.25">
      <c r="H101" s="5">
        <f t="shared" si="7"/>
        <v>99</v>
      </c>
      <c r="I101">
        <f t="shared" si="5"/>
        <v>-16.178818466339713</v>
      </c>
      <c r="J101">
        <f t="shared" si="6"/>
        <v>10.588230231045596</v>
      </c>
      <c r="K101" s="5">
        <f t="shared" si="4"/>
        <v>19.335583425187945</v>
      </c>
    </row>
    <row r="102" spans="8:11" x14ac:dyDescent="0.25">
      <c r="H102" s="5">
        <f t="shared" si="7"/>
        <v>100</v>
      </c>
      <c r="I102">
        <f t="shared" si="5"/>
        <v>-16.342240875090621</v>
      </c>
      <c r="J102">
        <f t="shared" si="6"/>
        <v>10.695182051561208</v>
      </c>
      <c r="K102" s="5">
        <f t="shared" si="4"/>
        <v>19.530892348674694</v>
      </c>
    </row>
    <row r="103" spans="8:11" x14ac:dyDescent="0.25">
      <c r="H103" s="5">
        <f t="shared" si="7"/>
        <v>101</v>
      </c>
      <c r="I103">
        <f t="shared" si="5"/>
        <v>-16.505663283841525</v>
      </c>
      <c r="J103">
        <f t="shared" si="6"/>
        <v>10.802133872076819</v>
      </c>
      <c r="K103" s="5">
        <f t="shared" si="4"/>
        <v>19.726201272161436</v>
      </c>
    </row>
    <row r="104" spans="8:11" x14ac:dyDescent="0.25">
      <c r="H104" s="5">
        <f t="shared" si="7"/>
        <v>102</v>
      </c>
      <c r="I104">
        <f t="shared" si="5"/>
        <v>-16.669085692592429</v>
      </c>
      <c r="J104">
        <f t="shared" si="6"/>
        <v>10.909085692592431</v>
      </c>
      <c r="K104" s="5">
        <f t="shared" si="4"/>
        <v>19.921510195648182</v>
      </c>
    </row>
    <row r="105" spans="8:11" x14ac:dyDescent="0.25">
      <c r="H105" s="5">
        <f t="shared" si="7"/>
        <v>103</v>
      </c>
      <c r="I105">
        <f t="shared" si="5"/>
        <v>-16.832508101343336</v>
      </c>
      <c r="J105">
        <f t="shared" si="6"/>
        <v>11.016037513108042</v>
      </c>
      <c r="K105" s="5">
        <f t="shared" si="4"/>
        <v>20.116819119134931</v>
      </c>
    </row>
    <row r="106" spans="8:11" x14ac:dyDescent="0.25">
      <c r="H106" s="5">
        <f t="shared" si="7"/>
        <v>104</v>
      </c>
      <c r="I106">
        <f t="shared" si="5"/>
        <v>-16.995930510094244</v>
      </c>
      <c r="J106">
        <f t="shared" si="6"/>
        <v>11.122989333623655</v>
      </c>
      <c r="K106" s="5">
        <f t="shared" si="4"/>
        <v>20.31212804262168</v>
      </c>
    </row>
    <row r="107" spans="8:11" x14ac:dyDescent="0.25">
      <c r="H107" s="5">
        <f t="shared" si="7"/>
        <v>105</v>
      </c>
      <c r="I107">
        <f t="shared" si="5"/>
        <v>-17.159352918845148</v>
      </c>
      <c r="J107">
        <f t="shared" si="6"/>
        <v>11.229941154139267</v>
      </c>
      <c r="K107" s="5">
        <f t="shared" si="4"/>
        <v>20.507436966108425</v>
      </c>
    </row>
    <row r="108" spans="8:11" x14ac:dyDescent="0.25">
      <c r="H108" s="5">
        <f t="shared" si="7"/>
        <v>106</v>
      </c>
      <c r="I108">
        <f t="shared" si="5"/>
        <v>-17.322775327596055</v>
      </c>
      <c r="J108">
        <f t="shared" si="6"/>
        <v>11.336892974654878</v>
      </c>
      <c r="K108" s="5">
        <f t="shared" si="4"/>
        <v>20.702745889595171</v>
      </c>
    </row>
    <row r="109" spans="8:11" x14ac:dyDescent="0.25">
      <c r="H109" s="5">
        <f t="shared" si="7"/>
        <v>107</v>
      </c>
      <c r="I109">
        <f t="shared" si="5"/>
        <v>-17.486197736346963</v>
      </c>
      <c r="J109">
        <f t="shared" si="6"/>
        <v>11.443844795170492</v>
      </c>
      <c r="K109" s="5">
        <f t="shared" si="4"/>
        <v>20.89805481308192</v>
      </c>
    </row>
    <row r="110" spans="8:11" x14ac:dyDescent="0.25">
      <c r="H110" s="5">
        <f t="shared" si="7"/>
        <v>108</v>
      </c>
      <c r="I110">
        <f t="shared" si="5"/>
        <v>-17.649620145097867</v>
      </c>
      <c r="J110">
        <f t="shared" si="6"/>
        <v>11.550796615686103</v>
      </c>
      <c r="K110" s="5">
        <f t="shared" si="4"/>
        <v>21.093363736568666</v>
      </c>
    </row>
    <row r="111" spans="8:11" x14ac:dyDescent="0.25">
      <c r="H111" s="5">
        <f t="shared" si="7"/>
        <v>109</v>
      </c>
      <c r="I111">
        <f t="shared" si="5"/>
        <v>-17.813042553848774</v>
      </c>
      <c r="J111">
        <f t="shared" si="6"/>
        <v>11.657748436201716</v>
      </c>
      <c r="K111" s="5">
        <f t="shared" si="4"/>
        <v>21.288672660055415</v>
      </c>
    </row>
    <row r="112" spans="8:11" x14ac:dyDescent="0.25">
      <c r="H112" s="5">
        <f t="shared" si="7"/>
        <v>110</v>
      </c>
      <c r="I112">
        <f t="shared" si="5"/>
        <v>-17.976464962599682</v>
      </c>
      <c r="J112">
        <f t="shared" si="6"/>
        <v>11.764700256717328</v>
      </c>
      <c r="K112" s="5">
        <f t="shared" si="4"/>
        <v>21.48398158354216</v>
      </c>
    </row>
    <row r="113" spans="8:11" x14ac:dyDescent="0.25">
      <c r="H113" s="5">
        <f t="shared" si="7"/>
        <v>111</v>
      </c>
      <c r="I113">
        <f t="shared" si="5"/>
        <v>-18.139887371350586</v>
      </c>
      <c r="J113">
        <f t="shared" si="6"/>
        <v>11.871652077232939</v>
      </c>
      <c r="K113" s="5">
        <f t="shared" si="4"/>
        <v>21.679290507028906</v>
      </c>
    </row>
    <row r="114" spans="8:11" x14ac:dyDescent="0.25">
      <c r="H114" s="5">
        <f t="shared" si="7"/>
        <v>112</v>
      </c>
      <c r="I114">
        <f t="shared" si="5"/>
        <v>-18.303309780101493</v>
      </c>
      <c r="J114">
        <f t="shared" si="6"/>
        <v>11.978603897748552</v>
      </c>
      <c r="K114" s="5">
        <f t="shared" si="4"/>
        <v>21.874599430515655</v>
      </c>
    </row>
    <row r="115" spans="8:11" x14ac:dyDescent="0.25">
      <c r="H115" s="5">
        <f t="shared" si="7"/>
        <v>113</v>
      </c>
      <c r="I115">
        <f t="shared" si="5"/>
        <v>-18.466732188852401</v>
      </c>
      <c r="J115">
        <f t="shared" si="6"/>
        <v>12.085555718264164</v>
      </c>
      <c r="K115" s="5">
        <f t="shared" si="4"/>
        <v>22.069908354002401</v>
      </c>
    </row>
    <row r="116" spans="8:11" x14ac:dyDescent="0.25">
      <c r="H116" s="5">
        <f t="shared" si="7"/>
        <v>114</v>
      </c>
      <c r="I116">
        <f t="shared" si="5"/>
        <v>-18.630154597603305</v>
      </c>
      <c r="J116">
        <f t="shared" si="6"/>
        <v>12.192507538779777</v>
      </c>
      <c r="K116" s="5">
        <f t="shared" si="4"/>
        <v>22.265217277489146</v>
      </c>
    </row>
    <row r="117" spans="8:11" x14ac:dyDescent="0.25">
      <c r="H117" s="5">
        <f t="shared" si="7"/>
        <v>115</v>
      </c>
      <c r="I117">
        <f t="shared" si="5"/>
        <v>-18.793577006354212</v>
      </c>
      <c r="J117">
        <f t="shared" si="6"/>
        <v>12.299459359295389</v>
      </c>
      <c r="K117" s="5">
        <f t="shared" si="4"/>
        <v>22.460526200975895</v>
      </c>
    </row>
    <row r="118" spans="8:11" x14ac:dyDescent="0.25">
      <c r="H118" s="5">
        <f t="shared" si="7"/>
        <v>116</v>
      </c>
      <c r="I118">
        <f t="shared" si="5"/>
        <v>-18.95699941510512</v>
      </c>
      <c r="J118">
        <f t="shared" si="6"/>
        <v>12.406411179811</v>
      </c>
      <c r="K118" s="5">
        <f t="shared" si="4"/>
        <v>22.655835124462644</v>
      </c>
    </row>
    <row r="119" spans="8:11" x14ac:dyDescent="0.25">
      <c r="H119" s="5">
        <f t="shared" si="7"/>
        <v>117</v>
      </c>
      <c r="I119">
        <f t="shared" si="5"/>
        <v>-19.120421823856024</v>
      </c>
      <c r="J119">
        <f t="shared" si="6"/>
        <v>12.513363000326613</v>
      </c>
      <c r="K119" s="5">
        <f t="shared" si="4"/>
        <v>22.85114404794939</v>
      </c>
    </row>
    <row r="120" spans="8:11" x14ac:dyDescent="0.25">
      <c r="H120" s="5">
        <f t="shared" si="7"/>
        <v>118</v>
      </c>
      <c r="I120">
        <f t="shared" si="5"/>
        <v>-19.283844232606928</v>
      </c>
      <c r="J120">
        <f t="shared" si="6"/>
        <v>12.620314820842223</v>
      </c>
      <c r="K120" s="5">
        <f t="shared" si="4"/>
        <v>23.046452971436135</v>
      </c>
    </row>
    <row r="121" spans="8:11" x14ac:dyDescent="0.25">
      <c r="H121" s="5">
        <f t="shared" si="7"/>
        <v>119</v>
      </c>
      <c r="I121">
        <f t="shared" si="5"/>
        <v>-19.447266641357835</v>
      </c>
      <c r="J121">
        <f t="shared" si="6"/>
        <v>12.727266641357836</v>
      </c>
      <c r="K121" s="5">
        <f t="shared" si="4"/>
        <v>23.241761894922881</v>
      </c>
    </row>
    <row r="122" spans="8:11" x14ac:dyDescent="0.25">
      <c r="H122" s="5">
        <f t="shared" si="7"/>
        <v>120</v>
      </c>
      <c r="I122">
        <f t="shared" si="5"/>
        <v>-19.610689050108743</v>
      </c>
      <c r="J122">
        <f t="shared" si="6"/>
        <v>12.834218461873448</v>
      </c>
      <c r="K122" s="5">
        <f t="shared" si="4"/>
        <v>23.437070818409627</v>
      </c>
    </row>
    <row r="123" spans="8:11" x14ac:dyDescent="0.25">
      <c r="H123" s="5">
        <f t="shared" si="7"/>
        <v>121</v>
      </c>
      <c r="I123">
        <f t="shared" si="5"/>
        <v>-19.774111458859647</v>
      </c>
      <c r="J123">
        <f t="shared" si="6"/>
        <v>12.941170282389059</v>
      </c>
      <c r="K123" s="5">
        <f t="shared" si="4"/>
        <v>23.632379741896372</v>
      </c>
    </row>
    <row r="124" spans="8:11" x14ac:dyDescent="0.25">
      <c r="H124" s="5">
        <f t="shared" si="7"/>
        <v>122</v>
      </c>
      <c r="I124">
        <f t="shared" si="5"/>
        <v>-19.937533867610554</v>
      </c>
      <c r="J124">
        <f t="shared" si="6"/>
        <v>13.048122102904673</v>
      </c>
      <c r="K124" s="5">
        <f t="shared" si="4"/>
        <v>23.827688665383121</v>
      </c>
    </row>
    <row r="125" spans="8:11" x14ac:dyDescent="0.25">
      <c r="H125" s="5">
        <f t="shared" si="7"/>
        <v>123</v>
      </c>
      <c r="I125">
        <f t="shared" si="5"/>
        <v>-20.100956276361462</v>
      </c>
      <c r="J125">
        <f t="shared" si="6"/>
        <v>13.155073923420284</v>
      </c>
      <c r="K125" s="5">
        <f t="shared" si="4"/>
        <v>24.02299758886987</v>
      </c>
    </row>
    <row r="126" spans="8:11" x14ac:dyDescent="0.25">
      <c r="H126" s="5">
        <f t="shared" si="7"/>
        <v>124</v>
      </c>
      <c r="I126">
        <f t="shared" si="5"/>
        <v>-20.264378685112366</v>
      </c>
      <c r="J126">
        <f t="shared" si="6"/>
        <v>13.262025743935897</v>
      </c>
      <c r="K126" s="5">
        <f t="shared" si="4"/>
        <v>24.218306512356616</v>
      </c>
    </row>
    <row r="127" spans="8:11" x14ac:dyDescent="0.25">
      <c r="H127" s="5">
        <f t="shared" si="7"/>
        <v>125</v>
      </c>
      <c r="I127">
        <f t="shared" si="5"/>
        <v>-20.427801093863273</v>
      </c>
      <c r="J127">
        <f t="shared" si="6"/>
        <v>13.368977564451509</v>
      </c>
      <c r="K127" s="5">
        <f t="shared" si="4"/>
        <v>24.413615435843361</v>
      </c>
    </row>
    <row r="128" spans="8:11" x14ac:dyDescent="0.25">
      <c r="H128" s="5">
        <f t="shared" si="7"/>
        <v>126</v>
      </c>
      <c r="I128">
        <f t="shared" si="5"/>
        <v>-20.591223502614181</v>
      </c>
      <c r="J128">
        <f t="shared" si="6"/>
        <v>13.47592938496712</v>
      </c>
      <c r="K128" s="5">
        <f t="shared" si="4"/>
        <v>24.608924359330111</v>
      </c>
    </row>
    <row r="129" spans="8:11" x14ac:dyDescent="0.25">
      <c r="H129" s="5">
        <f t="shared" si="7"/>
        <v>127</v>
      </c>
      <c r="I129">
        <f t="shared" si="5"/>
        <v>-20.754645911365085</v>
      </c>
      <c r="J129">
        <f t="shared" si="6"/>
        <v>13.582881205482733</v>
      </c>
      <c r="K129" s="5">
        <f t="shared" si="4"/>
        <v>24.804233282816856</v>
      </c>
    </row>
    <row r="130" spans="8:11" x14ac:dyDescent="0.25">
      <c r="H130" s="5">
        <f t="shared" si="7"/>
        <v>128</v>
      </c>
      <c r="I130">
        <f t="shared" si="5"/>
        <v>-20.918068320115992</v>
      </c>
      <c r="J130">
        <f t="shared" si="6"/>
        <v>13.689833025998345</v>
      </c>
      <c r="K130" s="5">
        <f t="shared" ref="K130:K193" si="8">SQRT((I130^2)+(J130^2))</f>
        <v>24.999542206303605</v>
      </c>
    </row>
    <row r="131" spans="8:11" x14ac:dyDescent="0.25">
      <c r="H131" s="5">
        <f t="shared" si="7"/>
        <v>129</v>
      </c>
      <c r="I131">
        <f t="shared" ref="I131:I194" si="9">D$29*($H131/1000)+D$18*(($H131/1000)-($D$7/1000))*(($H131/1000)&gt;($D$7/1000))+D$19*(($H131/1000)-($D$8/1000))*(($H131/1000)&gt;($D$8/1000))+D$20*(($H131/1000)-($D$9/1000))*(($H131/1000)&gt;($D$9/1000))+D$21*(($H131/1000)-($D$10/1000))*(($H131/1000)&gt;($D$10/1000))</f>
        <v>-21.0814907288669</v>
      </c>
      <c r="J131">
        <f t="shared" ref="J131:J194" si="10">E$29*($H131/1000)+E$18*(($H131/1000)-($D$7/1000))*(($H131/1000)&gt;($D$7/1000))+E$19*(($H131/1000)-($D$8/1000))*(($H131/1000)&gt;($D$8/1000))+E$20*(($H131/1000)-($D$9/1000))*(($H131/1000)&gt;($D$9/1000))+E$21*(($H131/1000)-($D$10/1000))*(($H131/1000)&gt;($D$10/1000))</f>
        <v>13.796784846513958</v>
      </c>
      <c r="K131" s="5">
        <f t="shared" si="8"/>
        <v>25.194851129790354</v>
      </c>
    </row>
    <row r="132" spans="8:11" x14ac:dyDescent="0.25">
      <c r="H132" s="5">
        <f t="shared" ref="H132:H195" si="11">IF((ROW(A130)*$G$2)&lt;=$D$5, ROW(A130)*$G$2,NA())</f>
        <v>130</v>
      </c>
      <c r="I132">
        <f t="shared" si="9"/>
        <v>-21.244913137617804</v>
      </c>
      <c r="J132">
        <f t="shared" si="10"/>
        <v>13.90373666702957</v>
      </c>
      <c r="K132" s="5">
        <f t="shared" si="8"/>
        <v>25.3901600532771</v>
      </c>
    </row>
    <row r="133" spans="8:11" x14ac:dyDescent="0.25">
      <c r="H133" s="5">
        <f t="shared" si="11"/>
        <v>131</v>
      </c>
      <c r="I133">
        <f t="shared" si="9"/>
        <v>-21.408335546368711</v>
      </c>
      <c r="J133">
        <f t="shared" si="10"/>
        <v>14.010688487545181</v>
      </c>
      <c r="K133" s="5">
        <f t="shared" si="8"/>
        <v>25.585468976763845</v>
      </c>
    </row>
    <row r="134" spans="8:11" x14ac:dyDescent="0.25">
      <c r="H134" s="5">
        <f t="shared" si="11"/>
        <v>132</v>
      </c>
      <c r="I134">
        <f t="shared" si="9"/>
        <v>-21.571757955119619</v>
      </c>
      <c r="J134">
        <f t="shared" si="10"/>
        <v>14.117640308060794</v>
      </c>
      <c r="K134" s="5">
        <f t="shared" si="8"/>
        <v>25.780777900250595</v>
      </c>
    </row>
    <row r="135" spans="8:11" x14ac:dyDescent="0.25">
      <c r="H135" s="5">
        <f t="shared" si="11"/>
        <v>133</v>
      </c>
      <c r="I135">
        <f t="shared" si="9"/>
        <v>-21.735180363870523</v>
      </c>
      <c r="J135">
        <f t="shared" si="10"/>
        <v>14.224592128576406</v>
      </c>
      <c r="K135" s="5">
        <f t="shared" si="8"/>
        <v>25.97608682373734</v>
      </c>
    </row>
    <row r="136" spans="8:11" x14ac:dyDescent="0.25">
      <c r="H136" s="5">
        <f t="shared" si="11"/>
        <v>134</v>
      </c>
      <c r="I136">
        <f t="shared" si="9"/>
        <v>-21.89860277262143</v>
      </c>
      <c r="J136">
        <f t="shared" si="10"/>
        <v>14.331543949092019</v>
      </c>
      <c r="K136" s="5">
        <f t="shared" si="8"/>
        <v>26.171395747224089</v>
      </c>
    </row>
    <row r="137" spans="8:11" x14ac:dyDescent="0.25">
      <c r="H137" s="5">
        <f t="shared" si="11"/>
        <v>135</v>
      </c>
      <c r="I137">
        <f t="shared" si="9"/>
        <v>-22.062025181372338</v>
      </c>
      <c r="J137">
        <f t="shared" si="10"/>
        <v>14.438495769607631</v>
      </c>
      <c r="K137" s="5">
        <f t="shared" si="8"/>
        <v>26.366704670710835</v>
      </c>
    </row>
    <row r="138" spans="8:11" x14ac:dyDescent="0.25">
      <c r="H138" s="5">
        <f t="shared" si="11"/>
        <v>136</v>
      </c>
      <c r="I138">
        <f t="shared" si="9"/>
        <v>-22.225447590123242</v>
      </c>
      <c r="J138">
        <f t="shared" si="10"/>
        <v>14.545447590123242</v>
      </c>
      <c r="K138" s="5">
        <f t="shared" si="8"/>
        <v>26.56201359419758</v>
      </c>
    </row>
    <row r="139" spans="8:11" x14ac:dyDescent="0.25">
      <c r="H139" s="5">
        <f t="shared" si="11"/>
        <v>137</v>
      </c>
      <c r="I139">
        <f t="shared" si="9"/>
        <v>-22.388869998874149</v>
      </c>
      <c r="J139">
        <f t="shared" si="10"/>
        <v>14.652399410638855</v>
      </c>
      <c r="K139" s="5">
        <f t="shared" si="8"/>
        <v>26.757322517684329</v>
      </c>
    </row>
    <row r="140" spans="8:11" x14ac:dyDescent="0.25">
      <c r="H140" s="5">
        <f t="shared" si="11"/>
        <v>138</v>
      </c>
      <c r="I140">
        <f t="shared" si="9"/>
        <v>-22.552292407625057</v>
      </c>
      <c r="J140">
        <f t="shared" si="10"/>
        <v>14.759351231154467</v>
      </c>
      <c r="K140" s="5">
        <f t="shared" si="8"/>
        <v>26.952631441171075</v>
      </c>
    </row>
    <row r="141" spans="8:11" x14ac:dyDescent="0.25">
      <c r="H141" s="5">
        <f t="shared" si="11"/>
        <v>139</v>
      </c>
      <c r="I141">
        <f t="shared" si="9"/>
        <v>-22.715714816375961</v>
      </c>
      <c r="J141">
        <f t="shared" si="10"/>
        <v>14.866303051670078</v>
      </c>
      <c r="K141" s="5">
        <f t="shared" si="8"/>
        <v>27.147940364657821</v>
      </c>
    </row>
    <row r="142" spans="8:11" x14ac:dyDescent="0.25">
      <c r="H142" s="5">
        <f t="shared" si="11"/>
        <v>140</v>
      </c>
      <c r="I142">
        <f t="shared" si="9"/>
        <v>-22.879137225126868</v>
      </c>
      <c r="J142">
        <f t="shared" si="10"/>
        <v>14.973254872185692</v>
      </c>
      <c r="K142" s="5">
        <f t="shared" si="8"/>
        <v>27.34324928814457</v>
      </c>
    </row>
    <row r="143" spans="8:11" x14ac:dyDescent="0.25">
      <c r="H143" s="5">
        <f t="shared" si="11"/>
        <v>141</v>
      </c>
      <c r="I143">
        <f t="shared" si="9"/>
        <v>-23.042559633877769</v>
      </c>
      <c r="J143">
        <f t="shared" si="10"/>
        <v>15.080206692701301</v>
      </c>
      <c r="K143" s="5">
        <f t="shared" si="8"/>
        <v>27.538558211631312</v>
      </c>
    </row>
    <row r="144" spans="8:11" x14ac:dyDescent="0.25">
      <c r="H144" s="5">
        <f t="shared" si="11"/>
        <v>142</v>
      </c>
      <c r="I144">
        <f t="shared" si="9"/>
        <v>-23.205982042628676</v>
      </c>
      <c r="J144">
        <f t="shared" si="10"/>
        <v>15.187158513216913</v>
      </c>
      <c r="K144" s="5">
        <f t="shared" si="8"/>
        <v>27.733867135118057</v>
      </c>
    </row>
    <row r="145" spans="8:11" x14ac:dyDescent="0.25">
      <c r="H145" s="5">
        <f t="shared" si="11"/>
        <v>143</v>
      </c>
      <c r="I145">
        <f t="shared" si="9"/>
        <v>-23.369404451379584</v>
      </c>
      <c r="J145">
        <f t="shared" si="10"/>
        <v>15.294110333732524</v>
      </c>
      <c r="K145" s="5">
        <f t="shared" si="8"/>
        <v>27.929176058604806</v>
      </c>
    </row>
    <row r="146" spans="8:11" x14ac:dyDescent="0.25">
      <c r="H146" s="5">
        <f t="shared" si="11"/>
        <v>144</v>
      </c>
      <c r="I146">
        <f t="shared" si="9"/>
        <v>-23.532826860130488</v>
      </c>
      <c r="J146">
        <f t="shared" si="10"/>
        <v>15.401062154248137</v>
      </c>
      <c r="K146" s="5">
        <f t="shared" si="8"/>
        <v>28.124484982091552</v>
      </c>
    </row>
    <row r="147" spans="8:11" x14ac:dyDescent="0.25">
      <c r="H147" s="5">
        <f t="shared" si="11"/>
        <v>145</v>
      </c>
      <c r="I147">
        <f t="shared" si="9"/>
        <v>-23.696249268881395</v>
      </c>
      <c r="J147">
        <f t="shared" si="10"/>
        <v>15.508013974763749</v>
      </c>
      <c r="K147" s="5">
        <f t="shared" si="8"/>
        <v>28.319793905578297</v>
      </c>
    </row>
    <row r="148" spans="8:11" x14ac:dyDescent="0.25">
      <c r="H148" s="5">
        <f t="shared" si="11"/>
        <v>146</v>
      </c>
      <c r="I148">
        <f t="shared" si="9"/>
        <v>-23.859671677632303</v>
      </c>
      <c r="J148">
        <f t="shared" si="10"/>
        <v>15.614965795279362</v>
      </c>
      <c r="K148" s="5">
        <f t="shared" si="8"/>
        <v>28.515102829065047</v>
      </c>
    </row>
    <row r="149" spans="8:11" x14ac:dyDescent="0.25">
      <c r="H149" s="5">
        <f t="shared" si="11"/>
        <v>147</v>
      </c>
      <c r="I149">
        <f t="shared" si="9"/>
        <v>-24.023094086383207</v>
      </c>
      <c r="J149">
        <f t="shared" si="10"/>
        <v>15.721917615794974</v>
      </c>
      <c r="K149" s="5">
        <f t="shared" si="8"/>
        <v>28.710411752551792</v>
      </c>
    </row>
    <row r="150" spans="8:11" x14ac:dyDescent="0.25">
      <c r="H150" s="5">
        <f t="shared" si="11"/>
        <v>148</v>
      </c>
      <c r="I150">
        <f t="shared" si="9"/>
        <v>-24.186516495134114</v>
      </c>
      <c r="J150">
        <f t="shared" si="10"/>
        <v>15.828869436310585</v>
      </c>
      <c r="K150" s="5">
        <f t="shared" si="8"/>
        <v>28.905720676038541</v>
      </c>
    </row>
    <row r="151" spans="8:11" x14ac:dyDescent="0.25">
      <c r="H151" s="5">
        <f t="shared" si="11"/>
        <v>149</v>
      </c>
      <c r="I151">
        <f t="shared" si="9"/>
        <v>-24.349938903885022</v>
      </c>
      <c r="J151">
        <f t="shared" si="10"/>
        <v>15.935821256826198</v>
      </c>
      <c r="K151" s="5">
        <f t="shared" si="8"/>
        <v>29.10102959952529</v>
      </c>
    </row>
    <row r="152" spans="8:11" x14ac:dyDescent="0.25">
      <c r="H152" s="5">
        <f t="shared" si="11"/>
        <v>150</v>
      </c>
      <c r="I152">
        <f t="shared" si="9"/>
        <v>-24.513361312635926</v>
      </c>
      <c r="J152">
        <f t="shared" si="10"/>
        <v>16.04277307734181</v>
      </c>
      <c r="K152" s="5">
        <f t="shared" si="8"/>
        <v>29.296338523012036</v>
      </c>
    </row>
    <row r="153" spans="8:11" x14ac:dyDescent="0.25">
      <c r="H153" s="5">
        <f t="shared" si="11"/>
        <v>151</v>
      </c>
      <c r="I153">
        <f t="shared" si="9"/>
        <v>-24.676783721386833</v>
      </c>
      <c r="J153">
        <f t="shared" si="10"/>
        <v>16.149724897857421</v>
      </c>
      <c r="K153" s="5">
        <f t="shared" si="8"/>
        <v>29.491647446498781</v>
      </c>
    </row>
    <row r="154" spans="8:11" x14ac:dyDescent="0.25">
      <c r="H154" s="5">
        <f t="shared" si="11"/>
        <v>152</v>
      </c>
      <c r="I154">
        <f t="shared" si="9"/>
        <v>-24.840206130137741</v>
      </c>
      <c r="J154">
        <f t="shared" si="10"/>
        <v>16.256676718373033</v>
      </c>
      <c r="K154" s="5">
        <f t="shared" si="8"/>
        <v>29.686956369985531</v>
      </c>
    </row>
    <row r="155" spans="8:11" x14ac:dyDescent="0.25">
      <c r="H155" s="5">
        <f t="shared" si="11"/>
        <v>153</v>
      </c>
      <c r="I155">
        <f t="shared" si="9"/>
        <v>-25.003628538888645</v>
      </c>
      <c r="J155">
        <f t="shared" si="10"/>
        <v>16.363628538888648</v>
      </c>
      <c r="K155" s="5">
        <f t="shared" si="8"/>
        <v>29.882265293472276</v>
      </c>
    </row>
    <row r="156" spans="8:11" x14ac:dyDescent="0.25">
      <c r="H156" s="5">
        <f t="shared" si="11"/>
        <v>154</v>
      </c>
      <c r="I156">
        <f t="shared" si="9"/>
        <v>-25.167050947639552</v>
      </c>
      <c r="J156">
        <f t="shared" si="10"/>
        <v>16.470580359404259</v>
      </c>
      <c r="K156" s="5">
        <f t="shared" si="8"/>
        <v>30.077574216959025</v>
      </c>
    </row>
    <row r="157" spans="8:11" x14ac:dyDescent="0.25">
      <c r="H157" s="5">
        <f t="shared" si="11"/>
        <v>155</v>
      </c>
      <c r="I157">
        <f t="shared" si="9"/>
        <v>-25.33047335639046</v>
      </c>
      <c r="J157">
        <f t="shared" si="10"/>
        <v>16.577532179919871</v>
      </c>
      <c r="K157" s="5">
        <f t="shared" si="8"/>
        <v>30.272883140445771</v>
      </c>
    </row>
    <row r="158" spans="8:11" x14ac:dyDescent="0.25">
      <c r="H158" s="5">
        <f t="shared" si="11"/>
        <v>156</v>
      </c>
      <c r="I158">
        <f t="shared" si="9"/>
        <v>-25.493895765141364</v>
      </c>
      <c r="J158">
        <f t="shared" si="10"/>
        <v>16.684484000435482</v>
      </c>
      <c r="K158" s="5">
        <f t="shared" si="8"/>
        <v>30.468192063932516</v>
      </c>
    </row>
    <row r="159" spans="8:11" x14ac:dyDescent="0.25">
      <c r="H159" s="5">
        <f t="shared" si="11"/>
        <v>157</v>
      </c>
      <c r="I159">
        <f t="shared" si="9"/>
        <v>-25.657318173892271</v>
      </c>
      <c r="J159">
        <f t="shared" si="10"/>
        <v>16.791435820951094</v>
      </c>
      <c r="K159" s="5">
        <f t="shared" si="8"/>
        <v>30.663500987419265</v>
      </c>
    </row>
    <row r="160" spans="8:11" x14ac:dyDescent="0.25">
      <c r="H160" s="5">
        <f t="shared" si="11"/>
        <v>158</v>
      </c>
      <c r="I160">
        <f t="shared" si="9"/>
        <v>-25.820740582643179</v>
      </c>
      <c r="J160">
        <f t="shared" si="10"/>
        <v>16.898387641466709</v>
      </c>
      <c r="K160" s="5">
        <f t="shared" si="8"/>
        <v>30.858809910906015</v>
      </c>
    </row>
    <row r="161" spans="8:11" x14ac:dyDescent="0.25">
      <c r="H161" s="5">
        <f t="shared" si="11"/>
        <v>159</v>
      </c>
      <c r="I161">
        <f t="shared" si="9"/>
        <v>-25.984162991394083</v>
      </c>
      <c r="J161">
        <f t="shared" si="10"/>
        <v>17.00533946198232</v>
      </c>
      <c r="K161" s="5">
        <f t="shared" si="8"/>
        <v>31.054118834392757</v>
      </c>
    </row>
    <row r="162" spans="8:11" x14ac:dyDescent="0.25">
      <c r="H162" s="5">
        <f t="shared" si="11"/>
        <v>160</v>
      </c>
      <c r="I162">
        <f t="shared" si="9"/>
        <v>-26.14758540014499</v>
      </c>
      <c r="J162">
        <f t="shared" si="10"/>
        <v>17.112291282497932</v>
      </c>
      <c r="K162" s="5">
        <f t="shared" si="8"/>
        <v>31.249427757879506</v>
      </c>
    </row>
    <row r="163" spans="8:11" x14ac:dyDescent="0.25">
      <c r="H163" s="5">
        <f t="shared" si="11"/>
        <v>161</v>
      </c>
      <c r="I163">
        <f t="shared" si="9"/>
        <v>-26.311007808895898</v>
      </c>
      <c r="J163">
        <f t="shared" si="10"/>
        <v>17.219243103013543</v>
      </c>
      <c r="K163" s="5">
        <f t="shared" si="8"/>
        <v>31.444736681366251</v>
      </c>
    </row>
    <row r="164" spans="8:11" x14ac:dyDescent="0.25">
      <c r="H164" s="5">
        <f t="shared" si="11"/>
        <v>162</v>
      </c>
      <c r="I164">
        <f t="shared" si="9"/>
        <v>-26.474430217646802</v>
      </c>
      <c r="J164">
        <f t="shared" si="10"/>
        <v>17.326194923529155</v>
      </c>
      <c r="K164" s="5">
        <f t="shared" si="8"/>
        <v>31.640045604852997</v>
      </c>
    </row>
    <row r="165" spans="8:11" x14ac:dyDescent="0.25">
      <c r="H165" s="5">
        <f t="shared" si="11"/>
        <v>163</v>
      </c>
      <c r="I165">
        <f t="shared" si="9"/>
        <v>-26.637852626397709</v>
      </c>
      <c r="J165">
        <f t="shared" si="10"/>
        <v>17.43314674404477</v>
      </c>
      <c r="K165" s="5">
        <f t="shared" si="8"/>
        <v>31.835354528339746</v>
      </c>
    </row>
    <row r="166" spans="8:11" x14ac:dyDescent="0.25">
      <c r="H166" s="5">
        <f t="shared" si="11"/>
        <v>164</v>
      </c>
      <c r="I166">
        <f t="shared" si="9"/>
        <v>-26.801275035148617</v>
      </c>
      <c r="J166">
        <f t="shared" si="10"/>
        <v>17.540098564560381</v>
      </c>
      <c r="K166" s="5">
        <f t="shared" si="8"/>
        <v>32.030663451826499</v>
      </c>
    </row>
    <row r="167" spans="8:11" x14ac:dyDescent="0.25">
      <c r="H167" s="5">
        <f t="shared" si="11"/>
        <v>165</v>
      </c>
      <c r="I167">
        <f t="shared" si="9"/>
        <v>-26.964697443899521</v>
      </c>
      <c r="J167">
        <f t="shared" si="10"/>
        <v>17.647050385075993</v>
      </c>
      <c r="K167" s="5">
        <f t="shared" si="8"/>
        <v>32.225972375313241</v>
      </c>
    </row>
    <row r="168" spans="8:11" x14ac:dyDescent="0.25">
      <c r="H168" s="5">
        <f t="shared" si="11"/>
        <v>166</v>
      </c>
      <c r="I168">
        <f t="shared" si="9"/>
        <v>-27.128119852650428</v>
      </c>
      <c r="J168">
        <f t="shared" si="10"/>
        <v>17.754002205591604</v>
      </c>
      <c r="K168" s="5">
        <f t="shared" si="8"/>
        <v>32.421281298799983</v>
      </c>
    </row>
    <row r="169" spans="8:11" x14ac:dyDescent="0.25">
      <c r="H169" s="5">
        <f t="shared" si="11"/>
        <v>167</v>
      </c>
      <c r="I169">
        <f t="shared" si="9"/>
        <v>-27.291542261401336</v>
      </c>
      <c r="J169">
        <f t="shared" si="10"/>
        <v>17.860954026107215</v>
      </c>
      <c r="K169" s="5">
        <f t="shared" si="8"/>
        <v>32.616590222286739</v>
      </c>
    </row>
    <row r="170" spans="8:11" x14ac:dyDescent="0.25">
      <c r="H170" s="5">
        <f t="shared" si="11"/>
        <v>168</v>
      </c>
      <c r="I170">
        <f t="shared" si="9"/>
        <v>-27.45496467015224</v>
      </c>
      <c r="J170">
        <f t="shared" si="10"/>
        <v>17.967905846622831</v>
      </c>
      <c r="K170" s="5">
        <f t="shared" si="8"/>
        <v>32.811899145773481</v>
      </c>
    </row>
    <row r="171" spans="8:11" x14ac:dyDescent="0.25">
      <c r="H171" s="5">
        <f t="shared" si="11"/>
        <v>169</v>
      </c>
      <c r="I171">
        <f t="shared" si="9"/>
        <v>-27.618387078903147</v>
      </c>
      <c r="J171">
        <f t="shared" si="10"/>
        <v>18.074857667138442</v>
      </c>
      <c r="K171" s="5">
        <f t="shared" si="8"/>
        <v>33.00720806926023</v>
      </c>
    </row>
    <row r="172" spans="8:11" x14ac:dyDescent="0.25">
      <c r="H172" s="5">
        <f t="shared" si="11"/>
        <v>170</v>
      </c>
      <c r="I172">
        <f t="shared" si="9"/>
        <v>-27.781809487654055</v>
      </c>
      <c r="J172">
        <f t="shared" si="10"/>
        <v>18.181809487654053</v>
      </c>
      <c r="K172" s="5">
        <f t="shared" si="8"/>
        <v>33.202516992746979</v>
      </c>
    </row>
    <row r="173" spans="8:11" x14ac:dyDescent="0.25">
      <c r="H173" s="5">
        <f t="shared" si="11"/>
        <v>171</v>
      </c>
      <c r="I173">
        <f t="shared" si="9"/>
        <v>-27.945231896404959</v>
      </c>
      <c r="J173">
        <f t="shared" si="10"/>
        <v>18.288761308169665</v>
      </c>
      <c r="K173" s="5">
        <f t="shared" si="8"/>
        <v>33.397825916233721</v>
      </c>
    </row>
    <row r="174" spans="8:11" x14ac:dyDescent="0.25">
      <c r="H174" s="5">
        <f t="shared" si="11"/>
        <v>172</v>
      </c>
      <c r="I174">
        <f t="shared" si="9"/>
        <v>-28.108654305155863</v>
      </c>
      <c r="J174">
        <f t="shared" si="10"/>
        <v>18.395713128685273</v>
      </c>
      <c r="K174" s="5">
        <f t="shared" si="8"/>
        <v>33.593134839720463</v>
      </c>
    </row>
    <row r="175" spans="8:11" x14ac:dyDescent="0.25">
      <c r="H175" s="5">
        <f t="shared" si="11"/>
        <v>173</v>
      </c>
      <c r="I175">
        <f t="shared" si="9"/>
        <v>-28.272076713906767</v>
      </c>
      <c r="J175">
        <f t="shared" si="10"/>
        <v>18.502664949200888</v>
      </c>
      <c r="K175" s="5">
        <f t="shared" si="8"/>
        <v>33.788443763207212</v>
      </c>
    </row>
    <row r="176" spans="8:11" x14ac:dyDescent="0.25">
      <c r="H176" s="5">
        <f t="shared" si="11"/>
        <v>174</v>
      </c>
      <c r="I176">
        <f t="shared" si="9"/>
        <v>-28.435499122657674</v>
      </c>
      <c r="J176">
        <f t="shared" si="10"/>
        <v>18.609616769716499</v>
      </c>
      <c r="K176" s="5">
        <f t="shared" si="8"/>
        <v>33.983752686693961</v>
      </c>
    </row>
    <row r="177" spans="8:11" x14ac:dyDescent="0.25">
      <c r="H177" s="5">
        <f t="shared" si="11"/>
        <v>175</v>
      </c>
      <c r="I177">
        <f t="shared" si="9"/>
        <v>-28.598921531408582</v>
      </c>
      <c r="J177">
        <f t="shared" si="10"/>
        <v>18.716568590232111</v>
      </c>
      <c r="K177" s="5">
        <f t="shared" si="8"/>
        <v>34.17906161018071</v>
      </c>
    </row>
    <row r="178" spans="8:11" x14ac:dyDescent="0.25">
      <c r="H178" s="5">
        <f t="shared" si="11"/>
        <v>176</v>
      </c>
      <c r="I178">
        <f t="shared" si="9"/>
        <v>-28.762343940159486</v>
      </c>
      <c r="J178">
        <f t="shared" si="10"/>
        <v>18.823520410747722</v>
      </c>
      <c r="K178" s="5">
        <f t="shared" si="8"/>
        <v>34.374370533667452</v>
      </c>
    </row>
    <row r="179" spans="8:11" x14ac:dyDescent="0.25">
      <c r="H179" s="5">
        <f t="shared" si="11"/>
        <v>177</v>
      </c>
      <c r="I179">
        <f t="shared" si="9"/>
        <v>-28.925766348910393</v>
      </c>
      <c r="J179">
        <f t="shared" si="10"/>
        <v>18.930472231263334</v>
      </c>
      <c r="K179" s="5">
        <f t="shared" si="8"/>
        <v>34.569679457154201</v>
      </c>
    </row>
    <row r="180" spans="8:11" x14ac:dyDescent="0.25">
      <c r="H180" s="5">
        <f t="shared" si="11"/>
        <v>178</v>
      </c>
      <c r="I180">
        <f t="shared" si="9"/>
        <v>-29.089188757661301</v>
      </c>
      <c r="J180">
        <f t="shared" si="10"/>
        <v>19.037424051778949</v>
      </c>
      <c r="K180" s="5">
        <f t="shared" si="8"/>
        <v>34.764988380640951</v>
      </c>
    </row>
    <row r="181" spans="8:11" x14ac:dyDescent="0.25">
      <c r="H181" s="5">
        <f t="shared" si="11"/>
        <v>179</v>
      </c>
      <c r="I181">
        <f t="shared" si="9"/>
        <v>-29.252611166412205</v>
      </c>
      <c r="J181">
        <f t="shared" si="10"/>
        <v>19.14437587229456</v>
      </c>
      <c r="K181" s="5">
        <f t="shared" si="8"/>
        <v>34.960297304127693</v>
      </c>
    </row>
    <row r="182" spans="8:11" x14ac:dyDescent="0.25">
      <c r="H182" s="5">
        <f t="shared" si="11"/>
        <v>180</v>
      </c>
      <c r="I182">
        <f t="shared" si="9"/>
        <v>-29.416033575163112</v>
      </c>
      <c r="J182">
        <f t="shared" si="10"/>
        <v>19.251327692810172</v>
      </c>
      <c r="K182" s="5">
        <f t="shared" si="8"/>
        <v>35.155606227614442</v>
      </c>
    </row>
    <row r="183" spans="8:11" x14ac:dyDescent="0.25">
      <c r="H183" s="5">
        <f t="shared" si="11"/>
        <v>181</v>
      </c>
      <c r="I183">
        <f t="shared" si="9"/>
        <v>-29.57945598391402</v>
      </c>
      <c r="J183">
        <f t="shared" si="10"/>
        <v>19.358279513325783</v>
      </c>
      <c r="K183" s="5">
        <f t="shared" si="8"/>
        <v>35.350915151101191</v>
      </c>
    </row>
    <row r="184" spans="8:11" x14ac:dyDescent="0.25">
      <c r="H184" s="5">
        <f t="shared" si="11"/>
        <v>182</v>
      </c>
      <c r="I184">
        <f t="shared" si="9"/>
        <v>-29.742878392664924</v>
      </c>
      <c r="J184">
        <f t="shared" si="10"/>
        <v>19.465231333841395</v>
      </c>
      <c r="K184" s="5">
        <f t="shared" si="8"/>
        <v>35.546224074587933</v>
      </c>
    </row>
    <row r="185" spans="8:11" x14ac:dyDescent="0.25">
      <c r="H185" s="5">
        <f t="shared" si="11"/>
        <v>183</v>
      </c>
      <c r="I185">
        <f t="shared" si="9"/>
        <v>-29.906300801415831</v>
      </c>
      <c r="J185">
        <f t="shared" si="10"/>
        <v>19.57218315435701</v>
      </c>
      <c r="K185" s="5">
        <f t="shared" si="8"/>
        <v>35.741532998074682</v>
      </c>
    </row>
    <row r="186" spans="8:11" x14ac:dyDescent="0.25">
      <c r="H186" s="5">
        <f t="shared" si="11"/>
        <v>184</v>
      </c>
      <c r="I186">
        <f t="shared" si="9"/>
        <v>-30.069723210166739</v>
      </c>
      <c r="J186">
        <f t="shared" si="10"/>
        <v>19.679134974872621</v>
      </c>
      <c r="K186" s="5">
        <f t="shared" si="8"/>
        <v>35.936841921561431</v>
      </c>
    </row>
    <row r="187" spans="8:11" x14ac:dyDescent="0.25">
      <c r="H187" s="5">
        <f t="shared" si="11"/>
        <v>185</v>
      </c>
      <c r="I187">
        <f t="shared" si="9"/>
        <v>-30.233145618917643</v>
      </c>
      <c r="J187">
        <f t="shared" si="10"/>
        <v>19.786086795388233</v>
      </c>
      <c r="K187" s="5">
        <f t="shared" si="8"/>
        <v>36.132150845048173</v>
      </c>
    </row>
    <row r="188" spans="8:11" x14ac:dyDescent="0.25">
      <c r="H188" s="5">
        <f t="shared" si="11"/>
        <v>186</v>
      </c>
      <c r="I188">
        <f t="shared" si="9"/>
        <v>-30.39656802766855</v>
      </c>
      <c r="J188">
        <f t="shared" si="10"/>
        <v>19.893038615903844</v>
      </c>
      <c r="K188" s="5">
        <f t="shared" si="8"/>
        <v>36.327459768534922</v>
      </c>
    </row>
    <row r="189" spans="8:11" x14ac:dyDescent="0.25">
      <c r="H189" s="5">
        <f t="shared" si="11"/>
        <v>187</v>
      </c>
      <c r="I189">
        <f t="shared" si="9"/>
        <v>-30.559990436419458</v>
      </c>
      <c r="J189">
        <f t="shared" si="10"/>
        <v>19.999990436419456</v>
      </c>
      <c r="K189" s="5">
        <f t="shared" si="8"/>
        <v>36.522768692021671</v>
      </c>
    </row>
    <row r="190" spans="8:11" x14ac:dyDescent="0.25">
      <c r="H190" s="5">
        <f t="shared" si="11"/>
        <v>188</v>
      </c>
      <c r="I190">
        <f t="shared" si="9"/>
        <v>-30.723412845170362</v>
      </c>
      <c r="J190">
        <f t="shared" si="10"/>
        <v>20.106942256935071</v>
      </c>
      <c r="K190" s="5">
        <f t="shared" si="8"/>
        <v>36.71807761550842</v>
      </c>
    </row>
    <row r="191" spans="8:11" x14ac:dyDescent="0.25">
      <c r="H191" s="5">
        <f t="shared" si="11"/>
        <v>189</v>
      </c>
      <c r="I191">
        <f t="shared" si="9"/>
        <v>-30.886835253921269</v>
      </c>
      <c r="J191">
        <f t="shared" si="10"/>
        <v>20.213894077450682</v>
      </c>
      <c r="K191" s="5">
        <f t="shared" si="8"/>
        <v>36.913386538995162</v>
      </c>
    </row>
    <row r="192" spans="8:11" x14ac:dyDescent="0.25">
      <c r="H192" s="5">
        <f t="shared" si="11"/>
        <v>190</v>
      </c>
      <c r="I192">
        <f t="shared" si="9"/>
        <v>-31.050257662672177</v>
      </c>
      <c r="J192">
        <f t="shared" si="10"/>
        <v>20.320845897966294</v>
      </c>
      <c r="K192" s="5">
        <f t="shared" si="8"/>
        <v>37.108695462481911</v>
      </c>
    </row>
    <row r="193" spans="8:11" x14ac:dyDescent="0.25">
      <c r="H193" s="5">
        <f t="shared" si="11"/>
        <v>191</v>
      </c>
      <c r="I193">
        <f t="shared" si="9"/>
        <v>-31.213680071423081</v>
      </c>
      <c r="J193">
        <f t="shared" si="10"/>
        <v>20.427797718481905</v>
      </c>
      <c r="K193" s="5">
        <f t="shared" si="8"/>
        <v>37.304004385968661</v>
      </c>
    </row>
    <row r="194" spans="8:11" x14ac:dyDescent="0.25">
      <c r="H194" s="5">
        <f t="shared" si="11"/>
        <v>192</v>
      </c>
      <c r="I194">
        <f t="shared" si="9"/>
        <v>-31.377102480173988</v>
      </c>
      <c r="J194">
        <f t="shared" si="10"/>
        <v>20.534749538997517</v>
      </c>
      <c r="K194" s="5">
        <f t="shared" ref="K194:K257" si="12">SQRT((I194^2)+(J194^2))</f>
        <v>37.499313309455403</v>
      </c>
    </row>
    <row r="195" spans="8:11" x14ac:dyDescent="0.25">
      <c r="H195" s="5">
        <f t="shared" si="11"/>
        <v>193</v>
      </c>
      <c r="I195">
        <f t="shared" ref="I195:I258" si="13">D$29*($H195/1000)+D$18*(($H195/1000)-($D$7/1000))*(($H195/1000)&gt;($D$7/1000))+D$19*(($H195/1000)-($D$8/1000))*(($H195/1000)&gt;($D$8/1000))+D$20*(($H195/1000)-($D$9/1000))*(($H195/1000)&gt;($D$9/1000))+D$21*(($H195/1000)-($D$10/1000))*(($H195/1000)&gt;($D$10/1000))</f>
        <v>-31.540524888924896</v>
      </c>
      <c r="J195">
        <f t="shared" ref="J195:J258" si="14">E$29*($H195/1000)+E$18*(($H195/1000)-($D$7/1000))*(($H195/1000)&gt;($D$7/1000))+E$19*(($H195/1000)-($D$8/1000))*(($H195/1000)&gt;($D$8/1000))+E$20*(($H195/1000)-($D$9/1000))*(($H195/1000)&gt;($D$9/1000))+E$21*(($H195/1000)-($D$10/1000))*(($H195/1000)&gt;($D$10/1000))</f>
        <v>20.641701359513132</v>
      </c>
      <c r="K195" s="5">
        <f t="shared" si="12"/>
        <v>37.694622232942152</v>
      </c>
    </row>
    <row r="196" spans="8:11" x14ac:dyDescent="0.25">
      <c r="H196" s="5">
        <f t="shared" ref="H196:H259" si="15">IF((ROW(A194)*$G$2)&lt;=$D$5, ROW(A194)*$G$2,NA())</f>
        <v>194</v>
      </c>
      <c r="I196">
        <f t="shared" si="13"/>
        <v>-31.7039472976758</v>
      </c>
      <c r="J196">
        <f t="shared" si="14"/>
        <v>20.748653180028743</v>
      </c>
      <c r="K196" s="5">
        <f t="shared" si="12"/>
        <v>37.889931156428901</v>
      </c>
    </row>
    <row r="197" spans="8:11" x14ac:dyDescent="0.25">
      <c r="H197" s="5">
        <f t="shared" si="15"/>
        <v>195</v>
      </c>
      <c r="I197">
        <f t="shared" si="13"/>
        <v>-31.867369706426707</v>
      </c>
      <c r="J197">
        <f t="shared" si="14"/>
        <v>20.855605000544355</v>
      </c>
      <c r="K197" s="5">
        <f t="shared" si="12"/>
        <v>38.08524007991565</v>
      </c>
    </row>
    <row r="198" spans="8:11" x14ac:dyDescent="0.25">
      <c r="H198" s="5">
        <f t="shared" si="15"/>
        <v>196</v>
      </c>
      <c r="I198">
        <f t="shared" si="13"/>
        <v>-32.030792115177611</v>
      </c>
      <c r="J198">
        <f t="shared" si="14"/>
        <v>20.962556821059966</v>
      </c>
      <c r="K198" s="5">
        <f t="shared" si="12"/>
        <v>38.280549003402392</v>
      </c>
    </row>
    <row r="199" spans="8:11" x14ac:dyDescent="0.25">
      <c r="H199" s="5">
        <f t="shared" si="15"/>
        <v>197</v>
      </c>
      <c r="I199">
        <f t="shared" si="13"/>
        <v>-32.194214523928522</v>
      </c>
      <c r="J199">
        <f t="shared" si="14"/>
        <v>21.069508641575577</v>
      </c>
      <c r="K199" s="5">
        <f t="shared" si="12"/>
        <v>38.475857926889148</v>
      </c>
    </row>
    <row r="200" spans="8:11" x14ac:dyDescent="0.25">
      <c r="H200" s="5">
        <f t="shared" si="15"/>
        <v>198</v>
      </c>
      <c r="I200">
        <f t="shared" si="13"/>
        <v>-32.357636932679426</v>
      </c>
      <c r="J200">
        <f t="shared" si="14"/>
        <v>21.176460462091192</v>
      </c>
      <c r="K200" s="5">
        <f t="shared" si="12"/>
        <v>38.67116685037589</v>
      </c>
    </row>
    <row r="201" spans="8:11" x14ac:dyDescent="0.25">
      <c r="H201" s="5">
        <f t="shared" si="15"/>
        <v>199</v>
      </c>
      <c r="I201">
        <f t="shared" si="13"/>
        <v>-32.52105934143033</v>
      </c>
      <c r="J201">
        <f t="shared" si="14"/>
        <v>21.283412282606804</v>
      </c>
      <c r="K201" s="5">
        <f t="shared" si="12"/>
        <v>38.866475773862632</v>
      </c>
    </row>
    <row r="202" spans="8:11" x14ac:dyDescent="0.25">
      <c r="H202" s="5">
        <f t="shared" si="15"/>
        <v>200</v>
      </c>
      <c r="I202">
        <f t="shared" si="13"/>
        <v>-32.684481750181241</v>
      </c>
      <c r="J202">
        <f t="shared" si="14"/>
        <v>21.390364103122415</v>
      </c>
      <c r="K202" s="5">
        <f t="shared" si="12"/>
        <v>39.061784697349388</v>
      </c>
    </row>
    <row r="203" spans="8:11" x14ac:dyDescent="0.25">
      <c r="H203" s="5">
        <f t="shared" si="15"/>
        <v>201</v>
      </c>
      <c r="I203">
        <f t="shared" si="13"/>
        <v>-32.847904158932145</v>
      </c>
      <c r="J203">
        <f t="shared" si="14"/>
        <v>21.497315923638027</v>
      </c>
      <c r="K203" s="5">
        <f t="shared" si="12"/>
        <v>39.25709362083613</v>
      </c>
    </row>
    <row r="204" spans="8:11" x14ac:dyDescent="0.25">
      <c r="H204" s="5">
        <f t="shared" si="15"/>
        <v>202</v>
      </c>
      <c r="I204">
        <f t="shared" si="13"/>
        <v>-33.011326567683049</v>
      </c>
      <c r="J204">
        <f t="shared" si="14"/>
        <v>21.604267744153638</v>
      </c>
      <c r="K204" s="5">
        <f t="shared" si="12"/>
        <v>39.452402544322872</v>
      </c>
    </row>
    <row r="205" spans="8:11" x14ac:dyDescent="0.25">
      <c r="H205" s="5">
        <f t="shared" si="15"/>
        <v>203</v>
      </c>
      <c r="I205">
        <f t="shared" si="13"/>
        <v>-33.17474897643396</v>
      </c>
      <c r="J205">
        <f t="shared" si="14"/>
        <v>21.711219564669253</v>
      </c>
      <c r="K205" s="5">
        <f t="shared" si="12"/>
        <v>39.647711467809629</v>
      </c>
    </row>
    <row r="206" spans="8:11" x14ac:dyDescent="0.25">
      <c r="H206" s="5">
        <f t="shared" si="15"/>
        <v>204</v>
      </c>
      <c r="I206">
        <f t="shared" si="13"/>
        <v>-33.338171385184857</v>
      </c>
      <c r="J206">
        <f t="shared" si="14"/>
        <v>21.818171385184861</v>
      </c>
      <c r="K206" s="5">
        <f t="shared" si="12"/>
        <v>39.843020391296363</v>
      </c>
    </row>
    <row r="207" spans="8:11" x14ac:dyDescent="0.25">
      <c r="H207" s="5">
        <f t="shared" si="15"/>
        <v>205</v>
      </c>
      <c r="I207">
        <f t="shared" si="13"/>
        <v>-33.501593793935768</v>
      </c>
      <c r="J207">
        <f t="shared" si="14"/>
        <v>21.925123205700473</v>
      </c>
      <c r="K207" s="5">
        <f t="shared" si="12"/>
        <v>40.038329314783113</v>
      </c>
    </row>
    <row r="208" spans="8:11" x14ac:dyDescent="0.25">
      <c r="H208" s="5">
        <f t="shared" si="15"/>
        <v>206</v>
      </c>
      <c r="I208">
        <f t="shared" si="13"/>
        <v>-33.665016202686672</v>
      </c>
      <c r="J208">
        <f t="shared" si="14"/>
        <v>22.032075026216084</v>
      </c>
      <c r="K208" s="5">
        <f t="shared" si="12"/>
        <v>40.233638238269862</v>
      </c>
    </row>
    <row r="209" spans="8:11" x14ac:dyDescent="0.25">
      <c r="H209" s="5">
        <f t="shared" si="15"/>
        <v>207</v>
      </c>
      <c r="I209">
        <f t="shared" si="13"/>
        <v>-33.828438611437576</v>
      </c>
      <c r="J209">
        <f t="shared" si="14"/>
        <v>22.139026846731696</v>
      </c>
      <c r="K209" s="5">
        <f t="shared" si="12"/>
        <v>40.428947161756604</v>
      </c>
    </row>
    <row r="210" spans="8:11" x14ac:dyDescent="0.25">
      <c r="H210" s="5">
        <f t="shared" si="15"/>
        <v>208</v>
      </c>
      <c r="I210">
        <f t="shared" si="13"/>
        <v>-33.991861020188487</v>
      </c>
      <c r="J210">
        <f t="shared" si="14"/>
        <v>22.245978667247311</v>
      </c>
      <c r="K210" s="5">
        <f t="shared" si="12"/>
        <v>40.62425608524336</v>
      </c>
    </row>
    <row r="211" spans="8:11" x14ac:dyDescent="0.25">
      <c r="H211" s="5">
        <f t="shared" si="15"/>
        <v>209</v>
      </c>
      <c r="I211">
        <f t="shared" si="13"/>
        <v>-34.155283428939391</v>
      </c>
      <c r="J211">
        <f t="shared" si="14"/>
        <v>22.352930487762922</v>
      </c>
      <c r="K211" s="5">
        <f t="shared" si="12"/>
        <v>40.819565008730102</v>
      </c>
    </row>
    <row r="212" spans="8:11" x14ac:dyDescent="0.25">
      <c r="H212" s="5">
        <f t="shared" si="15"/>
        <v>210</v>
      </c>
      <c r="I212">
        <f t="shared" si="13"/>
        <v>-34.318705837690295</v>
      </c>
      <c r="J212">
        <f t="shared" si="14"/>
        <v>22.459882308278534</v>
      </c>
      <c r="K212" s="5">
        <f t="shared" si="12"/>
        <v>41.014873932216851</v>
      </c>
    </row>
    <row r="213" spans="8:11" x14ac:dyDescent="0.25">
      <c r="H213" s="5">
        <f t="shared" si="15"/>
        <v>211</v>
      </c>
      <c r="I213">
        <f t="shared" si="13"/>
        <v>-34.482128246441206</v>
      </c>
      <c r="J213">
        <f t="shared" si="14"/>
        <v>22.566834128794145</v>
      </c>
      <c r="K213" s="5">
        <f t="shared" si="12"/>
        <v>41.2101828557036</v>
      </c>
    </row>
    <row r="214" spans="8:11" x14ac:dyDescent="0.25">
      <c r="H214" s="5">
        <f t="shared" si="15"/>
        <v>212</v>
      </c>
      <c r="I214">
        <f t="shared" si="13"/>
        <v>-34.64555065519211</v>
      </c>
      <c r="J214">
        <f t="shared" si="14"/>
        <v>22.673785949309757</v>
      </c>
      <c r="K214" s="5">
        <f t="shared" si="12"/>
        <v>41.405491779190342</v>
      </c>
    </row>
    <row r="215" spans="8:11" x14ac:dyDescent="0.25">
      <c r="H215" s="5">
        <f t="shared" si="15"/>
        <v>213</v>
      </c>
      <c r="I215">
        <f t="shared" si="13"/>
        <v>-34.808973063943014</v>
      </c>
      <c r="J215">
        <f t="shared" si="14"/>
        <v>22.780737769825372</v>
      </c>
      <c r="K215" s="5">
        <f t="shared" si="12"/>
        <v>41.600800702677091</v>
      </c>
    </row>
    <row r="216" spans="8:11" x14ac:dyDescent="0.25">
      <c r="H216" s="5">
        <f t="shared" si="15"/>
        <v>214</v>
      </c>
      <c r="I216">
        <f t="shared" si="13"/>
        <v>-34.972395472693925</v>
      </c>
      <c r="J216">
        <f t="shared" si="14"/>
        <v>22.887689590340983</v>
      </c>
      <c r="K216" s="5">
        <f t="shared" si="12"/>
        <v>41.79610962616384</v>
      </c>
    </row>
    <row r="217" spans="8:11" x14ac:dyDescent="0.25">
      <c r="H217" s="5">
        <f t="shared" si="15"/>
        <v>215</v>
      </c>
      <c r="I217">
        <f t="shared" si="13"/>
        <v>-35.135817881444829</v>
      </c>
      <c r="J217">
        <f t="shared" si="14"/>
        <v>22.994641410856595</v>
      </c>
      <c r="K217" s="5">
        <f t="shared" si="12"/>
        <v>41.991418549650582</v>
      </c>
    </row>
    <row r="218" spans="8:11" x14ac:dyDescent="0.25">
      <c r="H218" s="5">
        <f t="shared" si="15"/>
        <v>216</v>
      </c>
      <c r="I218">
        <f t="shared" si="13"/>
        <v>-35.299240290195733</v>
      </c>
      <c r="J218">
        <f t="shared" si="14"/>
        <v>23.101593231372206</v>
      </c>
      <c r="K218" s="5">
        <f t="shared" si="12"/>
        <v>42.186727473137331</v>
      </c>
    </row>
    <row r="219" spans="8:11" x14ac:dyDescent="0.25">
      <c r="H219" s="5">
        <f t="shared" si="15"/>
        <v>217</v>
      </c>
      <c r="I219">
        <f t="shared" si="13"/>
        <v>-35.462662698946644</v>
      </c>
      <c r="J219">
        <f t="shared" si="14"/>
        <v>23.208545051887818</v>
      </c>
      <c r="K219" s="5">
        <f t="shared" si="12"/>
        <v>42.382036396624081</v>
      </c>
    </row>
    <row r="220" spans="8:11" x14ac:dyDescent="0.25">
      <c r="H220" s="5">
        <f t="shared" si="15"/>
        <v>218</v>
      </c>
      <c r="I220">
        <f t="shared" si="13"/>
        <v>-35.626085107697548</v>
      </c>
      <c r="J220">
        <f t="shared" si="14"/>
        <v>23.315496872403433</v>
      </c>
      <c r="K220" s="5">
        <f t="shared" si="12"/>
        <v>42.57734532011083</v>
      </c>
    </row>
    <row r="221" spans="8:11" x14ac:dyDescent="0.25">
      <c r="H221" s="5">
        <f t="shared" si="15"/>
        <v>219</v>
      </c>
      <c r="I221">
        <f t="shared" si="13"/>
        <v>-35.789507516448452</v>
      </c>
      <c r="J221">
        <f t="shared" si="14"/>
        <v>23.422448692919044</v>
      </c>
      <c r="K221" s="5">
        <f t="shared" si="12"/>
        <v>42.772654243597572</v>
      </c>
    </row>
    <row r="222" spans="8:11" x14ac:dyDescent="0.25">
      <c r="H222" s="5">
        <f t="shared" si="15"/>
        <v>220</v>
      </c>
      <c r="I222">
        <f t="shared" si="13"/>
        <v>-35.952929925199363</v>
      </c>
      <c r="J222">
        <f t="shared" si="14"/>
        <v>23.529400513434656</v>
      </c>
      <c r="K222" s="5">
        <f t="shared" si="12"/>
        <v>42.967963167084321</v>
      </c>
    </row>
    <row r="223" spans="8:11" x14ac:dyDescent="0.25">
      <c r="H223" s="5">
        <f t="shared" si="15"/>
        <v>221</v>
      </c>
      <c r="I223">
        <f t="shared" si="13"/>
        <v>-36.116352333950267</v>
      </c>
      <c r="J223">
        <f t="shared" si="14"/>
        <v>23.636352333950267</v>
      </c>
      <c r="K223" s="5">
        <f t="shared" si="12"/>
        <v>43.163272090571063</v>
      </c>
    </row>
    <row r="224" spans="8:11" x14ac:dyDescent="0.25">
      <c r="H224" s="5">
        <f t="shared" si="15"/>
        <v>222</v>
      </c>
      <c r="I224">
        <f t="shared" si="13"/>
        <v>-36.279774742701171</v>
      </c>
      <c r="J224">
        <f t="shared" si="14"/>
        <v>23.743304154465878</v>
      </c>
      <c r="K224" s="5">
        <f t="shared" si="12"/>
        <v>43.358581014057812</v>
      </c>
    </row>
    <row r="225" spans="8:11" x14ac:dyDescent="0.25">
      <c r="H225" s="5">
        <f t="shared" si="15"/>
        <v>223</v>
      </c>
      <c r="I225">
        <f t="shared" si="13"/>
        <v>-36.443197151452082</v>
      </c>
      <c r="J225">
        <f t="shared" si="14"/>
        <v>23.850255974981494</v>
      </c>
      <c r="K225" s="5">
        <f t="shared" si="12"/>
        <v>43.553889937544561</v>
      </c>
    </row>
    <row r="226" spans="8:11" x14ac:dyDescent="0.25">
      <c r="H226" s="5">
        <f t="shared" si="15"/>
        <v>224</v>
      </c>
      <c r="I226">
        <f t="shared" si="13"/>
        <v>-36.606619560202986</v>
      </c>
      <c r="J226">
        <f t="shared" si="14"/>
        <v>23.957207795497105</v>
      </c>
      <c r="K226" s="5">
        <f t="shared" si="12"/>
        <v>43.74919886103131</v>
      </c>
    </row>
    <row r="227" spans="8:11" x14ac:dyDescent="0.25">
      <c r="H227" s="5">
        <f t="shared" si="15"/>
        <v>225</v>
      </c>
      <c r="I227">
        <f t="shared" si="13"/>
        <v>-36.77004196895389</v>
      </c>
      <c r="J227">
        <f t="shared" si="14"/>
        <v>24.064159616012716</v>
      </c>
      <c r="K227" s="5">
        <f t="shared" si="12"/>
        <v>43.944507784518052</v>
      </c>
    </row>
    <row r="228" spans="8:11" x14ac:dyDescent="0.25">
      <c r="H228" s="5">
        <f t="shared" si="15"/>
        <v>226</v>
      </c>
      <c r="I228">
        <f t="shared" si="13"/>
        <v>-36.933464377704802</v>
      </c>
      <c r="J228">
        <f t="shared" si="14"/>
        <v>24.171111436528328</v>
      </c>
      <c r="K228" s="5">
        <f t="shared" si="12"/>
        <v>44.139816708004801</v>
      </c>
    </row>
    <row r="229" spans="8:11" x14ac:dyDescent="0.25">
      <c r="H229" s="5">
        <f t="shared" si="15"/>
        <v>227</v>
      </c>
      <c r="I229">
        <f t="shared" si="13"/>
        <v>-37.096886786455705</v>
      </c>
      <c r="J229">
        <f t="shared" si="14"/>
        <v>24.278063257043939</v>
      </c>
      <c r="K229" s="5">
        <f t="shared" si="12"/>
        <v>44.33512563149155</v>
      </c>
    </row>
    <row r="230" spans="8:11" x14ac:dyDescent="0.25">
      <c r="H230" s="5">
        <f t="shared" si="15"/>
        <v>228</v>
      </c>
      <c r="I230">
        <f t="shared" si="13"/>
        <v>-37.260309195206609</v>
      </c>
      <c r="J230">
        <f t="shared" si="14"/>
        <v>24.385015077559554</v>
      </c>
      <c r="K230" s="5">
        <f t="shared" si="12"/>
        <v>44.530434554978292</v>
      </c>
    </row>
    <row r="231" spans="8:11" x14ac:dyDescent="0.25">
      <c r="H231" s="5">
        <f t="shared" si="15"/>
        <v>229</v>
      </c>
      <c r="I231">
        <f t="shared" si="13"/>
        <v>-37.423731603957521</v>
      </c>
      <c r="J231">
        <f t="shared" si="14"/>
        <v>24.491966898075166</v>
      </c>
      <c r="K231" s="5">
        <f t="shared" si="12"/>
        <v>44.725743478465048</v>
      </c>
    </row>
    <row r="232" spans="8:11" x14ac:dyDescent="0.25">
      <c r="H232" s="5">
        <f t="shared" si="15"/>
        <v>230</v>
      </c>
      <c r="I232">
        <f t="shared" si="13"/>
        <v>-37.587154012708424</v>
      </c>
      <c r="J232">
        <f t="shared" si="14"/>
        <v>24.598918718590777</v>
      </c>
      <c r="K232" s="5">
        <f t="shared" si="12"/>
        <v>44.921052401951791</v>
      </c>
    </row>
    <row r="233" spans="8:11" x14ac:dyDescent="0.25">
      <c r="H233" s="5">
        <f t="shared" si="15"/>
        <v>231</v>
      </c>
      <c r="I233">
        <f t="shared" si="13"/>
        <v>-37.750576421459328</v>
      </c>
      <c r="J233">
        <f t="shared" si="14"/>
        <v>24.705870539106389</v>
      </c>
      <c r="K233" s="5">
        <f t="shared" si="12"/>
        <v>45.11636132543854</v>
      </c>
    </row>
    <row r="234" spans="8:11" x14ac:dyDescent="0.25">
      <c r="H234" s="5">
        <f t="shared" si="15"/>
        <v>232</v>
      </c>
      <c r="I234">
        <f t="shared" si="13"/>
        <v>-37.91399883021024</v>
      </c>
      <c r="J234">
        <f t="shared" si="14"/>
        <v>24.812822359622</v>
      </c>
      <c r="K234" s="5">
        <f t="shared" si="12"/>
        <v>45.311670248925289</v>
      </c>
    </row>
    <row r="235" spans="8:11" x14ac:dyDescent="0.25">
      <c r="H235" s="5">
        <f t="shared" si="15"/>
        <v>233</v>
      </c>
      <c r="I235">
        <f t="shared" si="13"/>
        <v>-38.077421238961144</v>
      </c>
      <c r="J235">
        <f t="shared" si="14"/>
        <v>24.919774180137615</v>
      </c>
      <c r="K235" s="5">
        <f t="shared" si="12"/>
        <v>45.506979172412031</v>
      </c>
    </row>
    <row r="236" spans="8:11" x14ac:dyDescent="0.25">
      <c r="H236" s="5">
        <f t="shared" si="15"/>
        <v>234</v>
      </c>
      <c r="I236">
        <f t="shared" si="13"/>
        <v>-38.240843647712047</v>
      </c>
      <c r="J236">
        <f t="shared" si="14"/>
        <v>25.026726000653227</v>
      </c>
      <c r="K236" s="5">
        <f t="shared" si="12"/>
        <v>45.70228809589878</v>
      </c>
    </row>
    <row r="237" spans="8:11" x14ac:dyDescent="0.25">
      <c r="H237" s="5">
        <f t="shared" si="15"/>
        <v>235</v>
      </c>
      <c r="I237">
        <f t="shared" si="13"/>
        <v>-38.404266056462951</v>
      </c>
      <c r="J237">
        <f t="shared" si="14"/>
        <v>25.133677821168835</v>
      </c>
      <c r="K237" s="5">
        <f t="shared" si="12"/>
        <v>45.897597019385522</v>
      </c>
    </row>
    <row r="238" spans="8:11" x14ac:dyDescent="0.25">
      <c r="H238" s="5">
        <f t="shared" si="15"/>
        <v>236</v>
      </c>
      <c r="I238">
        <f t="shared" si="13"/>
        <v>-38.567688465213855</v>
      </c>
      <c r="J238">
        <f t="shared" si="14"/>
        <v>25.240629641684446</v>
      </c>
      <c r="K238" s="5">
        <f t="shared" si="12"/>
        <v>46.092905942872271</v>
      </c>
    </row>
    <row r="239" spans="8:11" x14ac:dyDescent="0.25">
      <c r="H239" s="5">
        <f t="shared" si="15"/>
        <v>237</v>
      </c>
      <c r="I239">
        <f t="shared" si="13"/>
        <v>-38.731110873964766</v>
      </c>
      <c r="J239">
        <f t="shared" si="14"/>
        <v>25.347581462200058</v>
      </c>
      <c r="K239" s="5">
        <f t="shared" si="12"/>
        <v>46.28821486635902</v>
      </c>
    </row>
    <row r="240" spans="8:11" x14ac:dyDescent="0.25">
      <c r="H240" s="5">
        <f t="shared" si="15"/>
        <v>238</v>
      </c>
      <c r="I240">
        <f t="shared" si="13"/>
        <v>-38.89453328271567</v>
      </c>
      <c r="J240">
        <f t="shared" si="14"/>
        <v>25.454533282715673</v>
      </c>
      <c r="K240" s="5">
        <f t="shared" si="12"/>
        <v>46.483523789845762</v>
      </c>
    </row>
    <row r="241" spans="8:11" x14ac:dyDescent="0.25">
      <c r="H241" s="5">
        <f t="shared" si="15"/>
        <v>239</v>
      </c>
      <c r="I241">
        <f t="shared" si="13"/>
        <v>-39.057955691466574</v>
      </c>
      <c r="J241">
        <f t="shared" si="14"/>
        <v>25.561485103231284</v>
      </c>
      <c r="K241" s="5">
        <f t="shared" si="12"/>
        <v>46.678832713332504</v>
      </c>
    </row>
    <row r="242" spans="8:11" x14ac:dyDescent="0.25">
      <c r="H242" s="5">
        <f t="shared" si="15"/>
        <v>240</v>
      </c>
      <c r="I242">
        <f t="shared" si="13"/>
        <v>-39.221378100217485</v>
      </c>
      <c r="J242">
        <f t="shared" si="14"/>
        <v>25.668436923746896</v>
      </c>
      <c r="K242" s="5">
        <f t="shared" si="12"/>
        <v>46.874141636819253</v>
      </c>
    </row>
    <row r="243" spans="8:11" x14ac:dyDescent="0.25">
      <c r="H243" s="5">
        <f t="shared" si="15"/>
        <v>241</v>
      </c>
      <c r="I243">
        <f t="shared" si="13"/>
        <v>-39.384800508968389</v>
      </c>
      <c r="J243">
        <f t="shared" si="14"/>
        <v>25.775388744262507</v>
      </c>
      <c r="K243" s="5">
        <f t="shared" si="12"/>
        <v>47.069450560306002</v>
      </c>
    </row>
    <row r="244" spans="8:11" x14ac:dyDescent="0.25">
      <c r="H244" s="5">
        <f t="shared" si="15"/>
        <v>242</v>
      </c>
      <c r="I244">
        <f t="shared" si="13"/>
        <v>-39.548222917719293</v>
      </c>
      <c r="J244">
        <f t="shared" si="14"/>
        <v>25.882340564778119</v>
      </c>
      <c r="K244" s="5">
        <f t="shared" si="12"/>
        <v>47.264759483792744</v>
      </c>
    </row>
    <row r="245" spans="8:11" x14ac:dyDescent="0.25">
      <c r="H245" s="5">
        <f t="shared" si="15"/>
        <v>243</v>
      </c>
      <c r="I245">
        <f t="shared" si="13"/>
        <v>-39.711645326470205</v>
      </c>
      <c r="J245">
        <f t="shared" si="14"/>
        <v>25.989292385293734</v>
      </c>
      <c r="K245" s="5">
        <f t="shared" si="12"/>
        <v>47.4600684072795</v>
      </c>
    </row>
    <row r="246" spans="8:11" x14ac:dyDescent="0.25">
      <c r="H246" s="5">
        <f t="shared" si="15"/>
        <v>244</v>
      </c>
      <c r="I246">
        <f t="shared" si="13"/>
        <v>-39.875067735221108</v>
      </c>
      <c r="J246">
        <f t="shared" si="14"/>
        <v>26.096244205809345</v>
      </c>
      <c r="K246" s="5">
        <f t="shared" si="12"/>
        <v>47.655377330766242</v>
      </c>
    </row>
    <row r="247" spans="8:11" x14ac:dyDescent="0.25">
      <c r="H247" s="5">
        <f t="shared" si="15"/>
        <v>245</v>
      </c>
      <c r="I247">
        <f t="shared" si="13"/>
        <v>-40.038490143972012</v>
      </c>
      <c r="J247">
        <f t="shared" si="14"/>
        <v>26.203196026324957</v>
      </c>
      <c r="K247" s="5">
        <f t="shared" si="12"/>
        <v>47.850686254252992</v>
      </c>
    </row>
    <row r="248" spans="8:11" x14ac:dyDescent="0.25">
      <c r="H248" s="5">
        <f t="shared" si="15"/>
        <v>246</v>
      </c>
      <c r="I248">
        <f t="shared" si="13"/>
        <v>-40.201912552722924</v>
      </c>
      <c r="J248">
        <f t="shared" si="14"/>
        <v>26.310147846840568</v>
      </c>
      <c r="K248" s="5">
        <f t="shared" si="12"/>
        <v>48.045995177739741</v>
      </c>
    </row>
    <row r="249" spans="8:11" x14ac:dyDescent="0.25">
      <c r="H249" s="5">
        <f t="shared" si="15"/>
        <v>247</v>
      </c>
      <c r="I249">
        <f t="shared" si="13"/>
        <v>-40.365334961473827</v>
      </c>
      <c r="J249">
        <f t="shared" si="14"/>
        <v>26.41709966735618</v>
      </c>
      <c r="K249" s="5">
        <f t="shared" si="12"/>
        <v>48.24130410122649</v>
      </c>
    </row>
    <row r="250" spans="8:11" x14ac:dyDescent="0.25">
      <c r="H250" s="5">
        <f t="shared" si="15"/>
        <v>248</v>
      </c>
      <c r="I250">
        <f t="shared" si="13"/>
        <v>-40.528757370224731</v>
      </c>
      <c r="J250">
        <f t="shared" si="14"/>
        <v>26.524051487871795</v>
      </c>
      <c r="K250" s="5">
        <f t="shared" si="12"/>
        <v>48.436613024713232</v>
      </c>
    </row>
    <row r="251" spans="8:11" x14ac:dyDescent="0.25">
      <c r="H251" s="5">
        <f t="shared" si="15"/>
        <v>249</v>
      </c>
      <c r="I251">
        <f t="shared" si="13"/>
        <v>-40.692179778975643</v>
      </c>
      <c r="J251">
        <f t="shared" si="14"/>
        <v>26.631003308387406</v>
      </c>
      <c r="K251" s="5">
        <f t="shared" si="12"/>
        <v>48.631921948199981</v>
      </c>
    </row>
    <row r="252" spans="8:11" x14ac:dyDescent="0.25">
      <c r="H252" s="5">
        <f t="shared" si="15"/>
        <v>250</v>
      </c>
      <c r="I252">
        <f t="shared" si="13"/>
        <v>-40.855602187726547</v>
      </c>
      <c r="J252">
        <f t="shared" si="14"/>
        <v>26.737955128903018</v>
      </c>
      <c r="K252" s="5">
        <f t="shared" si="12"/>
        <v>48.827230871686723</v>
      </c>
    </row>
    <row r="253" spans="8:11" x14ac:dyDescent="0.25">
      <c r="H253" s="5">
        <f t="shared" si="15"/>
        <v>251</v>
      </c>
      <c r="I253">
        <f t="shared" si="13"/>
        <v>-41.01902459647745</v>
      </c>
      <c r="J253">
        <f t="shared" si="14"/>
        <v>26.844906949418629</v>
      </c>
      <c r="K253" s="5">
        <f t="shared" si="12"/>
        <v>49.022539795173472</v>
      </c>
    </row>
    <row r="254" spans="8:11" x14ac:dyDescent="0.25">
      <c r="H254" s="5">
        <f t="shared" si="15"/>
        <v>252</v>
      </c>
      <c r="I254">
        <f t="shared" si="13"/>
        <v>-41.182447005228362</v>
      </c>
      <c r="J254">
        <f t="shared" si="14"/>
        <v>26.95185876993424</v>
      </c>
      <c r="K254" s="5">
        <f t="shared" si="12"/>
        <v>49.217848718660221</v>
      </c>
    </row>
    <row r="255" spans="8:11" x14ac:dyDescent="0.25">
      <c r="H255" s="5">
        <f t="shared" si="15"/>
        <v>253</v>
      </c>
      <c r="I255">
        <f t="shared" si="13"/>
        <v>-41.345869413979266</v>
      </c>
      <c r="J255">
        <f t="shared" si="14"/>
        <v>27.058810590449855</v>
      </c>
      <c r="K255" s="5">
        <f t="shared" si="12"/>
        <v>49.41315764214697</v>
      </c>
    </row>
    <row r="256" spans="8:11" x14ac:dyDescent="0.25">
      <c r="H256" s="5">
        <f t="shared" si="15"/>
        <v>254</v>
      </c>
      <c r="I256">
        <f t="shared" si="13"/>
        <v>-41.509291822730169</v>
      </c>
      <c r="J256">
        <f t="shared" si="14"/>
        <v>27.165762410965467</v>
      </c>
      <c r="K256" s="5">
        <f t="shared" si="12"/>
        <v>49.608466565633712</v>
      </c>
    </row>
    <row r="257" spans="8:11" x14ac:dyDescent="0.25">
      <c r="H257" s="5">
        <f t="shared" si="15"/>
        <v>255</v>
      </c>
      <c r="I257">
        <f t="shared" si="13"/>
        <v>-41.672714231481081</v>
      </c>
      <c r="J257">
        <f t="shared" si="14"/>
        <v>27.272714231481078</v>
      </c>
      <c r="K257" s="5">
        <f t="shared" si="12"/>
        <v>49.803775489120461</v>
      </c>
    </row>
    <row r="258" spans="8:11" x14ac:dyDescent="0.25">
      <c r="H258" s="5">
        <f t="shared" si="15"/>
        <v>256</v>
      </c>
      <c r="I258">
        <f t="shared" si="13"/>
        <v>-41.836136640231985</v>
      </c>
      <c r="J258">
        <f t="shared" si="14"/>
        <v>27.37966605199669</v>
      </c>
      <c r="K258" s="5">
        <f t="shared" ref="K258:K321" si="16">SQRT((I258^2)+(J258^2))</f>
        <v>49.99908441260721</v>
      </c>
    </row>
    <row r="259" spans="8:11" x14ac:dyDescent="0.25">
      <c r="H259" s="5">
        <f t="shared" si="15"/>
        <v>257</v>
      </c>
      <c r="I259">
        <f t="shared" ref="I259:I322" si="17">D$29*($H259/1000)+D$18*(($H259/1000)-($D$7/1000))*(($H259/1000)&gt;($D$7/1000))+D$19*(($H259/1000)-($D$8/1000))*(($H259/1000)&gt;($D$8/1000))+D$20*(($H259/1000)-($D$9/1000))*(($H259/1000)&gt;($D$9/1000))+D$21*(($H259/1000)-($D$10/1000))*(($H259/1000)&gt;($D$10/1000))</f>
        <v>-41.999559048982888</v>
      </c>
      <c r="J259">
        <f t="shared" ref="J259:J322" si="18">E$29*($H259/1000)+E$18*(($H259/1000)-($D$7/1000))*(($H259/1000)&gt;($D$7/1000))+E$19*(($H259/1000)-($D$8/1000))*(($H259/1000)&gt;($D$8/1000))+E$20*(($H259/1000)-($D$9/1000))*(($H259/1000)&gt;($D$9/1000))+E$21*(($H259/1000)-($D$10/1000))*(($H259/1000)&gt;($D$10/1000))</f>
        <v>27.486617872512301</v>
      </c>
      <c r="K259" s="5">
        <f t="shared" si="16"/>
        <v>50.194393336093952</v>
      </c>
    </row>
    <row r="260" spans="8:11" x14ac:dyDescent="0.25">
      <c r="H260" s="5">
        <f t="shared" ref="H260:H323" si="19">IF((ROW(A258)*$G$2)&lt;=$D$5, ROW(A258)*$G$2,NA())</f>
        <v>258</v>
      </c>
      <c r="I260">
        <f t="shared" si="17"/>
        <v>-42.1629814577338</v>
      </c>
      <c r="J260">
        <f t="shared" si="18"/>
        <v>27.593569693027916</v>
      </c>
      <c r="K260" s="5">
        <f t="shared" si="16"/>
        <v>50.389702259580709</v>
      </c>
    </row>
    <row r="261" spans="8:11" x14ac:dyDescent="0.25">
      <c r="H261" s="5">
        <f t="shared" si="19"/>
        <v>259</v>
      </c>
      <c r="I261">
        <f t="shared" si="17"/>
        <v>-42.326403866484704</v>
      </c>
      <c r="J261">
        <f t="shared" si="18"/>
        <v>27.700521513543528</v>
      </c>
      <c r="K261" s="5">
        <f t="shared" si="16"/>
        <v>50.585011183067451</v>
      </c>
    </row>
    <row r="262" spans="8:11" x14ac:dyDescent="0.25">
      <c r="H262" s="5">
        <f t="shared" si="19"/>
        <v>260</v>
      </c>
      <c r="I262">
        <f t="shared" si="17"/>
        <v>-42.489826275235608</v>
      </c>
      <c r="J262">
        <f t="shared" si="18"/>
        <v>27.807473334059139</v>
      </c>
      <c r="K262" s="5">
        <f t="shared" si="16"/>
        <v>50.7803201065542</v>
      </c>
    </row>
    <row r="263" spans="8:11" x14ac:dyDescent="0.25">
      <c r="H263" s="5">
        <f t="shared" si="19"/>
        <v>261</v>
      </c>
      <c r="I263">
        <f t="shared" si="17"/>
        <v>-42.653248683986519</v>
      </c>
      <c r="J263">
        <f t="shared" si="18"/>
        <v>27.914425154574751</v>
      </c>
      <c r="K263" s="5">
        <f t="shared" si="16"/>
        <v>50.975629030040949</v>
      </c>
    </row>
    <row r="264" spans="8:11" x14ac:dyDescent="0.25">
      <c r="H264" s="5">
        <f t="shared" si="19"/>
        <v>262</v>
      </c>
      <c r="I264">
        <f t="shared" si="17"/>
        <v>-42.816671092737423</v>
      </c>
      <c r="J264">
        <f t="shared" si="18"/>
        <v>28.021376975090362</v>
      </c>
      <c r="K264" s="5">
        <f t="shared" si="16"/>
        <v>51.170937953527691</v>
      </c>
    </row>
    <row r="265" spans="8:11" x14ac:dyDescent="0.25">
      <c r="H265" s="5">
        <f t="shared" si="19"/>
        <v>263</v>
      </c>
      <c r="I265">
        <f t="shared" si="17"/>
        <v>-42.980093501488327</v>
      </c>
      <c r="J265">
        <f t="shared" si="18"/>
        <v>28.128328795605977</v>
      </c>
      <c r="K265" s="5">
        <f t="shared" si="16"/>
        <v>51.366246877014433</v>
      </c>
    </row>
    <row r="266" spans="8:11" x14ac:dyDescent="0.25">
      <c r="H266" s="5">
        <f t="shared" si="19"/>
        <v>264</v>
      </c>
      <c r="I266">
        <f t="shared" si="17"/>
        <v>-43.143515910239238</v>
      </c>
      <c r="J266">
        <f t="shared" si="18"/>
        <v>28.235280616121589</v>
      </c>
      <c r="K266" s="5">
        <f t="shared" si="16"/>
        <v>51.561555800501189</v>
      </c>
    </row>
    <row r="267" spans="8:11" x14ac:dyDescent="0.25">
      <c r="H267" s="5">
        <f t="shared" si="19"/>
        <v>265</v>
      </c>
      <c r="I267">
        <f t="shared" si="17"/>
        <v>-43.306938318990142</v>
      </c>
      <c r="J267">
        <f t="shared" si="18"/>
        <v>28.3422324366372</v>
      </c>
      <c r="K267" s="5">
        <f t="shared" si="16"/>
        <v>51.756864723987931</v>
      </c>
    </row>
    <row r="268" spans="8:11" x14ac:dyDescent="0.25">
      <c r="H268" s="5">
        <f t="shared" si="19"/>
        <v>266</v>
      </c>
      <c r="I268">
        <f t="shared" si="17"/>
        <v>-43.470360727741046</v>
      </c>
      <c r="J268">
        <f t="shared" si="18"/>
        <v>28.449184257152812</v>
      </c>
      <c r="K268" s="5">
        <f t="shared" si="16"/>
        <v>51.95217364747468</v>
      </c>
    </row>
    <row r="269" spans="8:11" x14ac:dyDescent="0.25">
      <c r="H269" s="5">
        <f t="shared" si="19"/>
        <v>267</v>
      </c>
      <c r="I269">
        <f t="shared" si="17"/>
        <v>-43.633783136491957</v>
      </c>
      <c r="J269">
        <f t="shared" si="18"/>
        <v>28.556136077668423</v>
      </c>
      <c r="K269" s="5">
        <f t="shared" si="16"/>
        <v>52.147482570961429</v>
      </c>
    </row>
    <row r="270" spans="8:11" x14ac:dyDescent="0.25">
      <c r="H270" s="5">
        <f t="shared" si="19"/>
        <v>268</v>
      </c>
      <c r="I270">
        <f t="shared" si="17"/>
        <v>-43.797205545242861</v>
      </c>
      <c r="J270">
        <f t="shared" si="18"/>
        <v>28.663087898184038</v>
      </c>
      <c r="K270" s="5">
        <f t="shared" si="16"/>
        <v>52.342791494448178</v>
      </c>
    </row>
    <row r="271" spans="8:11" x14ac:dyDescent="0.25">
      <c r="H271" s="5">
        <f t="shared" si="19"/>
        <v>269</v>
      </c>
      <c r="I271">
        <f t="shared" si="17"/>
        <v>-43.960627953993765</v>
      </c>
      <c r="J271">
        <f t="shared" si="18"/>
        <v>28.77003971869965</v>
      </c>
      <c r="K271" s="5">
        <f t="shared" si="16"/>
        <v>52.53810041793492</v>
      </c>
    </row>
    <row r="272" spans="8:11" x14ac:dyDescent="0.25">
      <c r="H272" s="5">
        <f t="shared" si="19"/>
        <v>270</v>
      </c>
      <c r="I272">
        <f t="shared" si="17"/>
        <v>-44.124050362744676</v>
      </c>
      <c r="J272">
        <f t="shared" si="18"/>
        <v>28.876991539215261</v>
      </c>
      <c r="K272" s="5">
        <f t="shared" si="16"/>
        <v>52.73340934142167</v>
      </c>
    </row>
    <row r="273" spans="8:11" x14ac:dyDescent="0.25">
      <c r="H273" s="5">
        <f t="shared" si="19"/>
        <v>271</v>
      </c>
      <c r="I273">
        <f t="shared" si="17"/>
        <v>-44.28747277149558</v>
      </c>
      <c r="J273">
        <f t="shared" si="18"/>
        <v>28.983943359730873</v>
      </c>
      <c r="K273" s="5">
        <f t="shared" si="16"/>
        <v>52.928718264908412</v>
      </c>
    </row>
    <row r="274" spans="8:11" x14ac:dyDescent="0.25">
      <c r="H274" s="5">
        <f t="shared" si="19"/>
        <v>272</v>
      </c>
      <c r="I274">
        <f t="shared" si="17"/>
        <v>-44.450895180246484</v>
      </c>
      <c r="J274">
        <f t="shared" si="18"/>
        <v>29.090895180246484</v>
      </c>
      <c r="K274" s="5">
        <f t="shared" si="16"/>
        <v>53.124027188395161</v>
      </c>
    </row>
    <row r="275" spans="8:11" x14ac:dyDescent="0.25">
      <c r="H275" s="5">
        <f t="shared" si="19"/>
        <v>273</v>
      </c>
      <c r="I275">
        <f t="shared" si="17"/>
        <v>-44.614317588997395</v>
      </c>
      <c r="J275">
        <f t="shared" si="18"/>
        <v>29.197847000762096</v>
      </c>
      <c r="K275" s="5">
        <f t="shared" si="16"/>
        <v>53.31933611188191</v>
      </c>
    </row>
    <row r="276" spans="8:11" x14ac:dyDescent="0.25">
      <c r="H276" s="5">
        <f t="shared" si="19"/>
        <v>274</v>
      </c>
      <c r="I276">
        <f t="shared" si="17"/>
        <v>-44.777739997748299</v>
      </c>
      <c r="J276">
        <f t="shared" si="18"/>
        <v>29.304798821277711</v>
      </c>
      <c r="K276" s="5">
        <f t="shared" si="16"/>
        <v>53.514645035368659</v>
      </c>
    </row>
    <row r="277" spans="8:11" x14ac:dyDescent="0.25">
      <c r="H277" s="5">
        <f t="shared" si="19"/>
        <v>275</v>
      </c>
      <c r="I277">
        <f t="shared" si="17"/>
        <v>-44.941162406499203</v>
      </c>
      <c r="J277">
        <f t="shared" si="18"/>
        <v>29.411750641793322</v>
      </c>
      <c r="K277" s="5">
        <f t="shared" si="16"/>
        <v>53.709953958855401</v>
      </c>
    </row>
    <row r="278" spans="8:11" x14ac:dyDescent="0.25">
      <c r="H278" s="5">
        <f t="shared" si="19"/>
        <v>276</v>
      </c>
      <c r="I278">
        <f t="shared" si="17"/>
        <v>-45.104584815250114</v>
      </c>
      <c r="J278">
        <f t="shared" si="18"/>
        <v>29.518702462308934</v>
      </c>
      <c r="K278" s="5">
        <f t="shared" si="16"/>
        <v>53.90526288234215</v>
      </c>
    </row>
    <row r="279" spans="8:11" x14ac:dyDescent="0.25">
      <c r="H279" s="5">
        <f t="shared" si="19"/>
        <v>277</v>
      </c>
      <c r="I279">
        <f t="shared" si="17"/>
        <v>-45.268007224001018</v>
      </c>
      <c r="J279">
        <f t="shared" si="18"/>
        <v>29.625654282824545</v>
      </c>
      <c r="K279" s="5">
        <f t="shared" si="16"/>
        <v>54.100571805828899</v>
      </c>
    </row>
    <row r="280" spans="8:11" x14ac:dyDescent="0.25">
      <c r="H280" s="5">
        <f t="shared" si="19"/>
        <v>278</v>
      </c>
      <c r="I280">
        <f t="shared" si="17"/>
        <v>-45.431429632751922</v>
      </c>
      <c r="J280">
        <f t="shared" si="18"/>
        <v>29.732606103340157</v>
      </c>
      <c r="K280" s="5">
        <f t="shared" si="16"/>
        <v>54.295880729315641</v>
      </c>
    </row>
    <row r="281" spans="8:11" x14ac:dyDescent="0.25">
      <c r="H281" s="5">
        <f t="shared" si="19"/>
        <v>279</v>
      </c>
      <c r="I281">
        <f t="shared" si="17"/>
        <v>-45.594852041502833</v>
      </c>
      <c r="J281">
        <f t="shared" si="18"/>
        <v>29.839557923855772</v>
      </c>
      <c r="K281" s="5">
        <f t="shared" si="16"/>
        <v>54.491189652802397</v>
      </c>
    </row>
    <row r="282" spans="8:11" x14ac:dyDescent="0.25">
      <c r="H282" s="5">
        <f t="shared" si="19"/>
        <v>280</v>
      </c>
      <c r="I282">
        <f t="shared" si="17"/>
        <v>-45.758274450253737</v>
      </c>
      <c r="J282">
        <f t="shared" si="18"/>
        <v>29.946509744371383</v>
      </c>
      <c r="K282" s="5">
        <f t="shared" si="16"/>
        <v>54.686498576289139</v>
      </c>
    </row>
    <row r="283" spans="8:11" x14ac:dyDescent="0.25">
      <c r="H283" s="5">
        <f t="shared" si="19"/>
        <v>281</v>
      </c>
      <c r="I283">
        <f t="shared" si="17"/>
        <v>-45.921696859004641</v>
      </c>
      <c r="J283">
        <f t="shared" si="18"/>
        <v>30.053461564886994</v>
      </c>
      <c r="K283" s="5">
        <f t="shared" si="16"/>
        <v>54.881807499775881</v>
      </c>
    </row>
    <row r="284" spans="8:11" x14ac:dyDescent="0.25">
      <c r="H284" s="5">
        <f t="shared" si="19"/>
        <v>282</v>
      </c>
      <c r="I284">
        <f t="shared" si="17"/>
        <v>-46.085119267755537</v>
      </c>
      <c r="J284">
        <f t="shared" si="18"/>
        <v>30.160413385402602</v>
      </c>
      <c r="K284" s="5">
        <f t="shared" si="16"/>
        <v>55.077116423262623</v>
      </c>
    </row>
    <row r="285" spans="8:11" x14ac:dyDescent="0.25">
      <c r="H285" s="5">
        <f t="shared" si="19"/>
        <v>283</v>
      </c>
      <c r="I285">
        <f t="shared" si="17"/>
        <v>-46.248541676506449</v>
      </c>
      <c r="J285">
        <f t="shared" si="18"/>
        <v>30.267365205918214</v>
      </c>
      <c r="K285" s="5">
        <f t="shared" si="16"/>
        <v>55.272425346749372</v>
      </c>
    </row>
    <row r="286" spans="8:11" x14ac:dyDescent="0.25">
      <c r="H286" s="5">
        <f t="shared" si="19"/>
        <v>284</v>
      </c>
      <c r="I286">
        <f t="shared" si="17"/>
        <v>-46.411964085257353</v>
      </c>
      <c r="J286">
        <f t="shared" si="18"/>
        <v>30.374317026433825</v>
      </c>
      <c r="K286" s="5">
        <f t="shared" si="16"/>
        <v>55.467734270236114</v>
      </c>
    </row>
    <row r="287" spans="8:11" x14ac:dyDescent="0.25">
      <c r="H287" s="5">
        <f t="shared" si="19"/>
        <v>285</v>
      </c>
      <c r="I287">
        <f t="shared" si="17"/>
        <v>-46.575386494008256</v>
      </c>
      <c r="J287">
        <f t="shared" si="18"/>
        <v>30.481268846949437</v>
      </c>
      <c r="K287" s="5">
        <f t="shared" si="16"/>
        <v>55.663043193722856</v>
      </c>
    </row>
    <row r="288" spans="8:11" x14ac:dyDescent="0.25">
      <c r="H288" s="5">
        <f t="shared" si="19"/>
        <v>286</v>
      </c>
      <c r="I288">
        <f t="shared" si="17"/>
        <v>-46.738808902759168</v>
      </c>
      <c r="J288">
        <f t="shared" si="18"/>
        <v>30.588220667465048</v>
      </c>
      <c r="K288" s="5">
        <f t="shared" si="16"/>
        <v>55.858352117209613</v>
      </c>
    </row>
    <row r="289" spans="8:11" x14ac:dyDescent="0.25">
      <c r="H289" s="5">
        <f t="shared" si="19"/>
        <v>287</v>
      </c>
      <c r="I289">
        <f t="shared" si="17"/>
        <v>-46.902231311510072</v>
      </c>
      <c r="J289">
        <f t="shared" si="18"/>
        <v>30.695172487980663</v>
      </c>
      <c r="K289" s="5">
        <f t="shared" si="16"/>
        <v>56.053661040696362</v>
      </c>
    </row>
    <row r="290" spans="8:11" x14ac:dyDescent="0.25">
      <c r="H290" s="5">
        <f t="shared" si="19"/>
        <v>288</v>
      </c>
      <c r="I290">
        <f t="shared" si="17"/>
        <v>-47.065653720260975</v>
      </c>
      <c r="J290">
        <f t="shared" si="18"/>
        <v>30.802124308496275</v>
      </c>
      <c r="K290" s="5">
        <f t="shared" si="16"/>
        <v>56.248969964183104</v>
      </c>
    </row>
    <row r="291" spans="8:11" x14ac:dyDescent="0.25">
      <c r="H291" s="5">
        <f t="shared" si="19"/>
        <v>289</v>
      </c>
      <c r="I291">
        <f t="shared" si="17"/>
        <v>-47.229076129011887</v>
      </c>
      <c r="J291">
        <f t="shared" si="18"/>
        <v>30.909076129011886</v>
      </c>
      <c r="K291" s="5">
        <f t="shared" si="16"/>
        <v>56.444278887669853</v>
      </c>
    </row>
    <row r="292" spans="8:11" x14ac:dyDescent="0.25">
      <c r="H292" s="5">
        <f t="shared" si="19"/>
        <v>290</v>
      </c>
      <c r="I292">
        <f t="shared" si="17"/>
        <v>-47.392498537762791</v>
      </c>
      <c r="J292">
        <f t="shared" si="18"/>
        <v>31.016027949527498</v>
      </c>
      <c r="K292" s="5">
        <f t="shared" si="16"/>
        <v>56.639587811156595</v>
      </c>
    </row>
    <row r="293" spans="8:11" x14ac:dyDescent="0.25">
      <c r="H293" s="5">
        <f t="shared" si="19"/>
        <v>291</v>
      </c>
      <c r="I293">
        <f t="shared" si="17"/>
        <v>-47.555920946513695</v>
      </c>
      <c r="J293">
        <f t="shared" si="18"/>
        <v>31.122979770043109</v>
      </c>
      <c r="K293" s="5">
        <f t="shared" si="16"/>
        <v>56.834896734643344</v>
      </c>
    </row>
    <row r="294" spans="8:11" x14ac:dyDescent="0.25">
      <c r="H294" s="5">
        <f t="shared" si="19"/>
        <v>292</v>
      </c>
      <c r="I294">
        <f t="shared" si="17"/>
        <v>-47.719343355264606</v>
      </c>
      <c r="J294">
        <f t="shared" si="18"/>
        <v>31.229931590558724</v>
      </c>
      <c r="K294" s="5">
        <f t="shared" si="16"/>
        <v>57.030205658130093</v>
      </c>
    </row>
    <row r="295" spans="8:11" x14ac:dyDescent="0.25">
      <c r="H295" s="5">
        <f t="shared" si="19"/>
        <v>293</v>
      </c>
      <c r="I295">
        <f t="shared" si="17"/>
        <v>-47.88276576401551</v>
      </c>
      <c r="J295">
        <f t="shared" si="18"/>
        <v>31.336883411074336</v>
      </c>
      <c r="K295" s="5">
        <f t="shared" si="16"/>
        <v>57.225514581616842</v>
      </c>
    </row>
    <row r="296" spans="8:11" x14ac:dyDescent="0.25">
      <c r="H296" s="5">
        <f t="shared" si="19"/>
        <v>294</v>
      </c>
      <c r="I296">
        <f t="shared" si="17"/>
        <v>-48.046188172766414</v>
      </c>
      <c r="J296">
        <f t="shared" si="18"/>
        <v>31.443835231589947</v>
      </c>
      <c r="K296" s="5">
        <f t="shared" si="16"/>
        <v>57.420823505103584</v>
      </c>
    </row>
    <row r="297" spans="8:11" x14ac:dyDescent="0.25">
      <c r="H297" s="5">
        <f t="shared" si="19"/>
        <v>295</v>
      </c>
      <c r="I297">
        <f t="shared" si="17"/>
        <v>-48.209610581517325</v>
      </c>
      <c r="J297">
        <f t="shared" si="18"/>
        <v>31.550787052105559</v>
      </c>
      <c r="K297" s="5">
        <f t="shared" si="16"/>
        <v>57.61613242859034</v>
      </c>
    </row>
    <row r="298" spans="8:11" x14ac:dyDescent="0.25">
      <c r="H298" s="5">
        <f t="shared" si="19"/>
        <v>296</v>
      </c>
      <c r="I298">
        <f t="shared" si="17"/>
        <v>-48.373032990268229</v>
      </c>
      <c r="J298">
        <f t="shared" si="18"/>
        <v>31.65773887262117</v>
      </c>
      <c r="K298" s="5">
        <f t="shared" si="16"/>
        <v>57.811441352077082</v>
      </c>
    </row>
    <row r="299" spans="8:11" x14ac:dyDescent="0.25">
      <c r="H299" s="5">
        <f t="shared" si="19"/>
        <v>297</v>
      </c>
      <c r="I299">
        <f t="shared" si="17"/>
        <v>-48.536455399019133</v>
      </c>
      <c r="J299">
        <f t="shared" si="18"/>
        <v>31.764690693136782</v>
      </c>
      <c r="K299" s="5">
        <f t="shared" si="16"/>
        <v>58.006750275563832</v>
      </c>
    </row>
    <row r="300" spans="8:11" x14ac:dyDescent="0.25">
      <c r="H300" s="5">
        <f t="shared" si="19"/>
        <v>298</v>
      </c>
      <c r="I300">
        <f t="shared" si="17"/>
        <v>-48.699877807770044</v>
      </c>
      <c r="J300">
        <f t="shared" si="18"/>
        <v>31.871642513652397</v>
      </c>
      <c r="K300" s="5">
        <f t="shared" si="16"/>
        <v>58.202059199050581</v>
      </c>
    </row>
    <row r="301" spans="8:11" x14ac:dyDescent="0.25">
      <c r="H301" s="5">
        <f t="shared" si="19"/>
        <v>299</v>
      </c>
      <c r="I301">
        <f t="shared" si="17"/>
        <v>-48.863300216520948</v>
      </c>
      <c r="J301">
        <f t="shared" si="18"/>
        <v>31.978594334168008</v>
      </c>
      <c r="K301" s="5">
        <f t="shared" si="16"/>
        <v>58.397368122537323</v>
      </c>
    </row>
    <row r="302" spans="8:11" x14ac:dyDescent="0.25">
      <c r="H302" s="5">
        <f t="shared" si="19"/>
        <v>300</v>
      </c>
      <c r="I302">
        <f t="shared" si="17"/>
        <v>-49.026722625271852</v>
      </c>
      <c r="J302">
        <f t="shared" si="18"/>
        <v>32.08554615468362</v>
      </c>
      <c r="K302" s="5">
        <f t="shared" si="16"/>
        <v>58.592677046024072</v>
      </c>
    </row>
    <row r="303" spans="8:11" x14ac:dyDescent="0.25">
      <c r="H303" s="5">
        <f t="shared" si="19"/>
        <v>301</v>
      </c>
      <c r="I303">
        <f t="shared" si="17"/>
        <v>-48.937583129589548</v>
      </c>
      <c r="J303">
        <f t="shared" si="18"/>
        <v>31.939936070766013</v>
      </c>
      <c r="K303" s="5">
        <f t="shared" si="16"/>
        <v>58.438399693781037</v>
      </c>
    </row>
    <row r="304" spans="8:11" x14ac:dyDescent="0.25">
      <c r="H304" s="5">
        <f t="shared" si="19"/>
        <v>302</v>
      </c>
      <c r="I304">
        <f t="shared" si="17"/>
        <v>-48.84844363390723</v>
      </c>
      <c r="J304">
        <f t="shared" si="18"/>
        <v>31.794325986848403</v>
      </c>
      <c r="K304" s="5">
        <f t="shared" si="16"/>
        <v>58.284214075622529</v>
      </c>
    </row>
    <row r="305" spans="8:11" x14ac:dyDescent="0.25">
      <c r="H305" s="5">
        <f t="shared" si="19"/>
        <v>303</v>
      </c>
      <c r="I305">
        <f t="shared" si="17"/>
        <v>-48.759304138224913</v>
      </c>
      <c r="J305">
        <f t="shared" si="18"/>
        <v>31.6487159029308</v>
      </c>
      <c r="K305" s="5">
        <f t="shared" si="16"/>
        <v>58.130120921501117</v>
      </c>
    </row>
    <row r="306" spans="8:11" x14ac:dyDescent="0.25">
      <c r="H306" s="5">
        <f t="shared" si="19"/>
        <v>304</v>
      </c>
      <c r="I306">
        <f t="shared" si="17"/>
        <v>-48.670164642542602</v>
      </c>
      <c r="J306">
        <f t="shared" si="18"/>
        <v>31.503105819013189</v>
      </c>
      <c r="K306" s="5">
        <f t="shared" si="16"/>
        <v>57.976120968689749</v>
      </c>
    </row>
    <row r="307" spans="8:11" x14ac:dyDescent="0.25">
      <c r="H307" s="5">
        <f t="shared" si="19"/>
        <v>305</v>
      </c>
      <c r="I307">
        <f t="shared" si="17"/>
        <v>-48.581025146860291</v>
      </c>
      <c r="J307">
        <f t="shared" si="18"/>
        <v>31.35749573509559</v>
      </c>
      <c r="K307" s="5">
        <f t="shared" si="16"/>
        <v>57.822214961867466</v>
      </c>
    </row>
    <row r="308" spans="8:11" x14ac:dyDescent="0.25">
      <c r="H308" s="5">
        <f t="shared" si="19"/>
        <v>306</v>
      </c>
      <c r="I308">
        <f t="shared" si="17"/>
        <v>-48.491885651177981</v>
      </c>
      <c r="J308">
        <f t="shared" si="18"/>
        <v>31.21188565117798</v>
      </c>
      <c r="K308" s="5">
        <f t="shared" si="16"/>
        <v>57.668403653206241</v>
      </c>
    </row>
    <row r="309" spans="8:11" x14ac:dyDescent="0.25">
      <c r="H309" s="5">
        <f t="shared" si="19"/>
        <v>307</v>
      </c>
      <c r="I309">
        <f t="shared" si="17"/>
        <v>-48.402746155495663</v>
      </c>
      <c r="J309">
        <f t="shared" si="18"/>
        <v>31.066275567260377</v>
      </c>
      <c r="K309" s="5">
        <f t="shared" si="16"/>
        <v>57.514687802458852</v>
      </c>
    </row>
    <row r="310" spans="8:11" x14ac:dyDescent="0.25">
      <c r="H310" s="5">
        <f t="shared" si="19"/>
        <v>308</v>
      </c>
      <c r="I310">
        <f t="shared" si="17"/>
        <v>-48.313606659813352</v>
      </c>
      <c r="J310">
        <f t="shared" si="18"/>
        <v>30.920665483342766</v>
      </c>
      <c r="K310" s="5">
        <f t="shared" si="16"/>
        <v>57.361068177047976</v>
      </c>
    </row>
    <row r="311" spans="8:11" x14ac:dyDescent="0.25">
      <c r="H311" s="5">
        <f t="shared" si="19"/>
        <v>309</v>
      </c>
      <c r="I311">
        <f t="shared" si="17"/>
        <v>-48.224467164131042</v>
      </c>
      <c r="J311">
        <f t="shared" si="18"/>
        <v>30.77505539942516</v>
      </c>
      <c r="K311" s="5">
        <f t="shared" si="16"/>
        <v>57.207545552156326</v>
      </c>
    </row>
    <row r="312" spans="8:11" x14ac:dyDescent="0.25">
      <c r="H312" s="5">
        <f t="shared" si="19"/>
        <v>310</v>
      </c>
      <c r="I312">
        <f t="shared" si="17"/>
        <v>-48.135327668448731</v>
      </c>
      <c r="J312">
        <f t="shared" si="18"/>
        <v>30.629445315507553</v>
      </c>
      <c r="K312" s="5">
        <f t="shared" si="16"/>
        <v>57.054120710818019</v>
      </c>
    </row>
    <row r="313" spans="8:11" x14ac:dyDescent="0.25">
      <c r="H313" s="5">
        <f t="shared" si="19"/>
        <v>311</v>
      </c>
      <c r="I313">
        <f t="shared" si="17"/>
        <v>-48.046188172766421</v>
      </c>
      <c r="J313">
        <f t="shared" si="18"/>
        <v>30.483835231589946</v>
      </c>
      <c r="K313" s="5">
        <f t="shared" si="16"/>
        <v>56.900794444011105</v>
      </c>
    </row>
    <row r="314" spans="8:11" x14ac:dyDescent="0.25">
      <c r="H314" s="5">
        <f t="shared" si="19"/>
        <v>312</v>
      </c>
      <c r="I314">
        <f t="shared" si="17"/>
        <v>-47.957048677084096</v>
      </c>
      <c r="J314">
        <f t="shared" si="18"/>
        <v>30.33822514767234</v>
      </c>
      <c r="K314" s="5">
        <f t="shared" si="16"/>
        <v>56.747567550751214</v>
      </c>
    </row>
    <row r="315" spans="8:11" x14ac:dyDescent="0.25">
      <c r="H315" s="5">
        <f t="shared" si="19"/>
        <v>313</v>
      </c>
      <c r="I315">
        <f t="shared" si="17"/>
        <v>-47.867909181401792</v>
      </c>
      <c r="J315">
        <f t="shared" si="18"/>
        <v>30.192615063754729</v>
      </c>
      <c r="K315" s="5">
        <f t="shared" si="16"/>
        <v>56.594440838186564</v>
      </c>
    </row>
    <row r="316" spans="8:11" x14ac:dyDescent="0.25">
      <c r="H316" s="5">
        <f t="shared" si="19"/>
        <v>314</v>
      </c>
      <c r="I316">
        <f t="shared" si="17"/>
        <v>-47.778769685719482</v>
      </c>
      <c r="J316">
        <f t="shared" si="18"/>
        <v>30.047004979837123</v>
      </c>
      <c r="K316" s="5">
        <f t="shared" si="16"/>
        <v>56.441415121693964</v>
      </c>
    </row>
    <row r="317" spans="8:11" x14ac:dyDescent="0.25">
      <c r="H317" s="5">
        <f t="shared" si="19"/>
        <v>315</v>
      </c>
      <c r="I317">
        <f t="shared" si="17"/>
        <v>-47.689630190037164</v>
      </c>
      <c r="J317">
        <f t="shared" si="18"/>
        <v>29.901394895919516</v>
      </c>
      <c r="K317" s="5">
        <f t="shared" si="16"/>
        <v>56.288491224976234</v>
      </c>
    </row>
    <row r="318" spans="8:11" x14ac:dyDescent="0.25">
      <c r="H318" s="5">
        <f t="shared" si="19"/>
        <v>316</v>
      </c>
      <c r="I318">
        <f t="shared" si="17"/>
        <v>-47.60049069435486</v>
      </c>
      <c r="J318">
        <f t="shared" si="18"/>
        <v>29.755784812001917</v>
      </c>
      <c r="K318" s="5">
        <f t="shared" si="16"/>
        <v>56.135669980160813</v>
      </c>
    </row>
    <row r="319" spans="8:11" x14ac:dyDescent="0.25">
      <c r="H319" s="5">
        <f t="shared" si="19"/>
        <v>317</v>
      </c>
      <c r="I319">
        <f t="shared" si="17"/>
        <v>-47.511351198672536</v>
      </c>
      <c r="J319">
        <f t="shared" si="18"/>
        <v>29.610174728084306</v>
      </c>
      <c r="K319" s="5">
        <f t="shared" si="16"/>
        <v>55.982952227899567</v>
      </c>
    </row>
    <row r="320" spans="8:11" x14ac:dyDescent="0.25">
      <c r="H320" s="5">
        <f t="shared" si="19"/>
        <v>318</v>
      </c>
      <c r="I320">
        <f t="shared" si="17"/>
        <v>-47.422211702990225</v>
      </c>
      <c r="J320">
        <f t="shared" si="18"/>
        <v>29.4645646441667</v>
      </c>
      <c r="K320" s="5">
        <f t="shared" si="16"/>
        <v>55.830338817470036</v>
      </c>
    </row>
    <row r="321" spans="8:11" x14ac:dyDescent="0.25">
      <c r="H321" s="5">
        <f t="shared" si="19"/>
        <v>319</v>
      </c>
      <c r="I321">
        <f t="shared" si="17"/>
        <v>-47.333072207307922</v>
      </c>
      <c r="J321">
        <f t="shared" si="18"/>
        <v>29.318954560249093</v>
      </c>
      <c r="K321" s="5">
        <f t="shared" si="16"/>
        <v>55.677830606877784</v>
      </c>
    </row>
    <row r="322" spans="8:11" x14ac:dyDescent="0.25">
      <c r="H322" s="5">
        <f t="shared" si="19"/>
        <v>320</v>
      </c>
      <c r="I322">
        <f t="shared" si="17"/>
        <v>-47.243932711625604</v>
      </c>
      <c r="J322">
        <f t="shared" si="18"/>
        <v>29.173344476331486</v>
      </c>
      <c r="K322" s="5">
        <f t="shared" ref="K322:K385" si="20">SQRT((I322^2)+(J322^2))</f>
        <v>55.525428462960178</v>
      </c>
    </row>
    <row r="323" spans="8:11" x14ac:dyDescent="0.25">
      <c r="H323" s="5">
        <f t="shared" si="19"/>
        <v>321</v>
      </c>
      <c r="I323">
        <f t="shared" ref="I323:I386" si="21">D$29*($H323/1000)+D$18*(($H323/1000)-($D$7/1000))*(($H323/1000)&gt;($D$7/1000))+D$19*(($H323/1000)-($D$8/1000))*(($H323/1000)&gt;($D$8/1000))+D$20*(($H323/1000)-($D$9/1000))*(($H323/1000)&gt;($D$9/1000))+D$21*(($H323/1000)-($D$10/1000))*(($H323/1000)&gt;($D$10/1000))</f>
        <v>-47.154793215943286</v>
      </c>
      <c r="J323">
        <f t="shared" ref="J323:J386" si="22">E$29*($H323/1000)+E$18*(($H323/1000)-($D$7/1000))*(($H323/1000)&gt;($D$7/1000))+E$19*(($H323/1000)-($D$8/1000))*(($H323/1000)&gt;($D$8/1000))+E$20*(($H323/1000)-($D$9/1000))*(($H323/1000)&gt;($D$9/1000))+E$21*(($H323/1000)-($D$10/1000))*(($H323/1000)&gt;($D$10/1000))</f>
        <v>29.027734392413876</v>
      </c>
      <c r="K323" s="5">
        <f t="shared" si="20"/>
        <v>55.373133261491517</v>
      </c>
    </row>
    <row r="324" spans="8:11" x14ac:dyDescent="0.25">
      <c r="H324" s="5">
        <f t="shared" ref="H324:H387" si="23">IF((ROW(A322)*$G$2)&lt;=$D$5, ROW(A322)*$G$2,NA())</f>
        <v>322</v>
      </c>
      <c r="I324">
        <f t="shared" si="21"/>
        <v>-47.065653720260983</v>
      </c>
      <c r="J324">
        <f t="shared" si="22"/>
        <v>28.88212430849627</v>
      </c>
      <c r="K324" s="5">
        <f t="shared" si="20"/>
        <v>55.220945887289432</v>
      </c>
    </row>
    <row r="325" spans="8:11" x14ac:dyDescent="0.25">
      <c r="H325" s="5">
        <f t="shared" si="23"/>
        <v>323</v>
      </c>
      <c r="I325">
        <f t="shared" si="21"/>
        <v>-46.976514224578665</v>
      </c>
      <c r="J325">
        <f t="shared" si="22"/>
        <v>28.736514224578663</v>
      </c>
      <c r="K325" s="5">
        <f t="shared" si="20"/>
        <v>55.068867234322639</v>
      </c>
    </row>
    <row r="326" spans="8:11" x14ac:dyDescent="0.25">
      <c r="H326" s="5">
        <f t="shared" si="23"/>
        <v>324</v>
      </c>
      <c r="I326">
        <f t="shared" si="21"/>
        <v>-46.887374728896354</v>
      </c>
      <c r="J326">
        <f t="shared" si="22"/>
        <v>28.590904140661056</v>
      </c>
      <c r="K326" s="5">
        <f t="shared" si="20"/>
        <v>54.916898205820203</v>
      </c>
    </row>
    <row r="327" spans="8:11" x14ac:dyDescent="0.25">
      <c r="H327" s="5">
        <f t="shared" si="23"/>
        <v>325</v>
      </c>
      <c r="I327">
        <f t="shared" si="21"/>
        <v>-46.798235233214044</v>
      </c>
      <c r="J327">
        <f t="shared" si="22"/>
        <v>28.44529405674345</v>
      </c>
      <c r="K327" s="5">
        <f t="shared" si="20"/>
        <v>54.765039714382027</v>
      </c>
    </row>
    <row r="328" spans="8:11" x14ac:dyDescent="0.25">
      <c r="H328" s="5">
        <f t="shared" si="23"/>
        <v>326</v>
      </c>
      <c r="I328">
        <f t="shared" si="21"/>
        <v>-46.709095737531726</v>
      </c>
      <c r="J328">
        <f t="shared" si="22"/>
        <v>28.299683972825846</v>
      </c>
      <c r="K328" s="5">
        <f t="shared" si="20"/>
        <v>54.613292682090872</v>
      </c>
    </row>
    <row r="329" spans="8:11" x14ac:dyDescent="0.25">
      <c r="H329" s="5">
        <f t="shared" si="23"/>
        <v>327</v>
      </c>
      <c r="I329">
        <f t="shared" si="21"/>
        <v>-46.619956241849415</v>
      </c>
      <c r="J329">
        <f t="shared" si="22"/>
        <v>28.15407388890824</v>
      </c>
      <c r="K329" s="5">
        <f t="shared" si="20"/>
        <v>54.461658040625785</v>
      </c>
    </row>
    <row r="330" spans="8:11" x14ac:dyDescent="0.25">
      <c r="H330" s="5">
        <f t="shared" si="23"/>
        <v>328</v>
      </c>
      <c r="I330">
        <f t="shared" si="21"/>
        <v>-46.530816746167105</v>
      </c>
      <c r="J330">
        <f t="shared" si="22"/>
        <v>28.008463804990637</v>
      </c>
      <c r="K330" s="5">
        <f t="shared" si="20"/>
        <v>54.310136731376907</v>
      </c>
    </row>
    <row r="331" spans="8:11" x14ac:dyDescent="0.25">
      <c r="H331" s="5">
        <f t="shared" si="23"/>
        <v>329</v>
      </c>
      <c r="I331">
        <f t="shared" si="21"/>
        <v>-46.441677250484794</v>
      </c>
      <c r="J331">
        <f t="shared" si="22"/>
        <v>27.862853721073026</v>
      </c>
      <c r="K331" s="5">
        <f t="shared" si="20"/>
        <v>54.158729705561868</v>
      </c>
    </row>
    <row r="332" spans="8:11" x14ac:dyDescent="0.25">
      <c r="H332" s="5">
        <f t="shared" si="23"/>
        <v>330</v>
      </c>
      <c r="I332">
        <f t="shared" si="21"/>
        <v>-46.352537754802469</v>
      </c>
      <c r="J332">
        <f t="shared" si="22"/>
        <v>27.717243637155416</v>
      </c>
      <c r="K332" s="5">
        <f t="shared" si="20"/>
        <v>54.007437924343535</v>
      </c>
    </row>
    <row r="333" spans="8:11" x14ac:dyDescent="0.25">
      <c r="H333" s="5">
        <f t="shared" si="23"/>
        <v>331</v>
      </c>
      <c r="I333">
        <f t="shared" si="21"/>
        <v>-46.263398259120166</v>
      </c>
      <c r="J333">
        <f t="shared" si="22"/>
        <v>27.57163355323781</v>
      </c>
      <c r="K333" s="5">
        <f t="shared" si="20"/>
        <v>53.856262358949422</v>
      </c>
    </row>
    <row r="334" spans="8:11" x14ac:dyDescent="0.25">
      <c r="H334" s="5">
        <f t="shared" si="23"/>
        <v>332</v>
      </c>
      <c r="I334">
        <f t="shared" si="21"/>
        <v>-46.174258763437855</v>
      </c>
      <c r="J334">
        <f t="shared" si="22"/>
        <v>27.426023469320207</v>
      </c>
      <c r="K334" s="5">
        <f t="shared" si="20"/>
        <v>53.705203990792363</v>
      </c>
    </row>
    <row r="335" spans="8:11" x14ac:dyDescent="0.25">
      <c r="H335" s="5">
        <f t="shared" si="23"/>
        <v>333</v>
      </c>
      <c r="I335">
        <f t="shared" si="21"/>
        <v>-46.085119267755537</v>
      </c>
      <c r="J335">
        <f t="shared" si="22"/>
        <v>27.280413385402596</v>
      </c>
      <c r="K335" s="5">
        <f t="shared" si="20"/>
        <v>53.55426381159306</v>
      </c>
    </row>
    <row r="336" spans="8:11" x14ac:dyDescent="0.25">
      <c r="H336" s="5">
        <f t="shared" si="23"/>
        <v>334</v>
      </c>
      <c r="I336">
        <f t="shared" si="21"/>
        <v>-45.995979772073234</v>
      </c>
      <c r="J336">
        <f t="shared" si="22"/>
        <v>27.13480330148499</v>
      </c>
      <c r="K336" s="5">
        <f t="shared" si="20"/>
        <v>53.403442823503909</v>
      </c>
    </row>
    <row r="337" spans="8:11" x14ac:dyDescent="0.25">
      <c r="H337" s="5">
        <f t="shared" si="23"/>
        <v>335</v>
      </c>
      <c r="I337">
        <f t="shared" si="21"/>
        <v>-45.906840276390916</v>
      </c>
      <c r="J337">
        <f t="shared" si="22"/>
        <v>26.989193217567379</v>
      </c>
      <c r="K337" s="5">
        <f t="shared" si="20"/>
        <v>53.252742039234491</v>
      </c>
    </row>
    <row r="338" spans="8:11" x14ac:dyDescent="0.25">
      <c r="H338" s="5">
        <f t="shared" si="23"/>
        <v>336</v>
      </c>
      <c r="I338">
        <f t="shared" si="21"/>
        <v>-45.817700780708599</v>
      </c>
      <c r="J338">
        <f t="shared" si="22"/>
        <v>26.84358313364978</v>
      </c>
      <c r="K338" s="5">
        <f t="shared" si="20"/>
        <v>53.102162482178748</v>
      </c>
    </row>
    <row r="339" spans="8:11" x14ac:dyDescent="0.25">
      <c r="H339" s="5">
        <f t="shared" si="23"/>
        <v>337</v>
      </c>
      <c r="I339">
        <f t="shared" si="21"/>
        <v>-45.728561285026295</v>
      </c>
      <c r="J339">
        <f t="shared" si="22"/>
        <v>26.697973049732177</v>
      </c>
      <c r="K339" s="5">
        <f t="shared" si="20"/>
        <v>52.951705186543627</v>
      </c>
    </row>
    <row r="340" spans="8:11" x14ac:dyDescent="0.25">
      <c r="H340" s="5">
        <f t="shared" si="23"/>
        <v>338</v>
      </c>
      <c r="I340">
        <f t="shared" si="21"/>
        <v>-45.639421789343977</v>
      </c>
      <c r="J340">
        <f t="shared" si="22"/>
        <v>26.552362965814567</v>
      </c>
      <c r="K340" s="5">
        <f t="shared" si="20"/>
        <v>52.801371197479398</v>
      </c>
    </row>
    <row r="341" spans="8:11" x14ac:dyDescent="0.25">
      <c r="H341" s="5">
        <f t="shared" si="23"/>
        <v>339</v>
      </c>
      <c r="I341">
        <f t="shared" si="21"/>
        <v>-45.55028229366166</v>
      </c>
      <c r="J341">
        <f t="shared" si="22"/>
        <v>26.406752881896956</v>
      </c>
      <c r="K341" s="5">
        <f t="shared" si="20"/>
        <v>52.651161571211702</v>
      </c>
    </row>
    <row r="342" spans="8:11" x14ac:dyDescent="0.25">
      <c r="H342" s="5">
        <f t="shared" si="23"/>
        <v>340</v>
      </c>
      <c r="I342">
        <f t="shared" si="21"/>
        <v>-45.461142797979356</v>
      </c>
      <c r="J342">
        <f t="shared" si="22"/>
        <v>26.26114279797935</v>
      </c>
      <c r="K342" s="5">
        <f t="shared" si="20"/>
        <v>52.501077375175193</v>
      </c>
    </row>
    <row r="343" spans="8:11" x14ac:dyDescent="0.25">
      <c r="H343" s="5">
        <f t="shared" si="23"/>
        <v>341</v>
      </c>
      <c r="I343">
        <f t="shared" si="21"/>
        <v>-45.372003302297038</v>
      </c>
      <c r="J343">
        <f t="shared" si="22"/>
        <v>26.115532714061747</v>
      </c>
      <c r="K343" s="5">
        <f t="shared" si="20"/>
        <v>52.35111968814882</v>
      </c>
    </row>
    <row r="344" spans="8:11" x14ac:dyDescent="0.25">
      <c r="H344" s="5">
        <f t="shared" si="23"/>
        <v>342</v>
      </c>
      <c r="I344">
        <f t="shared" si="21"/>
        <v>-45.282863806614728</v>
      </c>
      <c r="J344">
        <f t="shared" si="22"/>
        <v>25.969922630144136</v>
      </c>
      <c r="K344" s="5">
        <f t="shared" si="20"/>
        <v>52.201289600392926</v>
      </c>
    </row>
    <row r="345" spans="8:11" x14ac:dyDescent="0.25">
      <c r="H345" s="5">
        <f t="shared" si="23"/>
        <v>343</v>
      </c>
      <c r="I345">
        <f t="shared" si="21"/>
        <v>-45.193724310932424</v>
      </c>
      <c r="J345">
        <f t="shared" si="22"/>
        <v>25.82431254622653</v>
      </c>
      <c r="K345" s="5">
        <f t="shared" si="20"/>
        <v>52.051588213788037</v>
      </c>
    </row>
    <row r="346" spans="8:11" x14ac:dyDescent="0.25">
      <c r="H346" s="5">
        <f t="shared" si="23"/>
        <v>344</v>
      </c>
      <c r="I346">
        <f t="shared" si="21"/>
        <v>-45.104584815250107</v>
      </c>
      <c r="J346">
        <f t="shared" si="22"/>
        <v>25.67870246230893</v>
      </c>
      <c r="K346" s="5">
        <f t="shared" si="20"/>
        <v>51.902016641975301</v>
      </c>
    </row>
    <row r="347" spans="8:11" x14ac:dyDescent="0.25">
      <c r="H347" s="5">
        <f t="shared" si="23"/>
        <v>345</v>
      </c>
      <c r="I347">
        <f t="shared" si="21"/>
        <v>-45.015445319567796</v>
      </c>
      <c r="J347">
        <f t="shared" si="22"/>
        <v>25.533092378391331</v>
      </c>
      <c r="K347" s="5">
        <f t="shared" si="20"/>
        <v>51.752576010498871</v>
      </c>
    </row>
    <row r="348" spans="8:11" x14ac:dyDescent="0.25">
      <c r="H348" s="5">
        <f t="shared" si="23"/>
        <v>346</v>
      </c>
      <c r="I348">
        <f t="shared" si="21"/>
        <v>-44.926305823885478</v>
      </c>
      <c r="J348">
        <f t="shared" si="22"/>
        <v>25.38748229447372</v>
      </c>
      <c r="K348" s="5">
        <f t="shared" si="20"/>
        <v>51.603267456949887</v>
      </c>
    </row>
    <row r="349" spans="8:11" x14ac:dyDescent="0.25">
      <c r="H349" s="5">
        <f t="shared" si="23"/>
        <v>347</v>
      </c>
      <c r="I349">
        <f t="shared" si="21"/>
        <v>-44.837166328203168</v>
      </c>
      <c r="J349">
        <f t="shared" si="22"/>
        <v>25.24187221055611</v>
      </c>
      <c r="K349" s="5">
        <f t="shared" si="20"/>
        <v>51.454092131112382</v>
      </c>
    </row>
    <row r="350" spans="8:11" x14ac:dyDescent="0.25">
      <c r="H350" s="5">
        <f t="shared" si="23"/>
        <v>348</v>
      </c>
      <c r="I350">
        <f t="shared" si="21"/>
        <v>-44.748026832520857</v>
      </c>
      <c r="J350">
        <f t="shared" si="22"/>
        <v>25.096262126638507</v>
      </c>
      <c r="K350" s="5">
        <f t="shared" si="20"/>
        <v>51.305051195110963</v>
      </c>
    </row>
    <row r="351" spans="8:11" x14ac:dyDescent="0.25">
      <c r="H351" s="5">
        <f t="shared" si="23"/>
        <v>349</v>
      </c>
      <c r="I351">
        <f t="shared" si="21"/>
        <v>-44.658887336838546</v>
      </c>
      <c r="J351">
        <f t="shared" si="22"/>
        <v>24.9506520427209</v>
      </c>
      <c r="K351" s="5">
        <f t="shared" si="20"/>
        <v>51.156145823560351</v>
      </c>
    </row>
    <row r="352" spans="8:11" x14ac:dyDescent="0.25">
      <c r="H352" s="5">
        <f t="shared" si="23"/>
        <v>350</v>
      </c>
      <c r="I352">
        <f t="shared" si="21"/>
        <v>-44.569747841156236</v>
      </c>
      <c r="J352">
        <f t="shared" si="22"/>
        <v>24.80504195880329</v>
      </c>
      <c r="K352" s="5">
        <f t="shared" si="20"/>
        <v>51.00737720371675</v>
      </c>
    </row>
    <row r="353" spans="8:11" x14ac:dyDescent="0.25">
      <c r="H353" s="5">
        <f t="shared" si="23"/>
        <v>351</v>
      </c>
      <c r="I353">
        <f t="shared" si="21"/>
        <v>-44.480608345473918</v>
      </c>
      <c r="J353">
        <f t="shared" si="22"/>
        <v>24.65943187488568</v>
      </c>
      <c r="K353" s="5">
        <f t="shared" si="20"/>
        <v>50.858746535631134</v>
      </c>
    </row>
    <row r="354" spans="8:11" x14ac:dyDescent="0.25">
      <c r="H354" s="5">
        <f t="shared" si="23"/>
        <v>352</v>
      </c>
      <c r="I354">
        <f t="shared" si="21"/>
        <v>-44.3914688497916</v>
      </c>
      <c r="J354">
        <f t="shared" si="22"/>
        <v>24.513821790968077</v>
      </c>
      <c r="K354" s="5">
        <f t="shared" si="20"/>
        <v>50.710255032304453</v>
      </c>
    </row>
    <row r="355" spans="8:11" x14ac:dyDescent="0.25">
      <c r="H355" s="5">
        <f t="shared" si="23"/>
        <v>353</v>
      </c>
      <c r="I355">
        <f t="shared" si="21"/>
        <v>-44.302329354109297</v>
      </c>
      <c r="J355">
        <f t="shared" si="22"/>
        <v>24.36821170705047</v>
      </c>
      <c r="K355" s="5">
        <f t="shared" si="20"/>
        <v>50.561903919844696</v>
      </c>
    </row>
    <row r="356" spans="8:11" x14ac:dyDescent="0.25">
      <c r="H356" s="5">
        <f t="shared" si="23"/>
        <v>354</v>
      </c>
      <c r="I356">
        <f t="shared" si="21"/>
        <v>-44.213189858426986</v>
      </c>
      <c r="J356">
        <f t="shared" si="22"/>
        <v>24.222601623132864</v>
      </c>
      <c r="K356" s="5">
        <f t="shared" si="20"/>
        <v>50.413694437625871</v>
      </c>
    </row>
    <row r="357" spans="8:11" x14ac:dyDescent="0.25">
      <c r="H357" s="5">
        <f t="shared" si="23"/>
        <v>355</v>
      </c>
      <c r="I357">
        <f t="shared" si="21"/>
        <v>-44.124050362744669</v>
      </c>
      <c r="J357">
        <f t="shared" si="22"/>
        <v>24.07699153921526</v>
      </c>
      <c r="K357" s="5">
        <f t="shared" si="20"/>
        <v>50.26562783844912</v>
      </c>
    </row>
    <row r="358" spans="8:11" x14ac:dyDescent="0.25">
      <c r="H358" s="5">
        <f t="shared" si="23"/>
        <v>356</v>
      </c>
      <c r="I358">
        <f t="shared" si="21"/>
        <v>-44.034910867062358</v>
      </c>
      <c r="J358">
        <f t="shared" si="22"/>
        <v>23.931381455297654</v>
      </c>
      <c r="K358" s="5">
        <f t="shared" si="20"/>
        <v>50.117705388705602</v>
      </c>
    </row>
    <row r="359" spans="8:11" x14ac:dyDescent="0.25">
      <c r="H359" s="5">
        <f t="shared" si="23"/>
        <v>357</v>
      </c>
      <c r="I359">
        <f t="shared" si="21"/>
        <v>-43.94577137138004</v>
      </c>
      <c r="J359">
        <f t="shared" si="22"/>
        <v>23.785771371380047</v>
      </c>
      <c r="K359" s="5">
        <f t="shared" si="20"/>
        <v>49.969928368541495</v>
      </c>
    </row>
    <row r="360" spans="8:11" x14ac:dyDescent="0.25">
      <c r="H360" s="5">
        <f t="shared" si="23"/>
        <v>358</v>
      </c>
      <c r="I360">
        <f t="shared" si="21"/>
        <v>-43.85663187569773</v>
      </c>
      <c r="J360">
        <f t="shared" si="22"/>
        <v>23.64016128746244</v>
      </c>
      <c r="K360" s="5">
        <f t="shared" si="20"/>
        <v>49.822298072024978</v>
      </c>
    </row>
    <row r="361" spans="8:11" x14ac:dyDescent="0.25">
      <c r="H361" s="5">
        <f t="shared" si="23"/>
        <v>359</v>
      </c>
      <c r="I361">
        <f t="shared" si="21"/>
        <v>-43.767492380015426</v>
      </c>
      <c r="J361">
        <f t="shared" si="22"/>
        <v>23.49455120354483</v>
      </c>
      <c r="K361" s="5">
        <f t="shared" si="20"/>
        <v>49.674815807315262</v>
      </c>
    </row>
    <row r="362" spans="8:11" x14ac:dyDescent="0.25">
      <c r="H362" s="5">
        <f t="shared" si="23"/>
        <v>360</v>
      </c>
      <c r="I362">
        <f t="shared" si="21"/>
        <v>-43.678352884333101</v>
      </c>
      <c r="J362">
        <f t="shared" si="22"/>
        <v>23.348941119627224</v>
      </c>
      <c r="K362" s="5">
        <f t="shared" si="20"/>
        <v>49.527482896833639</v>
      </c>
    </row>
    <row r="363" spans="8:11" x14ac:dyDescent="0.25">
      <c r="H363" s="5">
        <f t="shared" si="23"/>
        <v>361</v>
      </c>
      <c r="I363">
        <f t="shared" si="21"/>
        <v>-43.589213388650791</v>
      </c>
      <c r="J363">
        <f t="shared" si="22"/>
        <v>23.203331035709617</v>
      </c>
      <c r="K363" s="5">
        <f t="shared" si="20"/>
        <v>49.380300677436729</v>
      </c>
    </row>
    <row r="364" spans="8:11" x14ac:dyDescent="0.25">
      <c r="H364" s="5">
        <f t="shared" si="23"/>
        <v>362</v>
      </c>
      <c r="I364">
        <f t="shared" si="21"/>
        <v>-43.500073892968487</v>
      </c>
      <c r="J364">
        <f t="shared" si="22"/>
        <v>23.05772095179201</v>
      </c>
      <c r="K364" s="5">
        <f t="shared" si="20"/>
        <v>49.233270500591644</v>
      </c>
    </row>
    <row r="365" spans="8:11" x14ac:dyDescent="0.25">
      <c r="H365" s="5">
        <f t="shared" si="23"/>
        <v>363</v>
      </c>
      <c r="I365">
        <f t="shared" si="21"/>
        <v>-43.410934397286169</v>
      </c>
      <c r="J365">
        <f t="shared" si="22"/>
        <v>22.912110867874404</v>
      </c>
      <c r="K365" s="5">
        <f t="shared" si="20"/>
        <v>49.08639373255334</v>
      </c>
    </row>
    <row r="366" spans="8:11" x14ac:dyDescent="0.25">
      <c r="H366" s="5">
        <f t="shared" si="23"/>
        <v>364</v>
      </c>
      <c r="I366">
        <f t="shared" si="21"/>
        <v>-43.321794901603859</v>
      </c>
      <c r="J366">
        <f t="shared" si="22"/>
        <v>22.766500783956793</v>
      </c>
      <c r="K366" s="5">
        <f t="shared" si="20"/>
        <v>48.939671754544243</v>
      </c>
    </row>
    <row r="367" spans="8:11" x14ac:dyDescent="0.25">
      <c r="H367" s="5">
        <f t="shared" si="23"/>
        <v>365</v>
      </c>
      <c r="I367">
        <f t="shared" si="21"/>
        <v>-43.232655405921541</v>
      </c>
      <c r="J367">
        <f t="shared" si="22"/>
        <v>22.620890700039194</v>
      </c>
      <c r="K367" s="5">
        <f t="shared" si="20"/>
        <v>48.793105962935755</v>
      </c>
    </row>
    <row r="368" spans="8:11" x14ac:dyDescent="0.25">
      <c r="H368" s="5">
        <f t="shared" si="23"/>
        <v>366</v>
      </c>
      <c r="I368">
        <f t="shared" si="21"/>
        <v>-43.14351591023923</v>
      </c>
      <c r="J368">
        <f t="shared" si="22"/>
        <v>22.475280616121587</v>
      </c>
      <c r="K368" s="5">
        <f t="shared" si="20"/>
        <v>48.646697769432166</v>
      </c>
    </row>
    <row r="369" spans="8:11" x14ac:dyDescent="0.25">
      <c r="H369" s="5">
        <f t="shared" si="23"/>
        <v>367</v>
      </c>
      <c r="I369">
        <f t="shared" si="21"/>
        <v>-43.05437641455692</v>
      </c>
      <c r="J369">
        <f t="shared" si="22"/>
        <v>22.329670532203981</v>
      </c>
      <c r="K369" s="5">
        <f t="shared" si="20"/>
        <v>48.500448601256608</v>
      </c>
    </row>
    <row r="370" spans="8:11" x14ac:dyDescent="0.25">
      <c r="H370" s="5">
        <f t="shared" si="23"/>
        <v>368</v>
      </c>
      <c r="I370">
        <f t="shared" si="21"/>
        <v>-42.965236918874609</v>
      </c>
      <c r="J370">
        <f t="shared" si="22"/>
        <v>22.18406044828637</v>
      </c>
      <c r="K370" s="5">
        <f t="shared" si="20"/>
        <v>48.354359901339294</v>
      </c>
    </row>
    <row r="371" spans="8:11" x14ac:dyDescent="0.25">
      <c r="H371" s="5">
        <f t="shared" si="23"/>
        <v>369</v>
      </c>
      <c r="I371">
        <f t="shared" si="21"/>
        <v>-42.876097423192292</v>
      </c>
      <c r="J371">
        <f t="shared" si="22"/>
        <v>22.038450364368764</v>
      </c>
      <c r="K371" s="5">
        <f t="shared" si="20"/>
        <v>48.208433128507941</v>
      </c>
    </row>
    <row r="372" spans="8:11" x14ac:dyDescent="0.25">
      <c r="H372" s="5">
        <f t="shared" si="23"/>
        <v>370</v>
      </c>
      <c r="I372">
        <f t="shared" si="21"/>
        <v>-42.786957927509974</v>
      </c>
      <c r="J372">
        <f t="shared" si="22"/>
        <v>21.892840280451157</v>
      </c>
      <c r="K372" s="5">
        <f t="shared" si="20"/>
        <v>48.062669757680474</v>
      </c>
    </row>
    <row r="373" spans="8:11" x14ac:dyDescent="0.25">
      <c r="H373" s="5">
        <f t="shared" si="23"/>
        <v>371</v>
      </c>
      <c r="I373">
        <f t="shared" si="21"/>
        <v>-42.69781843182767</v>
      </c>
      <c r="J373">
        <f t="shared" si="22"/>
        <v>21.74723019653355</v>
      </c>
      <c r="K373" s="5">
        <f t="shared" si="20"/>
        <v>47.917071280059922</v>
      </c>
    </row>
    <row r="374" spans="8:11" x14ac:dyDescent="0.25">
      <c r="H374" s="5">
        <f t="shared" si="23"/>
        <v>372</v>
      </c>
      <c r="I374">
        <f t="shared" si="21"/>
        <v>-42.60867893614536</v>
      </c>
      <c r="J374">
        <f t="shared" si="22"/>
        <v>21.601620112615944</v>
      </c>
      <c r="K374" s="5">
        <f t="shared" si="20"/>
        <v>47.771639203331624</v>
      </c>
    </row>
    <row r="375" spans="8:11" x14ac:dyDescent="0.25">
      <c r="H375" s="5">
        <f t="shared" si="23"/>
        <v>373</v>
      </c>
      <c r="I375">
        <f t="shared" si="21"/>
        <v>-42.519539440463035</v>
      </c>
      <c r="J375">
        <f t="shared" si="22"/>
        <v>21.456010028698337</v>
      </c>
      <c r="K375" s="5">
        <f t="shared" si="20"/>
        <v>47.626375051862759</v>
      </c>
    </row>
    <row r="376" spans="8:11" x14ac:dyDescent="0.25">
      <c r="H376" s="5">
        <f t="shared" si="23"/>
        <v>374</v>
      </c>
      <c r="I376">
        <f t="shared" si="21"/>
        <v>-42.430399944780731</v>
      </c>
      <c r="J376">
        <f t="shared" si="22"/>
        <v>21.310399944780727</v>
      </c>
      <c r="K376" s="5">
        <f t="shared" si="20"/>
        <v>47.481280366904166</v>
      </c>
    </row>
    <row r="377" spans="8:11" x14ac:dyDescent="0.25">
      <c r="H377" s="5">
        <f t="shared" si="23"/>
        <v>375</v>
      </c>
      <c r="I377">
        <f t="shared" si="21"/>
        <v>-42.341260449098428</v>
      </c>
      <c r="J377">
        <f t="shared" si="22"/>
        <v>21.16478986086312</v>
      </c>
      <c r="K377" s="5">
        <f t="shared" si="20"/>
        <v>47.336356706794419</v>
      </c>
    </row>
    <row r="378" spans="8:11" x14ac:dyDescent="0.25">
      <c r="H378" s="5">
        <f t="shared" si="23"/>
        <v>376</v>
      </c>
      <c r="I378">
        <f t="shared" si="21"/>
        <v>-42.252120953416103</v>
      </c>
      <c r="J378">
        <f t="shared" si="22"/>
        <v>21.019179776945517</v>
      </c>
      <c r="K378" s="5">
        <f t="shared" si="20"/>
        <v>47.191605647166313</v>
      </c>
    </row>
    <row r="379" spans="8:11" x14ac:dyDescent="0.25">
      <c r="H379" s="5">
        <f t="shared" si="23"/>
        <v>377</v>
      </c>
      <c r="I379">
        <f t="shared" si="21"/>
        <v>-42.1629814577338</v>
      </c>
      <c r="J379">
        <f t="shared" si="22"/>
        <v>20.87356969302791</v>
      </c>
      <c r="K379" s="5">
        <f t="shared" si="20"/>
        <v>47.047028781155753</v>
      </c>
    </row>
    <row r="380" spans="8:11" x14ac:dyDescent="0.25">
      <c r="H380" s="5">
        <f t="shared" si="23"/>
        <v>378</v>
      </c>
      <c r="I380">
        <f t="shared" si="21"/>
        <v>-42.073841962051475</v>
      </c>
      <c r="J380">
        <f t="shared" si="22"/>
        <v>20.727959609110307</v>
      </c>
      <c r="K380" s="5">
        <f t="shared" si="20"/>
        <v>46.902627719612809</v>
      </c>
    </row>
    <row r="381" spans="8:11" x14ac:dyDescent="0.25">
      <c r="H381" s="5">
        <f t="shared" si="23"/>
        <v>379</v>
      </c>
      <c r="I381">
        <f t="shared" si="21"/>
        <v>-41.984702466369171</v>
      </c>
      <c r="J381">
        <f t="shared" si="22"/>
        <v>20.582349525192697</v>
      </c>
      <c r="K381" s="5">
        <f t="shared" si="20"/>
        <v>46.758404091315455</v>
      </c>
    </row>
    <row r="382" spans="8:11" x14ac:dyDescent="0.25">
      <c r="H382" s="5">
        <f t="shared" si="23"/>
        <v>380</v>
      </c>
      <c r="I382">
        <f t="shared" si="21"/>
        <v>-41.895562970686861</v>
      </c>
      <c r="J382">
        <f t="shared" si="22"/>
        <v>20.43673944127509</v>
      </c>
      <c r="K382" s="5">
        <f t="shared" si="20"/>
        <v>46.614359543185373</v>
      </c>
    </row>
    <row r="383" spans="8:11" x14ac:dyDescent="0.25">
      <c r="H383" s="5">
        <f t="shared" si="23"/>
        <v>381</v>
      </c>
      <c r="I383">
        <f t="shared" si="21"/>
        <v>-41.806423475004543</v>
      </c>
      <c r="J383">
        <f t="shared" si="22"/>
        <v>20.291129357357484</v>
      </c>
      <c r="K383" s="5">
        <f t="shared" si="20"/>
        <v>46.470495740506422</v>
      </c>
    </row>
    <row r="384" spans="8:11" x14ac:dyDescent="0.25">
      <c r="H384" s="5">
        <f t="shared" si="23"/>
        <v>382</v>
      </c>
      <c r="I384">
        <f t="shared" si="21"/>
        <v>-41.717283979322225</v>
      </c>
      <c r="J384">
        <f t="shared" si="22"/>
        <v>20.145519273439877</v>
      </c>
      <c r="K384" s="5">
        <f t="shared" si="20"/>
        <v>46.326814367145431</v>
      </c>
    </row>
    <row r="385" spans="8:11" x14ac:dyDescent="0.25">
      <c r="H385" s="5">
        <f t="shared" si="23"/>
        <v>383</v>
      </c>
      <c r="I385">
        <f t="shared" si="21"/>
        <v>-41.628144483639915</v>
      </c>
      <c r="J385">
        <f t="shared" si="22"/>
        <v>19.999909189522267</v>
      </c>
      <c r="K385" s="5">
        <f t="shared" si="20"/>
        <v>46.183317125775375</v>
      </c>
    </row>
    <row r="386" spans="8:11" x14ac:dyDescent="0.25">
      <c r="H386" s="5">
        <f t="shared" si="23"/>
        <v>384</v>
      </c>
      <c r="I386">
        <f t="shared" si="21"/>
        <v>-41.539004987957611</v>
      </c>
      <c r="J386">
        <f t="shared" si="22"/>
        <v>19.85429910560466</v>
      </c>
      <c r="K386" s="5">
        <f t="shared" ref="K386:K449" si="24">SQRT((I386^2)+(J386^2))</f>
        <v>46.040005738101087</v>
      </c>
    </row>
    <row r="387" spans="8:11" x14ac:dyDescent="0.25">
      <c r="H387" s="5">
        <f t="shared" si="23"/>
        <v>385</v>
      </c>
      <c r="I387">
        <f t="shared" ref="I387:I450" si="25">D$29*($H387/1000)+D$18*(($H387/1000)-($D$7/1000))*(($H387/1000)&gt;($D$7/1000))+D$19*(($H387/1000)-($D$8/1000))*(($H387/1000)&gt;($D$8/1000))+D$20*(($H387/1000)-($D$9/1000))*(($H387/1000)&gt;($D$9/1000))+D$21*(($H387/1000)-($D$10/1000))*(($H387/1000)&gt;($D$10/1000))</f>
        <v>-41.449865492275293</v>
      </c>
      <c r="J387">
        <f t="shared" ref="J387:J450" si="26">E$29*($H387/1000)+E$18*(($H387/1000)-($D$7/1000))*(($H387/1000)&gt;($D$7/1000))+E$19*(($H387/1000)-($D$8/1000))*(($H387/1000)&gt;($D$8/1000))+E$20*(($H387/1000)-($D$9/1000))*(($H387/1000)&gt;($D$9/1000))+E$21*(($H387/1000)-($D$10/1000))*(($H387/1000)&gt;($D$10/1000))</f>
        <v>19.70868902168705</v>
      </c>
      <c r="K387" s="5">
        <f t="shared" si="24"/>
        <v>45.896881945087316</v>
      </c>
    </row>
    <row r="388" spans="8:11" x14ac:dyDescent="0.25">
      <c r="H388" s="5">
        <f t="shared" ref="H388:H451" si="27">IF((ROW(A386)*$G$2)&lt;=$D$5, ROW(A386)*$G$2,NA())</f>
        <v>386</v>
      </c>
      <c r="I388">
        <f t="shared" si="25"/>
        <v>-41.360725996592983</v>
      </c>
      <c r="J388">
        <f t="shared" si="26"/>
        <v>19.563078937769454</v>
      </c>
      <c r="K388" s="5">
        <f t="shared" si="24"/>
        <v>45.75394750718938</v>
      </c>
    </row>
    <row r="389" spans="8:11" x14ac:dyDescent="0.25">
      <c r="H389" s="5">
        <f t="shared" si="27"/>
        <v>387</v>
      </c>
      <c r="I389">
        <f t="shared" si="25"/>
        <v>-41.271586500910665</v>
      </c>
      <c r="J389">
        <f t="shared" si="26"/>
        <v>19.417468853851847</v>
      </c>
      <c r="K389" s="5">
        <f t="shared" si="24"/>
        <v>45.611204204586159</v>
      </c>
    </row>
    <row r="390" spans="8:11" x14ac:dyDescent="0.25">
      <c r="H390" s="5">
        <f t="shared" si="27"/>
        <v>388</v>
      </c>
      <c r="I390">
        <f t="shared" si="25"/>
        <v>-41.182447005228362</v>
      </c>
      <c r="J390">
        <f t="shared" si="26"/>
        <v>19.271858769934237</v>
      </c>
      <c r="K390" s="5">
        <f t="shared" si="24"/>
        <v>45.468653837415658</v>
      </c>
    </row>
    <row r="391" spans="8:11" x14ac:dyDescent="0.25">
      <c r="H391" s="5">
        <f t="shared" si="27"/>
        <v>389</v>
      </c>
      <c r="I391">
        <f t="shared" si="25"/>
        <v>-41.093307509546044</v>
      </c>
      <c r="J391">
        <f t="shared" si="26"/>
        <v>19.126248686016631</v>
      </c>
      <c r="K391" s="5">
        <f t="shared" si="24"/>
        <v>45.326298226012966</v>
      </c>
    </row>
    <row r="392" spans="8:11" x14ac:dyDescent="0.25">
      <c r="H392" s="5">
        <f t="shared" si="27"/>
        <v>390</v>
      </c>
      <c r="I392">
        <f t="shared" si="25"/>
        <v>-41.004168013863733</v>
      </c>
      <c r="J392">
        <f t="shared" si="26"/>
        <v>18.98063860209902</v>
      </c>
      <c r="K392" s="5">
        <f t="shared" si="24"/>
        <v>45.184139211150821</v>
      </c>
    </row>
    <row r="393" spans="8:11" x14ac:dyDescent="0.25">
      <c r="H393" s="5">
        <f t="shared" si="27"/>
        <v>391</v>
      </c>
      <c r="I393">
        <f t="shared" si="25"/>
        <v>-40.915028518181408</v>
      </c>
      <c r="J393">
        <f t="shared" si="26"/>
        <v>18.835028518181417</v>
      </c>
      <c r="K393" s="5">
        <f t="shared" si="24"/>
        <v>45.042178654282537</v>
      </c>
    </row>
    <row r="394" spans="8:11" x14ac:dyDescent="0.25">
      <c r="H394" s="5">
        <f t="shared" si="27"/>
        <v>392</v>
      </c>
      <c r="I394">
        <f t="shared" si="25"/>
        <v>-40.825889022499105</v>
      </c>
      <c r="J394">
        <f t="shared" si="26"/>
        <v>18.689418434263807</v>
      </c>
      <c r="K394" s="5">
        <f t="shared" si="24"/>
        <v>44.900418437787557</v>
      </c>
    </row>
    <row r="395" spans="8:11" x14ac:dyDescent="0.25">
      <c r="H395" s="5">
        <f t="shared" si="27"/>
        <v>393</v>
      </c>
      <c r="I395">
        <f t="shared" si="25"/>
        <v>-40.736749526816787</v>
      </c>
      <c r="J395">
        <f t="shared" si="26"/>
        <v>18.5438083503462</v>
      </c>
      <c r="K395" s="5">
        <f t="shared" si="24"/>
        <v>44.758860465219364</v>
      </c>
    </row>
    <row r="396" spans="8:11" x14ac:dyDescent="0.25">
      <c r="H396" s="5">
        <f t="shared" si="27"/>
        <v>394</v>
      </c>
      <c r="I396">
        <f t="shared" si="25"/>
        <v>-40.647610031134484</v>
      </c>
      <c r="J396">
        <f t="shared" si="26"/>
        <v>18.398198266428594</v>
      </c>
      <c r="K396" s="5">
        <f t="shared" si="24"/>
        <v>44.617506661556078</v>
      </c>
    </row>
    <row r="397" spans="8:11" x14ac:dyDescent="0.25">
      <c r="H397" s="5">
        <f t="shared" si="27"/>
        <v>395</v>
      </c>
      <c r="I397">
        <f t="shared" si="25"/>
        <v>-40.558470535452173</v>
      </c>
      <c r="J397">
        <f t="shared" si="26"/>
        <v>18.252588182510987</v>
      </c>
      <c r="K397" s="5">
        <f t="shared" si="24"/>
        <v>44.476358973453323</v>
      </c>
    </row>
    <row r="398" spans="8:11" x14ac:dyDescent="0.25">
      <c r="H398" s="5">
        <f t="shared" si="27"/>
        <v>396</v>
      </c>
      <c r="I398">
        <f t="shared" si="25"/>
        <v>-40.469331039769855</v>
      </c>
      <c r="J398">
        <f t="shared" si="26"/>
        <v>18.106978098593387</v>
      </c>
      <c r="K398" s="5">
        <f t="shared" si="24"/>
        <v>44.335419369499824</v>
      </c>
    </row>
    <row r="399" spans="8:11" x14ac:dyDescent="0.25">
      <c r="H399" s="5">
        <f t="shared" si="27"/>
        <v>397</v>
      </c>
      <c r="I399">
        <f t="shared" si="25"/>
        <v>-40.380191544087545</v>
      </c>
      <c r="J399">
        <f t="shared" si="26"/>
        <v>17.961368014675777</v>
      </c>
      <c r="K399" s="5">
        <f t="shared" si="24"/>
        <v>44.194689840475377</v>
      </c>
    </row>
    <row r="400" spans="8:11" x14ac:dyDescent="0.25">
      <c r="H400" s="5">
        <f t="shared" si="27"/>
        <v>398</v>
      </c>
      <c r="I400">
        <f t="shared" si="25"/>
        <v>-40.291052048405227</v>
      </c>
      <c r="J400">
        <f t="shared" si="26"/>
        <v>17.815757930758171</v>
      </c>
      <c r="K400" s="5">
        <f t="shared" si="24"/>
        <v>44.054172399611268</v>
      </c>
    </row>
    <row r="401" spans="8:11" x14ac:dyDescent="0.25">
      <c r="H401" s="5">
        <f t="shared" si="27"/>
        <v>399</v>
      </c>
      <c r="I401">
        <f t="shared" si="25"/>
        <v>-40.201912552722909</v>
      </c>
      <c r="J401">
        <f t="shared" si="26"/>
        <v>17.670147846840564</v>
      </c>
      <c r="K401" s="5">
        <f t="shared" si="24"/>
        <v>43.91386908285336</v>
      </c>
    </row>
    <row r="402" spans="8:11" x14ac:dyDescent="0.25">
      <c r="H402" s="5">
        <f t="shared" si="27"/>
        <v>400</v>
      </c>
      <c r="I402">
        <f t="shared" si="25"/>
        <v>-40.112773057040613</v>
      </c>
      <c r="J402">
        <f t="shared" si="26"/>
        <v>17.524537762922957</v>
      </c>
      <c r="K402" s="5">
        <f t="shared" si="24"/>
        <v>43.773781949127446</v>
      </c>
    </row>
    <row r="403" spans="8:11" x14ac:dyDescent="0.25">
      <c r="H403" s="5">
        <f t="shared" si="27"/>
        <v>401</v>
      </c>
      <c r="I403">
        <f t="shared" si="25"/>
        <v>-40.023633561358295</v>
      </c>
      <c r="J403">
        <f t="shared" si="26"/>
        <v>17.378927679005347</v>
      </c>
      <c r="K403" s="5">
        <f t="shared" si="24"/>
        <v>43.633913080607201</v>
      </c>
    </row>
    <row r="404" spans="8:11" x14ac:dyDescent="0.25">
      <c r="H404" s="5">
        <f t="shared" si="27"/>
        <v>402</v>
      </c>
      <c r="I404">
        <f t="shared" si="25"/>
        <v>-39.934494065675985</v>
      </c>
      <c r="J404">
        <f t="shared" si="26"/>
        <v>17.23331759508774</v>
      </c>
      <c r="K404" s="5">
        <f t="shared" si="24"/>
        <v>43.494264582984627</v>
      </c>
    </row>
    <row r="405" spans="8:11" x14ac:dyDescent="0.25">
      <c r="H405" s="5">
        <f t="shared" si="27"/>
        <v>403</v>
      </c>
      <c r="I405">
        <f t="shared" si="25"/>
        <v>-39.845354569993667</v>
      </c>
      <c r="J405">
        <f t="shared" si="26"/>
        <v>17.087707511170134</v>
      </c>
      <c r="K405" s="5">
        <f t="shared" si="24"/>
        <v>43.354838585742833</v>
      </c>
    </row>
    <row r="406" spans="8:11" x14ac:dyDescent="0.25">
      <c r="H406" s="5">
        <f t="shared" si="27"/>
        <v>404</v>
      </c>
      <c r="I406">
        <f t="shared" si="25"/>
        <v>-39.756215074311349</v>
      </c>
      <c r="J406">
        <f t="shared" si="26"/>
        <v>16.942097427252527</v>
      </c>
      <c r="K406" s="5">
        <f t="shared" si="24"/>
        <v>43.215637242431328</v>
      </c>
    </row>
    <row r="407" spans="8:11" x14ac:dyDescent="0.25">
      <c r="H407" s="5">
        <f t="shared" si="27"/>
        <v>405</v>
      </c>
      <c r="I407">
        <f t="shared" si="25"/>
        <v>-39.667075578629039</v>
      </c>
      <c r="J407">
        <f t="shared" si="26"/>
        <v>16.79648734333492</v>
      </c>
      <c r="K407" s="5">
        <f t="shared" si="24"/>
        <v>43.076662730943752</v>
      </c>
    </row>
    <row r="408" spans="8:11" x14ac:dyDescent="0.25">
      <c r="H408" s="5">
        <f t="shared" si="27"/>
        <v>406</v>
      </c>
      <c r="I408">
        <f t="shared" si="25"/>
        <v>-39.577936082946735</v>
      </c>
      <c r="J408">
        <f t="shared" si="26"/>
        <v>16.650877259417317</v>
      </c>
      <c r="K408" s="5">
        <f t="shared" si="24"/>
        <v>42.937917253797927</v>
      </c>
    </row>
    <row r="409" spans="8:11" x14ac:dyDescent="0.25">
      <c r="H409" s="5">
        <f t="shared" si="27"/>
        <v>407</v>
      </c>
      <c r="I409">
        <f t="shared" si="25"/>
        <v>-39.488796587264417</v>
      </c>
      <c r="J409">
        <f t="shared" si="26"/>
        <v>16.505267175499718</v>
      </c>
      <c r="K409" s="5">
        <f t="shared" si="24"/>
        <v>42.799403038418355</v>
      </c>
    </row>
    <row r="410" spans="8:11" x14ac:dyDescent="0.25">
      <c r="H410" s="5">
        <f t="shared" si="27"/>
        <v>408</v>
      </c>
      <c r="I410">
        <f t="shared" si="25"/>
        <v>-39.399657091582107</v>
      </c>
      <c r="J410">
        <f t="shared" si="26"/>
        <v>16.359657091582111</v>
      </c>
      <c r="K410" s="5">
        <f t="shared" si="24"/>
        <v>42.661122337421098</v>
      </c>
    </row>
    <row r="411" spans="8:11" x14ac:dyDescent="0.25">
      <c r="H411" s="5">
        <f t="shared" si="27"/>
        <v>409</v>
      </c>
      <c r="I411">
        <f t="shared" si="25"/>
        <v>-39.310517595899803</v>
      </c>
      <c r="J411">
        <f t="shared" si="26"/>
        <v>16.214047007664504</v>
      </c>
      <c r="K411" s="5">
        <f t="shared" si="24"/>
        <v>42.523077428900912</v>
      </c>
    </row>
    <row r="412" spans="8:11" x14ac:dyDescent="0.25">
      <c r="H412" s="5">
        <f t="shared" si="27"/>
        <v>410</v>
      </c>
      <c r="I412">
        <f t="shared" si="25"/>
        <v>-39.221378100217493</v>
      </c>
      <c r="J412">
        <f t="shared" si="26"/>
        <v>16.068436923746898</v>
      </c>
      <c r="K412" s="5">
        <f t="shared" si="24"/>
        <v>42.385270616720767</v>
      </c>
    </row>
    <row r="413" spans="8:11" x14ac:dyDescent="0.25">
      <c r="H413" s="5">
        <f t="shared" si="27"/>
        <v>411</v>
      </c>
      <c r="I413">
        <f t="shared" si="25"/>
        <v>-39.132238604535175</v>
      </c>
      <c r="J413">
        <f t="shared" si="26"/>
        <v>15.922826839829288</v>
      </c>
      <c r="K413" s="5">
        <f t="shared" si="24"/>
        <v>42.247704230803606</v>
      </c>
    </row>
    <row r="414" spans="8:11" x14ac:dyDescent="0.25">
      <c r="H414" s="5">
        <f t="shared" si="27"/>
        <v>412</v>
      </c>
      <c r="I414">
        <f t="shared" si="25"/>
        <v>-39.043099108852864</v>
      </c>
      <c r="J414">
        <f t="shared" si="26"/>
        <v>15.777216755911681</v>
      </c>
      <c r="K414" s="5">
        <f t="shared" si="24"/>
        <v>42.110380627426387</v>
      </c>
    </row>
    <row r="415" spans="8:11" x14ac:dyDescent="0.25">
      <c r="H415" s="5">
        <f t="shared" si="27"/>
        <v>413</v>
      </c>
      <c r="I415">
        <f t="shared" si="25"/>
        <v>-38.953959613170547</v>
      </c>
      <c r="J415">
        <f t="shared" si="26"/>
        <v>15.631606671994072</v>
      </c>
      <c r="K415" s="5">
        <f t="shared" si="24"/>
        <v>41.973302189516275</v>
      </c>
    </row>
    <row r="416" spans="8:11" x14ac:dyDescent="0.25">
      <c r="H416" s="5">
        <f t="shared" si="27"/>
        <v>414</v>
      </c>
      <c r="I416">
        <f t="shared" si="25"/>
        <v>-38.864820117488229</v>
      </c>
      <c r="J416">
        <f t="shared" si="26"/>
        <v>15.485996588076466</v>
      </c>
      <c r="K416" s="5">
        <f t="shared" si="24"/>
        <v>41.836471326949095</v>
      </c>
    </row>
    <row r="417" spans="8:11" x14ac:dyDescent="0.25">
      <c r="H417" s="5">
        <f t="shared" si="27"/>
        <v>415</v>
      </c>
      <c r="I417">
        <f t="shared" si="25"/>
        <v>-38.775680621805925</v>
      </c>
      <c r="J417">
        <f t="shared" si="26"/>
        <v>15.340386504158865</v>
      </c>
      <c r="K417" s="5">
        <f t="shared" si="24"/>
        <v>41.699890476849873</v>
      </c>
    </row>
    <row r="418" spans="8:11" x14ac:dyDescent="0.25">
      <c r="H418" s="5">
        <f t="shared" si="27"/>
        <v>416</v>
      </c>
      <c r="I418">
        <f t="shared" si="25"/>
        <v>-38.686541126123615</v>
      </c>
      <c r="J418">
        <f t="shared" si="26"/>
        <v>15.194776420241258</v>
      </c>
      <c r="K418" s="5">
        <f t="shared" si="24"/>
        <v>41.563562103895443</v>
      </c>
    </row>
    <row r="419" spans="8:11" x14ac:dyDescent="0.25">
      <c r="H419" s="5">
        <f t="shared" si="27"/>
        <v>417</v>
      </c>
      <c r="I419">
        <f t="shared" si="25"/>
        <v>-38.597401630441304</v>
      </c>
      <c r="J419">
        <f t="shared" si="26"/>
        <v>15.049166336323653</v>
      </c>
      <c r="K419" s="5">
        <f t="shared" si="24"/>
        <v>41.427488700619186</v>
      </c>
    </row>
    <row r="420" spans="8:11" x14ac:dyDescent="0.25">
      <c r="H420" s="5">
        <f t="shared" si="27"/>
        <v>418</v>
      </c>
      <c r="I420">
        <f t="shared" si="25"/>
        <v>-38.508262134758986</v>
      </c>
      <c r="J420">
        <f t="shared" si="26"/>
        <v>14.903556252406043</v>
      </c>
      <c r="K420" s="5">
        <f t="shared" si="24"/>
        <v>41.291672787717673</v>
      </c>
    </row>
    <row r="421" spans="8:11" x14ac:dyDescent="0.25">
      <c r="H421" s="5">
        <f t="shared" si="27"/>
        <v>419</v>
      </c>
      <c r="I421">
        <f t="shared" si="25"/>
        <v>-38.419122639076669</v>
      </c>
      <c r="J421">
        <f t="shared" si="26"/>
        <v>14.757946168488438</v>
      </c>
      <c r="K421" s="5">
        <f t="shared" si="24"/>
        <v>41.156116914359352</v>
      </c>
    </row>
    <row r="422" spans="8:11" x14ac:dyDescent="0.25">
      <c r="H422" s="5">
        <f t="shared" si="27"/>
        <v>420</v>
      </c>
      <c r="I422">
        <f t="shared" si="25"/>
        <v>-38.329983143394358</v>
      </c>
      <c r="J422">
        <f t="shared" si="26"/>
        <v>14.612336084570828</v>
      </c>
      <c r="K422" s="5">
        <f t="shared" si="24"/>
        <v>41.02082365849504</v>
      </c>
    </row>
    <row r="423" spans="8:11" x14ac:dyDescent="0.25">
      <c r="H423" s="5">
        <f t="shared" si="27"/>
        <v>421</v>
      </c>
      <c r="I423">
        <f t="shared" si="25"/>
        <v>-38.240843647712055</v>
      </c>
      <c r="J423">
        <f t="shared" si="26"/>
        <v>14.466726000653223</v>
      </c>
      <c r="K423" s="5">
        <f t="shared" si="24"/>
        <v>40.885795627170268</v>
      </c>
    </row>
    <row r="424" spans="8:11" x14ac:dyDescent="0.25">
      <c r="H424" s="5">
        <f t="shared" si="27"/>
        <v>422</v>
      </c>
      <c r="I424">
        <f t="shared" si="25"/>
        <v>-38.151704152029737</v>
      </c>
      <c r="J424">
        <f t="shared" si="26"/>
        <v>14.321115916735613</v>
      </c>
      <c r="K424" s="5">
        <f t="shared" si="24"/>
        <v>40.751035456839389</v>
      </c>
    </row>
    <row r="425" spans="8:11" x14ac:dyDescent="0.25">
      <c r="H425" s="5">
        <f t="shared" si="27"/>
        <v>423</v>
      </c>
      <c r="I425">
        <f t="shared" si="25"/>
        <v>-38.062564656347426</v>
      </c>
      <c r="J425">
        <f t="shared" si="26"/>
        <v>14.175505832818008</v>
      </c>
      <c r="K425" s="5">
        <f t="shared" si="24"/>
        <v>40.616545813681469</v>
      </c>
    </row>
    <row r="426" spans="8:11" x14ac:dyDescent="0.25">
      <c r="H426" s="5">
        <f t="shared" si="27"/>
        <v>424</v>
      </c>
      <c r="I426">
        <f t="shared" si="25"/>
        <v>-37.973425160665109</v>
      </c>
      <c r="J426">
        <f t="shared" si="26"/>
        <v>14.029895748900397</v>
      </c>
      <c r="K426" s="5">
        <f t="shared" si="24"/>
        <v>40.482329393917631</v>
      </c>
    </row>
    <row r="427" spans="8:11" x14ac:dyDescent="0.25">
      <c r="H427" s="5">
        <f t="shared" si="27"/>
        <v>425</v>
      </c>
      <c r="I427">
        <f t="shared" si="25"/>
        <v>-37.884285664982798</v>
      </c>
      <c r="J427">
        <f t="shared" si="26"/>
        <v>13.884285664982798</v>
      </c>
      <c r="K427" s="5">
        <f t="shared" si="24"/>
        <v>40.348388924130141</v>
      </c>
    </row>
    <row r="428" spans="8:11" x14ac:dyDescent="0.25">
      <c r="H428" s="5">
        <f t="shared" si="27"/>
        <v>426</v>
      </c>
      <c r="I428">
        <f t="shared" si="25"/>
        <v>-37.79514616930048</v>
      </c>
      <c r="J428">
        <f t="shared" si="26"/>
        <v>13.738675581065193</v>
      </c>
      <c r="K428" s="5">
        <f t="shared" si="24"/>
        <v>40.2147271615828</v>
      </c>
    </row>
    <row r="429" spans="8:11" x14ac:dyDescent="0.25">
      <c r="H429" s="5">
        <f t="shared" si="27"/>
        <v>427</v>
      </c>
      <c r="I429">
        <f t="shared" si="25"/>
        <v>-37.706006673618177</v>
      </c>
      <c r="J429">
        <f t="shared" si="26"/>
        <v>13.593065497147585</v>
      </c>
      <c r="K429" s="5">
        <f t="shared" si="24"/>
        <v>40.081346894542882</v>
      </c>
    </row>
    <row r="430" spans="8:11" x14ac:dyDescent="0.25">
      <c r="H430" s="5">
        <f t="shared" si="27"/>
        <v>428</v>
      </c>
      <c r="I430">
        <f t="shared" si="25"/>
        <v>-37.616867177935873</v>
      </c>
      <c r="J430">
        <f t="shared" si="26"/>
        <v>13.447455413229978</v>
      </c>
      <c r="K430" s="5">
        <f t="shared" si="24"/>
        <v>39.948250942604204</v>
      </c>
    </row>
    <row r="431" spans="8:11" x14ac:dyDescent="0.25">
      <c r="H431" s="5">
        <f t="shared" si="27"/>
        <v>429</v>
      </c>
      <c r="I431">
        <f t="shared" si="25"/>
        <v>-37.527727682253548</v>
      </c>
      <c r="J431">
        <f t="shared" si="26"/>
        <v>13.301845329312368</v>
      </c>
      <c r="K431" s="5">
        <f t="shared" si="24"/>
        <v>39.815442157011496</v>
      </c>
    </row>
    <row r="432" spans="8:11" x14ac:dyDescent="0.25">
      <c r="H432" s="5">
        <f t="shared" si="27"/>
        <v>430</v>
      </c>
      <c r="I432">
        <f t="shared" si="25"/>
        <v>-37.438588186571238</v>
      </c>
      <c r="J432">
        <f t="shared" si="26"/>
        <v>13.156235245394763</v>
      </c>
      <c r="K432" s="5">
        <f t="shared" si="24"/>
        <v>39.682923420985993</v>
      </c>
    </row>
    <row r="433" spans="8:11" x14ac:dyDescent="0.25">
      <c r="H433" s="5">
        <f t="shared" si="27"/>
        <v>431</v>
      </c>
      <c r="I433">
        <f t="shared" si="25"/>
        <v>-37.34944869088892</v>
      </c>
      <c r="J433">
        <f t="shared" si="26"/>
        <v>13.010625161477154</v>
      </c>
      <c r="K433" s="5">
        <f t="shared" si="24"/>
        <v>39.550697650051717</v>
      </c>
    </row>
    <row r="434" spans="8:11" x14ac:dyDescent="0.25">
      <c r="H434" s="5">
        <f t="shared" si="27"/>
        <v>432</v>
      </c>
      <c r="I434">
        <f t="shared" si="25"/>
        <v>-37.260309195206602</v>
      </c>
      <c r="J434">
        <f t="shared" si="26"/>
        <v>12.865015077559548</v>
      </c>
      <c r="K434" s="5">
        <f t="shared" si="24"/>
        <v>39.418767792362971</v>
      </c>
    </row>
    <row r="435" spans="8:11" x14ac:dyDescent="0.25">
      <c r="H435" s="5">
        <f t="shared" si="27"/>
        <v>433</v>
      </c>
      <c r="I435">
        <f t="shared" si="25"/>
        <v>-37.171169699524299</v>
      </c>
      <c r="J435">
        <f t="shared" si="26"/>
        <v>12.719404993641938</v>
      </c>
      <c r="K435" s="5">
        <f t="shared" si="24"/>
        <v>39.287136829032441</v>
      </c>
    </row>
    <row r="436" spans="8:11" x14ac:dyDescent="0.25">
      <c r="H436" s="5">
        <f t="shared" si="27"/>
        <v>434</v>
      </c>
      <c r="I436">
        <f t="shared" si="25"/>
        <v>-37.082030203841988</v>
      </c>
      <c r="J436">
        <f t="shared" si="26"/>
        <v>12.573794909724331</v>
      </c>
      <c r="K436" s="5">
        <f t="shared" si="24"/>
        <v>39.155807774459959</v>
      </c>
    </row>
    <row r="437" spans="8:11" x14ac:dyDescent="0.25">
      <c r="H437" s="5">
        <f t="shared" si="27"/>
        <v>435</v>
      </c>
      <c r="I437">
        <f t="shared" si="25"/>
        <v>-36.992890708159678</v>
      </c>
      <c r="J437">
        <f t="shared" si="26"/>
        <v>12.428184825806733</v>
      </c>
      <c r="K437" s="5">
        <f t="shared" si="24"/>
        <v>39.024783676661933</v>
      </c>
    </row>
    <row r="438" spans="8:11" x14ac:dyDescent="0.25">
      <c r="H438" s="5">
        <f t="shared" si="27"/>
        <v>436</v>
      </c>
      <c r="I438">
        <f t="shared" si="25"/>
        <v>-36.90375121247736</v>
      </c>
      <c r="J438">
        <f t="shared" si="26"/>
        <v>12.282574741889125</v>
      </c>
      <c r="K438" s="5">
        <f t="shared" si="24"/>
        <v>38.894067617600975</v>
      </c>
    </row>
    <row r="439" spans="8:11" x14ac:dyDescent="0.25">
      <c r="H439" s="5">
        <f t="shared" si="27"/>
        <v>437</v>
      </c>
      <c r="I439">
        <f t="shared" si="25"/>
        <v>-36.814611716795042</v>
      </c>
      <c r="J439">
        <f t="shared" si="26"/>
        <v>12.136964657971518</v>
      </c>
      <c r="K439" s="5">
        <f t="shared" si="24"/>
        <v>38.763662713516027</v>
      </c>
    </row>
    <row r="440" spans="8:11" x14ac:dyDescent="0.25">
      <c r="H440" s="5">
        <f t="shared" si="27"/>
        <v>438</v>
      </c>
      <c r="I440">
        <f t="shared" si="25"/>
        <v>-36.725472221112732</v>
      </c>
      <c r="J440">
        <f t="shared" si="26"/>
        <v>11.991354574053908</v>
      </c>
      <c r="K440" s="5">
        <f t="shared" si="24"/>
        <v>38.633572115252385</v>
      </c>
    </row>
    <row r="441" spans="8:11" x14ac:dyDescent="0.25">
      <c r="H441" s="5">
        <f t="shared" si="27"/>
        <v>439</v>
      </c>
      <c r="I441">
        <f t="shared" si="25"/>
        <v>-36.636332725430414</v>
      </c>
      <c r="J441">
        <f t="shared" si="26"/>
        <v>11.845744490136303</v>
      </c>
      <c r="K441" s="5">
        <f t="shared" si="24"/>
        <v>38.503799008591841</v>
      </c>
    </row>
    <row r="442" spans="8:11" x14ac:dyDescent="0.25">
      <c r="H442" s="5">
        <f t="shared" si="27"/>
        <v>440</v>
      </c>
      <c r="I442">
        <f t="shared" si="25"/>
        <v>-36.54719322974811</v>
      </c>
      <c r="J442">
        <f t="shared" si="26"/>
        <v>11.700134406218694</v>
      </c>
      <c r="K442" s="5">
        <f t="shared" si="24"/>
        <v>38.37434661458262</v>
      </c>
    </row>
    <row r="443" spans="8:11" x14ac:dyDescent="0.25">
      <c r="H443" s="5">
        <f t="shared" si="27"/>
        <v>441</v>
      </c>
      <c r="I443">
        <f t="shared" si="25"/>
        <v>-36.4580537340658</v>
      </c>
      <c r="J443">
        <f t="shared" si="26"/>
        <v>11.554524322301088</v>
      </c>
      <c r="K443" s="5">
        <f t="shared" si="24"/>
        <v>38.245218189868865</v>
      </c>
    </row>
    <row r="444" spans="8:11" x14ac:dyDescent="0.25">
      <c r="H444" s="5">
        <f t="shared" si="27"/>
        <v>442</v>
      </c>
      <c r="I444">
        <f t="shared" si="25"/>
        <v>-36.368914238383482</v>
      </c>
      <c r="J444">
        <f t="shared" si="26"/>
        <v>11.408914238383478</v>
      </c>
      <c r="K444" s="5">
        <f t="shared" si="24"/>
        <v>38.116417027019764</v>
      </c>
    </row>
    <row r="445" spans="8:11" x14ac:dyDescent="0.25">
      <c r="H445" s="5">
        <f t="shared" si="27"/>
        <v>443</v>
      </c>
      <c r="I445">
        <f t="shared" si="25"/>
        <v>-36.279774742701171</v>
      </c>
      <c r="J445">
        <f t="shared" si="26"/>
        <v>11.263304154465873</v>
      </c>
      <c r="K445" s="5">
        <f t="shared" si="24"/>
        <v>37.987946454857834</v>
      </c>
    </row>
    <row r="446" spans="8:11" x14ac:dyDescent="0.25">
      <c r="H446" s="5">
        <f t="shared" si="27"/>
        <v>444</v>
      </c>
      <c r="I446">
        <f t="shared" si="25"/>
        <v>-36.190635247018854</v>
      </c>
      <c r="J446">
        <f t="shared" si="26"/>
        <v>11.117694070548268</v>
      </c>
      <c r="K446" s="5">
        <f t="shared" si="24"/>
        <v>37.859809838786397</v>
      </c>
    </row>
    <row r="447" spans="8:11" x14ac:dyDescent="0.25">
      <c r="H447" s="5">
        <f t="shared" si="27"/>
        <v>445</v>
      </c>
      <c r="I447">
        <f t="shared" si="25"/>
        <v>-36.101495751336536</v>
      </c>
      <c r="J447">
        <f t="shared" si="26"/>
        <v>10.972083986630658</v>
      </c>
      <c r="K447" s="5">
        <f t="shared" si="24"/>
        <v>37.732010581115958</v>
      </c>
    </row>
    <row r="448" spans="8:11" x14ac:dyDescent="0.25">
      <c r="H448" s="5">
        <f t="shared" si="27"/>
        <v>446</v>
      </c>
      <c r="I448">
        <f t="shared" si="25"/>
        <v>-36.01235625565424</v>
      </c>
      <c r="J448">
        <f t="shared" si="26"/>
        <v>10.826473902713058</v>
      </c>
      <c r="K448" s="5">
        <f t="shared" si="24"/>
        <v>37.604552121389318</v>
      </c>
    </row>
    <row r="449" spans="8:11" x14ac:dyDescent="0.25">
      <c r="H449" s="5">
        <f t="shared" si="27"/>
        <v>447</v>
      </c>
      <c r="I449">
        <f t="shared" si="25"/>
        <v>-35.923216759971922</v>
      </c>
      <c r="J449">
        <f t="shared" si="26"/>
        <v>10.680863818795453</v>
      </c>
      <c r="K449" s="5">
        <f t="shared" si="24"/>
        <v>37.477437936705087</v>
      </c>
    </row>
    <row r="450" spans="8:11" x14ac:dyDescent="0.25">
      <c r="H450" s="5">
        <f t="shared" si="27"/>
        <v>448</v>
      </c>
      <c r="I450">
        <f t="shared" si="25"/>
        <v>-35.834077264289611</v>
      </c>
      <c r="J450">
        <f t="shared" si="26"/>
        <v>10.535253734877841</v>
      </c>
      <c r="K450" s="5">
        <f t="shared" ref="K450:K513" si="28">SQRT((I450^2)+(J450^2))</f>
        <v>37.350671542039706</v>
      </c>
    </row>
    <row r="451" spans="8:11" x14ac:dyDescent="0.25">
      <c r="H451" s="5">
        <f t="shared" si="27"/>
        <v>449</v>
      </c>
      <c r="I451">
        <f t="shared" ref="I451:I514" si="29">D$29*($H451/1000)+D$18*(($H451/1000)-($D$7/1000))*(($H451/1000)&gt;($D$7/1000))+D$19*(($H451/1000)-($D$8/1000))*(($H451/1000)&gt;($D$8/1000))+D$20*(($H451/1000)-($D$9/1000))*(($H451/1000)&gt;($D$9/1000))+D$21*(($H451/1000)-($D$10/1000))*(($H451/1000)&gt;($D$10/1000))</f>
        <v>-35.744937768607294</v>
      </c>
      <c r="J451">
        <f t="shared" ref="J451:J514" si="30">E$29*($H451/1000)+E$18*(($H451/1000)-($D$7/1000))*(($H451/1000)&gt;($D$7/1000))+E$19*(($H451/1000)-($D$8/1000))*(($H451/1000)&gt;($D$8/1000))+E$20*(($H451/1000)-($D$9/1000))*(($H451/1000)&gt;($D$9/1000))+E$21*(($H451/1000)-($D$10/1000))*(($H451/1000)&gt;($D$10/1000))</f>
        <v>10.389643650960235</v>
      </c>
      <c r="K451" s="5">
        <f t="shared" si="28"/>
        <v>37.224256490567363</v>
      </c>
    </row>
    <row r="452" spans="8:11" x14ac:dyDescent="0.25">
      <c r="H452" s="5">
        <f t="shared" ref="H452:H515" si="31">IF((ROW(A450)*$G$2)&lt;=$D$5, ROW(A450)*$G$2,NA())</f>
        <v>450</v>
      </c>
      <c r="I452">
        <f t="shared" si="29"/>
        <v>-35.655798272924983</v>
      </c>
      <c r="J452">
        <f t="shared" si="30"/>
        <v>10.244033567042628</v>
      </c>
      <c r="K452" s="5">
        <f t="shared" si="28"/>
        <v>37.098196373977757</v>
      </c>
    </row>
    <row r="453" spans="8:11" x14ac:dyDescent="0.25">
      <c r="H453" s="5">
        <f t="shared" si="31"/>
        <v>451</v>
      </c>
      <c r="I453">
        <f t="shared" si="29"/>
        <v>-35.566658777242665</v>
      </c>
      <c r="J453">
        <f t="shared" si="30"/>
        <v>10.098423483125021</v>
      </c>
      <c r="K453" s="5">
        <f t="shared" si="28"/>
        <v>36.972494822791489</v>
      </c>
    </row>
    <row r="454" spans="8:11" x14ac:dyDescent="0.25">
      <c r="H454" s="5">
        <f t="shared" si="31"/>
        <v>452</v>
      </c>
      <c r="I454">
        <f t="shared" si="29"/>
        <v>-35.477519281560362</v>
      </c>
      <c r="J454">
        <f t="shared" si="30"/>
        <v>9.9528133992074093</v>
      </c>
      <c r="K454" s="5">
        <f t="shared" si="28"/>
        <v>36.847155506672827</v>
      </c>
    </row>
    <row r="455" spans="8:11" x14ac:dyDescent="0.25">
      <c r="H455" s="5">
        <f t="shared" si="31"/>
        <v>453</v>
      </c>
      <c r="I455">
        <f t="shared" si="29"/>
        <v>-35.388379785878051</v>
      </c>
      <c r="J455">
        <f t="shared" si="30"/>
        <v>9.8072033152898044</v>
      </c>
      <c r="K455" s="5">
        <f t="shared" si="28"/>
        <v>36.722182134739406</v>
      </c>
    </row>
    <row r="456" spans="8:11" x14ac:dyDescent="0.25">
      <c r="H456" s="5">
        <f t="shared" si="31"/>
        <v>454</v>
      </c>
      <c r="I456">
        <f t="shared" si="29"/>
        <v>-35.29924029019574</v>
      </c>
      <c r="J456">
        <f t="shared" si="30"/>
        <v>9.6615932313721977</v>
      </c>
      <c r="K456" s="5">
        <f t="shared" si="28"/>
        <v>36.597578455868849</v>
      </c>
    </row>
    <row r="457" spans="8:11" x14ac:dyDescent="0.25">
      <c r="H457" s="5">
        <f t="shared" si="31"/>
        <v>455</v>
      </c>
      <c r="I457">
        <f t="shared" si="29"/>
        <v>-35.210100794513416</v>
      </c>
      <c r="J457">
        <f t="shared" si="30"/>
        <v>9.5159831474545911</v>
      </c>
      <c r="K457" s="5">
        <f t="shared" si="28"/>
        <v>36.47334825900186</v>
      </c>
    </row>
    <row r="458" spans="8:11" x14ac:dyDescent="0.25">
      <c r="H458" s="5">
        <f t="shared" si="31"/>
        <v>456</v>
      </c>
      <c r="I458">
        <f t="shared" si="29"/>
        <v>-35.120961298831105</v>
      </c>
      <c r="J458">
        <f t="shared" si="30"/>
        <v>9.3703730635369933</v>
      </c>
      <c r="K458" s="5">
        <f t="shared" si="28"/>
        <v>36.349495373441599</v>
      </c>
    </row>
    <row r="459" spans="8:11" x14ac:dyDescent="0.25">
      <c r="H459" s="5">
        <f t="shared" si="31"/>
        <v>457</v>
      </c>
      <c r="I459">
        <f t="shared" si="29"/>
        <v>-35.031821803148787</v>
      </c>
      <c r="J459">
        <f t="shared" si="30"/>
        <v>9.2247629796193813</v>
      </c>
      <c r="K459" s="5">
        <f t="shared" si="28"/>
        <v>36.226023669148766</v>
      </c>
    </row>
    <row r="460" spans="8:11" x14ac:dyDescent="0.25">
      <c r="H460" s="5">
        <f t="shared" si="31"/>
        <v>458</v>
      </c>
      <c r="I460">
        <f t="shared" si="29"/>
        <v>-34.942682307466491</v>
      </c>
      <c r="J460">
        <f t="shared" si="30"/>
        <v>9.0791528957017746</v>
      </c>
      <c r="K460" s="5">
        <f t="shared" si="28"/>
        <v>36.102937057032655</v>
      </c>
    </row>
    <row r="461" spans="8:11" x14ac:dyDescent="0.25">
      <c r="H461" s="5">
        <f t="shared" si="31"/>
        <v>459</v>
      </c>
      <c r="I461">
        <f t="shared" si="29"/>
        <v>-34.85354281178418</v>
      </c>
      <c r="J461">
        <f t="shared" si="30"/>
        <v>8.933542811784168</v>
      </c>
      <c r="K461" s="5">
        <f t="shared" si="28"/>
        <v>35.98023948923705</v>
      </c>
    </row>
    <row r="462" spans="8:11" x14ac:dyDescent="0.25">
      <c r="H462" s="5">
        <f t="shared" si="31"/>
        <v>460</v>
      </c>
      <c r="I462">
        <f t="shared" si="29"/>
        <v>-34.764403316101856</v>
      </c>
      <c r="J462">
        <f t="shared" si="30"/>
        <v>8.7879327278665631</v>
      </c>
      <c r="K462" s="5">
        <f t="shared" si="28"/>
        <v>35.857934959421492</v>
      </c>
    </row>
    <row r="463" spans="8:11" x14ac:dyDescent="0.25">
      <c r="H463" s="5">
        <f t="shared" si="31"/>
        <v>461</v>
      </c>
      <c r="I463">
        <f t="shared" si="29"/>
        <v>-34.675263820419545</v>
      </c>
      <c r="J463">
        <f t="shared" si="30"/>
        <v>8.6423226439489511</v>
      </c>
      <c r="K463" s="5">
        <f t="shared" si="28"/>
        <v>35.736027503036894</v>
      </c>
    </row>
    <row r="464" spans="8:11" x14ac:dyDescent="0.25">
      <c r="H464" s="5">
        <f t="shared" si="31"/>
        <v>462</v>
      </c>
      <c r="I464">
        <f t="shared" si="29"/>
        <v>-34.586124324737227</v>
      </c>
      <c r="J464">
        <f t="shared" si="30"/>
        <v>8.4967125600313445</v>
      </c>
      <c r="K464" s="5">
        <f t="shared" si="28"/>
        <v>35.614521197595437</v>
      </c>
    </row>
    <row r="465" spans="8:11" x14ac:dyDescent="0.25">
      <c r="H465" s="5">
        <f t="shared" si="31"/>
        <v>463</v>
      </c>
      <c r="I465">
        <f t="shared" si="29"/>
        <v>-34.496984829054917</v>
      </c>
      <c r="J465">
        <f t="shared" si="30"/>
        <v>8.3511024761137378</v>
      </c>
      <c r="K465" s="5">
        <f t="shared" si="28"/>
        <v>35.493420162934399</v>
      </c>
    </row>
    <row r="466" spans="8:11" x14ac:dyDescent="0.25">
      <c r="H466" s="5">
        <f t="shared" si="31"/>
        <v>464</v>
      </c>
      <c r="I466">
        <f t="shared" si="29"/>
        <v>-34.407845333372613</v>
      </c>
      <c r="J466">
        <f t="shared" si="30"/>
        <v>8.2054923921961311</v>
      </c>
      <c r="K466" s="5">
        <f t="shared" si="28"/>
        <v>35.372728561473458</v>
      </c>
    </row>
    <row r="467" spans="8:11" x14ac:dyDescent="0.25">
      <c r="H467" s="5">
        <f t="shared" si="31"/>
        <v>465</v>
      </c>
      <c r="I467">
        <f t="shared" si="29"/>
        <v>-34.318705837690295</v>
      </c>
      <c r="J467">
        <f t="shared" si="30"/>
        <v>8.0598823082785263</v>
      </c>
      <c r="K467" s="5">
        <f t="shared" si="28"/>
        <v>35.252450598465053</v>
      </c>
    </row>
    <row r="468" spans="8:11" x14ac:dyDescent="0.25">
      <c r="H468" s="5">
        <f t="shared" si="31"/>
        <v>466</v>
      </c>
      <c r="I468">
        <f t="shared" si="29"/>
        <v>-34.229566342007985</v>
      </c>
      <c r="J468">
        <f t="shared" si="30"/>
        <v>7.9142722243609205</v>
      </c>
      <c r="K468" s="5">
        <f t="shared" si="28"/>
        <v>35.132590522237564</v>
      </c>
    </row>
    <row r="469" spans="8:11" x14ac:dyDescent="0.25">
      <c r="H469" s="5">
        <f t="shared" si="31"/>
        <v>467</v>
      </c>
      <c r="I469">
        <f t="shared" si="29"/>
        <v>-34.140426846325667</v>
      </c>
      <c r="J469">
        <f t="shared" si="30"/>
        <v>7.7686621404433147</v>
      </c>
      <c r="K469" s="5">
        <f t="shared" si="28"/>
        <v>35.013152624430603</v>
      </c>
    </row>
    <row r="470" spans="8:11" x14ac:dyDescent="0.25">
      <c r="H470" s="5">
        <f t="shared" si="31"/>
        <v>468</v>
      </c>
      <c r="I470">
        <f t="shared" si="29"/>
        <v>-34.051287350643356</v>
      </c>
      <c r="J470">
        <f t="shared" si="30"/>
        <v>7.6230520565257089</v>
      </c>
      <c r="K470" s="5">
        <f t="shared" si="28"/>
        <v>34.894141240222332</v>
      </c>
    </row>
    <row r="471" spans="8:11" x14ac:dyDescent="0.25">
      <c r="H471" s="5">
        <f t="shared" si="31"/>
        <v>469</v>
      </c>
      <c r="I471">
        <f t="shared" si="29"/>
        <v>-33.962147854961053</v>
      </c>
      <c r="J471">
        <f t="shared" si="30"/>
        <v>7.4774419726081049</v>
      </c>
      <c r="K471" s="5">
        <f t="shared" si="28"/>
        <v>34.775560748548067</v>
      </c>
    </row>
    <row r="472" spans="8:11" x14ac:dyDescent="0.25">
      <c r="H472" s="5">
        <f t="shared" si="31"/>
        <v>470</v>
      </c>
      <c r="I472">
        <f t="shared" si="29"/>
        <v>-33.873008359278742</v>
      </c>
      <c r="J472">
        <f t="shared" si="30"/>
        <v>7.3318318886904992</v>
      </c>
      <c r="K472" s="5">
        <f t="shared" si="28"/>
        <v>34.657415572309866</v>
      </c>
    </row>
    <row r="473" spans="8:11" x14ac:dyDescent="0.25">
      <c r="H473" s="5">
        <f t="shared" si="31"/>
        <v>471</v>
      </c>
      <c r="I473">
        <f t="shared" si="29"/>
        <v>-33.783868863596425</v>
      </c>
      <c r="J473">
        <f t="shared" si="30"/>
        <v>7.1862218047728934</v>
      </c>
      <c r="K473" s="5">
        <f t="shared" si="28"/>
        <v>34.539710178576676</v>
      </c>
    </row>
    <row r="474" spans="8:11" x14ac:dyDescent="0.25">
      <c r="H474" s="5">
        <f t="shared" si="31"/>
        <v>472</v>
      </c>
      <c r="I474">
        <f t="shared" si="29"/>
        <v>-33.694729367914107</v>
      </c>
      <c r="J474">
        <f t="shared" si="30"/>
        <v>7.0406117208552876</v>
      </c>
      <c r="K474" s="5">
        <f t="shared" si="28"/>
        <v>34.422449078774427</v>
      </c>
    </row>
    <row r="475" spans="8:11" x14ac:dyDescent="0.25">
      <c r="H475" s="5">
        <f t="shared" si="31"/>
        <v>473</v>
      </c>
      <c r="I475">
        <f t="shared" si="29"/>
        <v>-33.605589872231803</v>
      </c>
      <c r="J475">
        <f t="shared" si="30"/>
        <v>6.8950016369376748</v>
      </c>
      <c r="K475" s="5">
        <f t="shared" si="28"/>
        <v>34.30563682886563</v>
      </c>
    </row>
    <row r="476" spans="8:11" x14ac:dyDescent="0.25">
      <c r="H476" s="5">
        <f t="shared" si="31"/>
        <v>474</v>
      </c>
      <c r="I476">
        <f t="shared" si="29"/>
        <v>-33.516450376549493</v>
      </c>
      <c r="J476">
        <f t="shared" si="30"/>
        <v>6.749391553020069</v>
      </c>
      <c r="K476" s="5">
        <f t="shared" si="28"/>
        <v>34.189278029518015</v>
      </c>
    </row>
    <row r="477" spans="8:11" x14ac:dyDescent="0.25">
      <c r="H477" s="5">
        <f t="shared" si="31"/>
        <v>475</v>
      </c>
      <c r="I477">
        <f t="shared" si="29"/>
        <v>-33.427310880867182</v>
      </c>
      <c r="J477">
        <f t="shared" si="30"/>
        <v>6.6037814691024703</v>
      </c>
      <c r="K477" s="5">
        <f t="shared" si="28"/>
        <v>34.073377326261664</v>
      </c>
    </row>
    <row r="478" spans="8:11" x14ac:dyDescent="0.25">
      <c r="H478" s="5">
        <f t="shared" si="31"/>
        <v>476</v>
      </c>
      <c r="I478">
        <f t="shared" si="29"/>
        <v>-33.338171385184864</v>
      </c>
      <c r="J478">
        <f t="shared" si="30"/>
        <v>6.4581713851848646</v>
      </c>
      <c r="K478" s="5">
        <f t="shared" si="28"/>
        <v>33.957939409634079</v>
      </c>
    </row>
    <row r="479" spans="8:11" x14ac:dyDescent="0.25">
      <c r="H479" s="5">
        <f t="shared" si="31"/>
        <v>477</v>
      </c>
      <c r="I479">
        <f t="shared" si="29"/>
        <v>-33.249031889502547</v>
      </c>
      <c r="J479">
        <f t="shared" si="30"/>
        <v>6.3125613012672588</v>
      </c>
      <c r="K479" s="5">
        <f t="shared" si="28"/>
        <v>33.842969015312683</v>
      </c>
    </row>
    <row r="480" spans="8:11" x14ac:dyDescent="0.25">
      <c r="H480" s="5">
        <f t="shared" si="31"/>
        <v>478</v>
      </c>
      <c r="I480">
        <f t="shared" si="29"/>
        <v>-33.159892393820236</v>
      </c>
      <c r="J480">
        <f t="shared" si="30"/>
        <v>6.1669512173496459</v>
      </c>
      <c r="K480" s="5">
        <f t="shared" si="28"/>
        <v>33.728470924234138</v>
      </c>
    </row>
    <row r="481" spans="8:11" x14ac:dyDescent="0.25">
      <c r="H481" s="5">
        <f t="shared" si="31"/>
        <v>479</v>
      </c>
      <c r="I481">
        <f t="shared" si="29"/>
        <v>-33.070752898137933</v>
      </c>
      <c r="J481">
        <f t="shared" si="30"/>
        <v>6.0213411334320401</v>
      </c>
      <c r="K481" s="5">
        <f t="shared" si="28"/>
        <v>33.614449962699958</v>
      </c>
    </row>
    <row r="482" spans="8:11" x14ac:dyDescent="0.25">
      <c r="H482" s="5">
        <f t="shared" si="31"/>
        <v>480</v>
      </c>
      <c r="I482">
        <f t="shared" si="29"/>
        <v>-32.981613402455622</v>
      </c>
      <c r="J482">
        <f t="shared" si="30"/>
        <v>5.8757310495144335</v>
      </c>
      <c r="K482" s="5">
        <f t="shared" si="28"/>
        <v>33.500911002467802</v>
      </c>
    </row>
    <row r="483" spans="8:11" x14ac:dyDescent="0.25">
      <c r="H483" s="5">
        <f t="shared" si="31"/>
        <v>481</v>
      </c>
      <c r="I483">
        <f t="shared" si="29"/>
        <v>-32.892473906773297</v>
      </c>
      <c r="J483">
        <f t="shared" si="30"/>
        <v>5.7301209655968277</v>
      </c>
      <c r="K483" s="5">
        <f t="shared" si="28"/>
        <v>33.387858960827877</v>
      </c>
    </row>
    <row r="484" spans="8:11" x14ac:dyDescent="0.25">
      <c r="H484" s="5">
        <f t="shared" si="31"/>
        <v>482</v>
      </c>
      <c r="I484">
        <f t="shared" si="29"/>
        <v>-32.803334411090987</v>
      </c>
      <c r="J484">
        <f t="shared" si="30"/>
        <v>5.5845108816792148</v>
      </c>
      <c r="K484" s="5">
        <f t="shared" si="28"/>
        <v>33.275298800663826</v>
      </c>
    </row>
    <row r="485" spans="8:11" x14ac:dyDescent="0.25">
      <c r="H485" s="5">
        <f t="shared" si="31"/>
        <v>483</v>
      </c>
      <c r="I485">
        <f t="shared" si="29"/>
        <v>-32.714194915408676</v>
      </c>
      <c r="J485">
        <f t="shared" si="30"/>
        <v>5.4389007977616091</v>
      </c>
      <c r="K485" s="5">
        <f t="shared" si="28"/>
        <v>33.163235530497367</v>
      </c>
    </row>
    <row r="486" spans="8:11" x14ac:dyDescent="0.25">
      <c r="H486" s="5">
        <f t="shared" si="31"/>
        <v>484</v>
      </c>
      <c r="I486">
        <f t="shared" si="29"/>
        <v>-32.625055419726358</v>
      </c>
      <c r="J486">
        <f t="shared" si="30"/>
        <v>5.2932907138440033</v>
      </c>
      <c r="K486" s="5">
        <f t="shared" si="28"/>
        <v>33.051674204516225</v>
      </c>
    </row>
    <row r="487" spans="8:11" x14ac:dyDescent="0.25">
      <c r="H487" s="5">
        <f t="shared" si="31"/>
        <v>485</v>
      </c>
      <c r="I487">
        <f t="shared" si="29"/>
        <v>-32.535915924044062</v>
      </c>
      <c r="J487">
        <f t="shared" si="30"/>
        <v>5.1476806299264046</v>
      </c>
      <c r="K487" s="5">
        <f t="shared" si="28"/>
        <v>32.940619922584695</v>
      </c>
    </row>
    <row r="488" spans="8:11" x14ac:dyDescent="0.25">
      <c r="H488" s="5">
        <f t="shared" si="31"/>
        <v>486</v>
      </c>
      <c r="I488">
        <f t="shared" si="29"/>
        <v>-32.446776428361744</v>
      </c>
      <c r="J488">
        <f t="shared" si="30"/>
        <v>5.0020705460087989</v>
      </c>
      <c r="K488" s="5">
        <f t="shared" si="28"/>
        <v>32.830077830235801</v>
      </c>
    </row>
    <row r="489" spans="8:11" x14ac:dyDescent="0.25">
      <c r="H489" s="5">
        <f t="shared" si="31"/>
        <v>487</v>
      </c>
      <c r="I489">
        <f t="shared" si="29"/>
        <v>-32.357636932679426</v>
      </c>
      <c r="J489">
        <f t="shared" si="30"/>
        <v>4.856460462091186</v>
      </c>
      <c r="K489" s="5">
        <f t="shared" si="28"/>
        <v>32.720053118645062</v>
      </c>
    </row>
    <row r="490" spans="8:11" x14ac:dyDescent="0.25">
      <c r="H490" s="5">
        <f t="shared" si="31"/>
        <v>488</v>
      </c>
      <c r="I490">
        <f t="shared" si="29"/>
        <v>-32.268497436997116</v>
      </c>
      <c r="J490">
        <f t="shared" si="30"/>
        <v>4.7108503781735802</v>
      </c>
      <c r="K490" s="5">
        <f t="shared" si="28"/>
        <v>32.610551024584474</v>
      </c>
    </row>
    <row r="491" spans="8:11" x14ac:dyDescent="0.25">
      <c r="H491" s="5">
        <f t="shared" si="31"/>
        <v>489</v>
      </c>
      <c r="I491">
        <f t="shared" si="29"/>
        <v>-32.179357941314798</v>
      </c>
      <c r="J491">
        <f t="shared" si="30"/>
        <v>4.5652402942559744</v>
      </c>
      <c r="K491" s="5">
        <f t="shared" si="28"/>
        <v>32.50157683035637</v>
      </c>
    </row>
    <row r="492" spans="8:11" x14ac:dyDescent="0.25">
      <c r="H492" s="5">
        <f t="shared" si="31"/>
        <v>490</v>
      </c>
      <c r="I492">
        <f t="shared" si="29"/>
        <v>-32.09021844563248</v>
      </c>
      <c r="J492">
        <f t="shared" si="30"/>
        <v>4.4196302103383687</v>
      </c>
      <c r="K492" s="5">
        <f t="shared" si="28"/>
        <v>32.393135863706476</v>
      </c>
    </row>
    <row r="493" spans="8:11" x14ac:dyDescent="0.25">
      <c r="H493" s="5">
        <f t="shared" si="31"/>
        <v>491</v>
      </c>
      <c r="I493">
        <f t="shared" si="29"/>
        <v>-32.001078949950184</v>
      </c>
      <c r="J493">
        <f t="shared" si="30"/>
        <v>4.2740201264207558</v>
      </c>
      <c r="K493" s="5">
        <f t="shared" si="28"/>
        <v>32.285233497715247</v>
      </c>
    </row>
    <row r="494" spans="8:11" x14ac:dyDescent="0.25">
      <c r="H494" s="5">
        <f t="shared" si="31"/>
        <v>492</v>
      </c>
      <c r="I494">
        <f t="shared" si="29"/>
        <v>-31.911939454267866</v>
      </c>
      <c r="J494">
        <f t="shared" si="30"/>
        <v>4.12841004250315</v>
      </c>
      <c r="K494" s="5">
        <f t="shared" si="28"/>
        <v>32.177875150666786</v>
      </c>
    </row>
    <row r="495" spans="8:11" x14ac:dyDescent="0.25">
      <c r="H495" s="5">
        <f t="shared" si="31"/>
        <v>493</v>
      </c>
      <c r="I495">
        <f t="shared" si="29"/>
        <v>-31.822799958585556</v>
      </c>
      <c r="J495">
        <f t="shared" si="30"/>
        <v>3.9827999585855443</v>
      </c>
      <c r="K495" s="5">
        <f t="shared" si="28"/>
        <v>32.071066285894858</v>
      </c>
    </row>
    <row r="496" spans="8:11" x14ac:dyDescent="0.25">
      <c r="H496" s="5">
        <f t="shared" si="31"/>
        <v>494</v>
      </c>
      <c r="I496">
        <f t="shared" si="29"/>
        <v>-31.733660462903241</v>
      </c>
      <c r="J496">
        <f t="shared" si="30"/>
        <v>3.8371898746679385</v>
      </c>
      <c r="K496" s="5">
        <f t="shared" si="28"/>
        <v>31.964812411604772</v>
      </c>
    </row>
    <row r="497" spans="8:11" x14ac:dyDescent="0.25">
      <c r="H497" s="5">
        <f t="shared" si="31"/>
        <v>495</v>
      </c>
      <c r="I497">
        <f t="shared" si="29"/>
        <v>-31.64452096722092</v>
      </c>
      <c r="J497">
        <f t="shared" si="30"/>
        <v>3.6915797907503398</v>
      </c>
      <c r="K497" s="5">
        <f t="shared" si="28"/>
        <v>31.859119080670776</v>
      </c>
    </row>
    <row r="498" spans="8:11" x14ac:dyDescent="0.25">
      <c r="H498" s="5">
        <f t="shared" si="31"/>
        <v>496</v>
      </c>
      <c r="I498">
        <f t="shared" si="29"/>
        <v>-31.555381471538606</v>
      </c>
      <c r="J498">
        <f t="shared" si="30"/>
        <v>3.5459697068327261</v>
      </c>
      <c r="K498" s="5">
        <f t="shared" si="28"/>
        <v>31.753991890408003</v>
      </c>
    </row>
    <row r="499" spans="8:11" x14ac:dyDescent="0.25">
      <c r="H499" s="5">
        <f t="shared" si="31"/>
        <v>497</v>
      </c>
      <c r="I499">
        <f t="shared" si="29"/>
        <v>-31.466241975856306</v>
      </c>
      <c r="J499">
        <f t="shared" si="30"/>
        <v>3.4003596229151203</v>
      </c>
      <c r="K499" s="5">
        <f t="shared" si="28"/>
        <v>31.64943648231818</v>
      </c>
    </row>
    <row r="500" spans="8:11" x14ac:dyDescent="0.25">
      <c r="H500" s="5">
        <f t="shared" si="31"/>
        <v>498</v>
      </c>
      <c r="I500">
        <f t="shared" si="29"/>
        <v>-31.377102480173996</v>
      </c>
      <c r="J500">
        <f t="shared" si="30"/>
        <v>3.2547495389975145</v>
      </c>
      <c r="K500" s="5">
        <f t="shared" si="28"/>
        <v>31.545458541808291</v>
      </c>
    </row>
    <row r="501" spans="8:11" x14ac:dyDescent="0.25">
      <c r="H501" s="5">
        <f t="shared" si="31"/>
        <v>499</v>
      </c>
      <c r="I501">
        <f t="shared" si="29"/>
        <v>-31.287962984491674</v>
      </c>
      <c r="J501">
        <f t="shared" si="30"/>
        <v>3.1091394550799087</v>
      </c>
      <c r="K501" s="5">
        <f t="shared" si="28"/>
        <v>31.442063797881584</v>
      </c>
    </row>
    <row r="502" spans="8:11" x14ac:dyDescent="0.25">
      <c r="H502" s="5">
        <f t="shared" si="31"/>
        <v>500</v>
      </c>
      <c r="I502">
        <f t="shared" si="29"/>
        <v>-31.19882348880936</v>
      </c>
      <c r="J502">
        <f t="shared" si="30"/>
        <v>2.9635293711622959</v>
      </c>
      <c r="K502" s="5">
        <f t="shared" si="28"/>
        <v>31.339258022799843</v>
      </c>
    </row>
    <row r="503" spans="8:11" x14ac:dyDescent="0.25">
      <c r="H503" s="5">
        <f t="shared" si="31"/>
        <v>501</v>
      </c>
      <c r="I503">
        <f t="shared" si="29"/>
        <v>-31.109683993127049</v>
      </c>
      <c r="J503">
        <f t="shared" si="30"/>
        <v>2.8179192872446901</v>
      </c>
      <c r="K503" s="5">
        <f t="shared" si="28"/>
        <v>31.237047031716216</v>
      </c>
    </row>
    <row r="504" spans="8:11" x14ac:dyDescent="0.25">
      <c r="H504" s="5">
        <f t="shared" si="31"/>
        <v>502</v>
      </c>
      <c r="I504">
        <f t="shared" si="29"/>
        <v>-31.020544497444735</v>
      </c>
      <c r="J504">
        <f t="shared" si="30"/>
        <v>2.6723092033270843</v>
      </c>
      <c r="K504" s="5">
        <f t="shared" si="28"/>
        <v>31.135436682277888</v>
      </c>
    </row>
    <row r="505" spans="8:11" x14ac:dyDescent="0.25">
      <c r="H505" s="5">
        <f t="shared" si="31"/>
        <v>503</v>
      </c>
      <c r="I505">
        <f t="shared" si="29"/>
        <v>-30.931405001762421</v>
      </c>
      <c r="J505">
        <f t="shared" si="30"/>
        <v>2.5266991194094786</v>
      </c>
      <c r="K505" s="5">
        <f t="shared" si="28"/>
        <v>31.03443287419762</v>
      </c>
    </row>
    <row r="506" spans="8:11" x14ac:dyDescent="0.25">
      <c r="H506" s="5">
        <f t="shared" si="31"/>
        <v>504</v>
      </c>
      <c r="I506">
        <f t="shared" si="29"/>
        <v>-30.842265506080114</v>
      </c>
      <c r="J506">
        <f t="shared" si="30"/>
        <v>2.3810890354918728</v>
      </c>
      <c r="K506" s="5">
        <f t="shared" si="28"/>
        <v>30.934041548793441</v>
      </c>
    </row>
    <row r="507" spans="8:11" x14ac:dyDescent="0.25">
      <c r="H507" s="5">
        <f t="shared" si="31"/>
        <v>505</v>
      </c>
      <c r="I507">
        <f t="shared" si="29"/>
        <v>-30.7531260103978</v>
      </c>
      <c r="J507">
        <f t="shared" si="30"/>
        <v>2.2354789515742599</v>
      </c>
      <c r="K507" s="5">
        <f t="shared" si="28"/>
        <v>30.834268688495555</v>
      </c>
    </row>
    <row r="508" spans="8:11" x14ac:dyDescent="0.25">
      <c r="H508" s="5">
        <f t="shared" si="31"/>
        <v>506</v>
      </c>
      <c r="I508">
        <f t="shared" si="29"/>
        <v>-30.663986514715489</v>
      </c>
      <c r="J508">
        <f t="shared" si="30"/>
        <v>2.0898688676566612</v>
      </c>
      <c r="K508" s="5">
        <f t="shared" si="28"/>
        <v>30.735120316319797</v>
      </c>
    </row>
    <row r="509" spans="8:11" x14ac:dyDescent="0.25">
      <c r="H509" s="5">
        <f t="shared" si="31"/>
        <v>507</v>
      </c>
      <c r="I509">
        <f t="shared" si="29"/>
        <v>-30.574847019033175</v>
      </c>
      <c r="J509">
        <f t="shared" si="30"/>
        <v>1.9442587837390555</v>
      </c>
      <c r="K509" s="5">
        <f t="shared" si="28"/>
        <v>30.636602495306629</v>
      </c>
    </row>
    <row r="510" spans="8:11" x14ac:dyDescent="0.25">
      <c r="H510" s="5">
        <f t="shared" si="31"/>
        <v>508</v>
      </c>
      <c r="I510">
        <f t="shared" si="29"/>
        <v>-30.485707523350861</v>
      </c>
      <c r="J510">
        <f t="shared" si="30"/>
        <v>1.7986486998214497</v>
      </c>
      <c r="K510" s="5">
        <f t="shared" si="28"/>
        <v>30.538721327924989</v>
      </c>
    </row>
    <row r="511" spans="8:11" x14ac:dyDescent="0.25">
      <c r="H511" s="5">
        <f t="shared" si="31"/>
        <v>509</v>
      </c>
      <c r="I511">
        <f t="shared" si="29"/>
        <v>-30.396568027668543</v>
      </c>
      <c r="J511">
        <f t="shared" si="30"/>
        <v>1.6530386159038368</v>
      </c>
      <c r="K511" s="5">
        <f t="shared" si="28"/>
        <v>30.441482955440112</v>
      </c>
    </row>
    <row r="512" spans="8:11" x14ac:dyDescent="0.25">
      <c r="H512" s="5">
        <f t="shared" si="31"/>
        <v>510</v>
      </c>
      <c r="I512">
        <f t="shared" si="29"/>
        <v>-30.307428531986243</v>
      </c>
      <c r="J512">
        <f t="shared" si="30"/>
        <v>1.5074285319862311</v>
      </c>
      <c r="K512" s="5">
        <f t="shared" si="28"/>
        <v>30.344893557244522</v>
      </c>
    </row>
    <row r="513" spans="8:11" x14ac:dyDescent="0.25">
      <c r="H513" s="5">
        <f t="shared" si="31"/>
        <v>511</v>
      </c>
      <c r="I513">
        <f t="shared" si="29"/>
        <v>-30.218289036303929</v>
      </c>
      <c r="J513">
        <f t="shared" si="30"/>
        <v>1.3618184480686244</v>
      </c>
      <c r="K513" s="5">
        <f t="shared" si="28"/>
        <v>30.24895935015131</v>
      </c>
    </row>
    <row r="514" spans="8:11" x14ac:dyDescent="0.25">
      <c r="H514" s="5">
        <f t="shared" si="31"/>
        <v>512</v>
      </c>
      <c r="I514">
        <f t="shared" si="29"/>
        <v>-30.129149540621615</v>
      </c>
      <c r="J514">
        <f t="shared" si="30"/>
        <v>1.2162083641510186</v>
      </c>
      <c r="K514" s="5">
        <f t="shared" ref="K514:K577" si="32">SQRT((I514^2)+(J514^2))</f>
        <v>30.153686587649123</v>
      </c>
    </row>
    <row r="515" spans="8:11" x14ac:dyDescent="0.25">
      <c r="H515" s="5">
        <f t="shared" si="31"/>
        <v>513</v>
      </c>
      <c r="I515">
        <f t="shared" ref="I515:I578" si="33">D$29*($H515/1000)+D$18*(($H515/1000)-($D$7/1000))*(($H515/1000)&gt;($D$7/1000))+D$19*(($H515/1000)-($D$8/1000))*(($H515/1000)&gt;($D$8/1000))+D$20*(($H515/1000)-($D$9/1000))*(($H515/1000)&gt;($D$9/1000))+D$21*(($H515/1000)-($D$10/1000))*(($H515/1000)&gt;($D$10/1000))</f>
        <v>-30.040010044939294</v>
      </c>
      <c r="J515">
        <f t="shared" ref="J515:J578" si="34">E$29*($H515/1000)+E$18*(($H515/1000)-($D$7/1000))*(($H515/1000)&gt;($D$7/1000))+E$19*(($H515/1000)-($D$8/1000))*(($H515/1000)&gt;($D$8/1000))+E$20*(($H515/1000)-($D$9/1000))*(($H515/1000)&gt;($D$9/1000))+E$21*(($H515/1000)-($D$10/1000))*(($H515/1000)&gt;($D$10/1000))</f>
        <v>1.0705982802334129</v>
      </c>
      <c r="K515" s="5">
        <f t="shared" si="32"/>
        <v>30.059081559117743</v>
      </c>
    </row>
    <row r="516" spans="8:11" x14ac:dyDescent="0.25">
      <c r="H516" s="5">
        <f t="shared" ref="H516:H579" si="35">IF((ROW(A514)*$G$2)&lt;=$D$5, ROW(A514)*$G$2,NA())</f>
        <v>514</v>
      </c>
      <c r="I516">
        <f t="shared" si="33"/>
        <v>-29.950870549256983</v>
      </c>
      <c r="J516">
        <f t="shared" si="34"/>
        <v>0.92498819631579998</v>
      </c>
      <c r="K516" s="5">
        <f t="shared" si="32"/>
        <v>29.965150589003766</v>
      </c>
    </row>
    <row r="517" spans="8:11" x14ac:dyDescent="0.25">
      <c r="H517" s="5">
        <f t="shared" si="35"/>
        <v>515</v>
      </c>
      <c r="I517">
        <f t="shared" si="33"/>
        <v>-29.861731053574669</v>
      </c>
      <c r="J517">
        <f t="shared" si="34"/>
        <v>0.77937811239819421</v>
      </c>
      <c r="K517" s="5">
        <f t="shared" si="32"/>
        <v>29.871900035955381</v>
      </c>
    </row>
    <row r="518" spans="8:11" x14ac:dyDescent="0.25">
      <c r="H518" s="5">
        <f t="shared" si="35"/>
        <v>516</v>
      </c>
      <c r="I518">
        <f t="shared" si="33"/>
        <v>-29.772591557892369</v>
      </c>
      <c r="J518">
        <f t="shared" si="34"/>
        <v>0.63376802848059555</v>
      </c>
      <c r="K518" s="5">
        <f t="shared" si="32"/>
        <v>29.779336291915712</v>
      </c>
    </row>
    <row r="519" spans="8:11" x14ac:dyDescent="0.25">
      <c r="H519" s="5">
        <f t="shared" si="35"/>
        <v>517</v>
      </c>
      <c r="I519">
        <f t="shared" si="33"/>
        <v>-29.683452062210055</v>
      </c>
      <c r="J519">
        <f t="shared" si="34"/>
        <v>0.48815794456298978</v>
      </c>
      <c r="K519" s="5">
        <f t="shared" si="32"/>
        <v>29.687465781173749</v>
      </c>
    </row>
    <row r="520" spans="8:11" x14ac:dyDescent="0.25">
      <c r="H520" s="5">
        <f t="shared" si="35"/>
        <v>518</v>
      </c>
      <c r="I520">
        <f t="shared" si="33"/>
        <v>-29.594312566527734</v>
      </c>
      <c r="J520">
        <f t="shared" si="34"/>
        <v>0.3425478606453769</v>
      </c>
      <c r="K520" s="5">
        <f t="shared" si="32"/>
        <v>29.596294959372432</v>
      </c>
    </row>
    <row r="521" spans="8:11" x14ac:dyDescent="0.25">
      <c r="H521" s="5">
        <f t="shared" si="35"/>
        <v>519</v>
      </c>
      <c r="I521">
        <f t="shared" si="33"/>
        <v>-29.505173070845423</v>
      </c>
      <c r="J521">
        <f t="shared" si="34"/>
        <v>0.19693777672777113</v>
      </c>
      <c r="K521" s="5">
        <f t="shared" si="32"/>
        <v>29.505830312472895</v>
      </c>
    </row>
    <row r="522" spans="8:11" x14ac:dyDescent="0.25">
      <c r="H522" s="5">
        <f t="shared" si="35"/>
        <v>520</v>
      </c>
      <c r="I522">
        <f t="shared" si="33"/>
        <v>-29.416033575163109</v>
      </c>
      <c r="J522">
        <f t="shared" si="34"/>
        <v>5.132769281016536E-2</v>
      </c>
      <c r="K522" s="5">
        <f t="shared" si="32"/>
        <v>29.416078355674344</v>
      </c>
    </row>
    <row r="523" spans="8:11" x14ac:dyDescent="0.25">
      <c r="H523" s="5">
        <f t="shared" si="35"/>
        <v>521</v>
      </c>
      <c r="I523">
        <f t="shared" si="33"/>
        <v>-29.326894079480795</v>
      </c>
      <c r="J523">
        <f t="shared" si="34"/>
        <v>-9.4282391107440411E-2</v>
      </c>
      <c r="K523" s="5">
        <f t="shared" si="32"/>
        <v>29.327045632288954</v>
      </c>
    </row>
    <row r="524" spans="8:11" x14ac:dyDescent="0.25">
      <c r="H524" s="5">
        <f t="shared" si="35"/>
        <v>522</v>
      </c>
      <c r="I524">
        <f t="shared" si="33"/>
        <v>-29.237754583798491</v>
      </c>
      <c r="J524">
        <f t="shared" si="34"/>
        <v>-0.23989247502504618</v>
      </c>
      <c r="K524" s="5">
        <f t="shared" si="32"/>
        <v>29.238738712571088</v>
      </c>
    </row>
    <row r="525" spans="8:11" x14ac:dyDescent="0.25">
      <c r="H525" s="5">
        <f t="shared" si="35"/>
        <v>523</v>
      </c>
      <c r="I525">
        <f t="shared" si="33"/>
        <v>-29.148615088116177</v>
      </c>
      <c r="J525">
        <f t="shared" si="34"/>
        <v>-0.38550255894265906</v>
      </c>
      <c r="K525" s="5">
        <f t="shared" si="32"/>
        <v>29.151164192500193</v>
      </c>
    </row>
    <row r="526" spans="8:11" x14ac:dyDescent="0.25">
      <c r="H526" s="5">
        <f t="shared" si="35"/>
        <v>524</v>
      </c>
      <c r="I526">
        <f t="shared" si="33"/>
        <v>-29.059475592433863</v>
      </c>
      <c r="J526">
        <f t="shared" si="34"/>
        <v>-0.53111264286026483</v>
      </c>
      <c r="K526" s="5">
        <f t="shared" si="32"/>
        <v>29.064328692516973</v>
      </c>
    </row>
    <row r="527" spans="8:11" x14ac:dyDescent="0.25">
      <c r="H527" s="5">
        <f t="shared" si="35"/>
        <v>525</v>
      </c>
      <c r="I527">
        <f t="shared" si="33"/>
        <v>-28.970336096751549</v>
      </c>
      <c r="J527">
        <f t="shared" si="34"/>
        <v>-0.6767227267778706</v>
      </c>
      <c r="K527" s="5">
        <f t="shared" si="32"/>
        <v>28.978238856212144</v>
      </c>
    </row>
    <row r="528" spans="8:11" x14ac:dyDescent="0.25">
      <c r="H528" s="5">
        <f t="shared" si="35"/>
        <v>526</v>
      </c>
      <c r="I528">
        <f t="shared" si="33"/>
        <v>-28.881196601069234</v>
      </c>
      <c r="J528">
        <f t="shared" si="34"/>
        <v>-0.82233281069547015</v>
      </c>
      <c r="K528" s="5">
        <f t="shared" si="32"/>
        <v>28.892901348967349</v>
      </c>
    </row>
    <row r="529" spans="8:11" x14ac:dyDescent="0.25">
      <c r="H529" s="5">
        <f t="shared" si="35"/>
        <v>527</v>
      </c>
      <c r="I529">
        <f t="shared" si="33"/>
        <v>-28.792057105386917</v>
      </c>
      <c r="J529">
        <f t="shared" si="34"/>
        <v>-0.96794289461308303</v>
      </c>
      <c r="K529" s="5">
        <f t="shared" si="32"/>
        <v>28.808322856547779</v>
      </c>
    </row>
    <row r="530" spans="8:11" x14ac:dyDescent="0.25">
      <c r="H530" s="5">
        <f t="shared" si="35"/>
        <v>528</v>
      </c>
      <c r="I530">
        <f t="shared" si="33"/>
        <v>-28.702917609704617</v>
      </c>
      <c r="J530">
        <f t="shared" si="34"/>
        <v>-1.1135529785306888</v>
      </c>
      <c r="K530" s="5">
        <f t="shared" si="32"/>
        <v>28.724510083646091</v>
      </c>
    </row>
    <row r="531" spans="8:11" x14ac:dyDescent="0.25">
      <c r="H531" s="5">
        <f t="shared" si="35"/>
        <v>529</v>
      </c>
      <c r="I531">
        <f t="shared" si="33"/>
        <v>-28.613778114022303</v>
      </c>
      <c r="J531">
        <f t="shared" si="34"/>
        <v>-1.2591630624482946</v>
      </c>
      <c r="K531" s="5">
        <f t="shared" si="32"/>
        <v>28.641469752377159</v>
      </c>
    </row>
    <row r="532" spans="8:11" x14ac:dyDescent="0.25">
      <c r="H532" s="5">
        <f t="shared" si="35"/>
        <v>530</v>
      </c>
      <c r="I532">
        <f t="shared" si="33"/>
        <v>-28.524638618339988</v>
      </c>
      <c r="J532">
        <f t="shared" si="34"/>
        <v>-1.4047731463659003</v>
      </c>
      <c r="K532" s="5">
        <f t="shared" si="32"/>
        <v>28.559208600723583</v>
      </c>
    </row>
    <row r="533" spans="8:11" x14ac:dyDescent="0.25">
      <c r="H533" s="5">
        <f t="shared" si="35"/>
        <v>531</v>
      </c>
      <c r="I533">
        <f t="shared" si="33"/>
        <v>-28.435499122657667</v>
      </c>
      <c r="J533">
        <f t="shared" si="34"/>
        <v>-1.5503832302835061</v>
      </c>
      <c r="K533" s="5">
        <f t="shared" si="32"/>
        <v>28.477733380931308</v>
      </c>
    </row>
    <row r="534" spans="8:11" x14ac:dyDescent="0.25">
      <c r="H534" s="5">
        <f t="shared" si="35"/>
        <v>532</v>
      </c>
      <c r="I534">
        <f t="shared" si="33"/>
        <v>-28.346359626975357</v>
      </c>
      <c r="J534">
        <f t="shared" si="34"/>
        <v>-1.695993314201119</v>
      </c>
      <c r="K534" s="5">
        <f t="shared" si="32"/>
        <v>28.397050857855529</v>
      </c>
    </row>
    <row r="535" spans="8:11" x14ac:dyDescent="0.25">
      <c r="H535" s="5">
        <f t="shared" si="35"/>
        <v>533</v>
      </c>
      <c r="I535">
        <f t="shared" si="33"/>
        <v>-28.257220131293042</v>
      </c>
      <c r="J535">
        <f t="shared" si="34"/>
        <v>-1.8416033981187248</v>
      </c>
      <c r="K535" s="5">
        <f t="shared" si="32"/>
        <v>28.317167807256347</v>
      </c>
    </row>
    <row r="536" spans="8:11" x14ac:dyDescent="0.25">
      <c r="H536" s="5">
        <f t="shared" si="35"/>
        <v>534</v>
      </c>
      <c r="I536">
        <f t="shared" si="33"/>
        <v>-28.168080635610742</v>
      </c>
      <c r="J536">
        <f t="shared" si="34"/>
        <v>-1.9872134820363305</v>
      </c>
      <c r="K536" s="5">
        <f t="shared" si="32"/>
        <v>28.238091014044414</v>
      </c>
    </row>
    <row r="537" spans="8:11" x14ac:dyDescent="0.25">
      <c r="H537" s="5">
        <f t="shared" si="35"/>
        <v>535</v>
      </c>
      <c r="I537">
        <f t="shared" si="33"/>
        <v>-28.078941139928432</v>
      </c>
      <c r="J537">
        <f t="shared" si="34"/>
        <v>-2.1328235659539363</v>
      </c>
      <c r="K537" s="5">
        <f t="shared" si="32"/>
        <v>28.159827270476178</v>
      </c>
    </row>
    <row r="538" spans="8:11" x14ac:dyDescent="0.25">
      <c r="H538" s="5">
        <f t="shared" si="35"/>
        <v>536</v>
      </c>
      <c r="I538">
        <f t="shared" si="33"/>
        <v>-27.989801644246111</v>
      </c>
      <c r="J538">
        <f t="shared" si="34"/>
        <v>-2.2784336498715421</v>
      </c>
      <c r="K538" s="5">
        <f t="shared" si="32"/>
        <v>28.082383374299077</v>
      </c>
    </row>
    <row r="539" spans="8:11" x14ac:dyDescent="0.25">
      <c r="H539" s="5">
        <f t="shared" si="35"/>
        <v>537</v>
      </c>
      <c r="I539">
        <f t="shared" si="33"/>
        <v>-27.900662148563796</v>
      </c>
      <c r="J539">
        <f t="shared" si="34"/>
        <v>-2.4240437337891478</v>
      </c>
      <c r="K539" s="5">
        <f t="shared" si="32"/>
        <v>28.005766126846503</v>
      </c>
    </row>
    <row r="540" spans="8:11" x14ac:dyDescent="0.25">
      <c r="H540" s="5">
        <f t="shared" si="35"/>
        <v>538</v>
      </c>
      <c r="I540">
        <f t="shared" si="33"/>
        <v>-27.811522652881482</v>
      </c>
      <c r="J540">
        <f t="shared" si="34"/>
        <v>-2.5696538177067536</v>
      </c>
      <c r="K540" s="5">
        <f t="shared" si="32"/>
        <v>27.929982331082751</v>
      </c>
    </row>
    <row r="541" spans="8:11" x14ac:dyDescent="0.25">
      <c r="H541" s="5">
        <f t="shared" si="35"/>
        <v>539</v>
      </c>
      <c r="I541">
        <f t="shared" si="33"/>
        <v>-27.722383157199168</v>
      </c>
      <c r="J541">
        <f t="shared" si="34"/>
        <v>-2.7152639016243594</v>
      </c>
      <c r="K541" s="5">
        <f t="shared" si="32"/>
        <v>27.855038789598272</v>
      </c>
    </row>
    <row r="542" spans="8:11" x14ac:dyDescent="0.25">
      <c r="H542" s="5">
        <f t="shared" si="35"/>
        <v>540</v>
      </c>
      <c r="I542">
        <f t="shared" si="33"/>
        <v>-27.633243661516865</v>
      </c>
      <c r="J542">
        <f t="shared" si="34"/>
        <v>-2.8608739855419651</v>
      </c>
      <c r="K542" s="5">
        <f t="shared" si="32"/>
        <v>27.780942302555413</v>
      </c>
    </row>
    <row r="543" spans="8:11" x14ac:dyDescent="0.25">
      <c r="H543" s="5">
        <f t="shared" si="35"/>
        <v>541</v>
      </c>
      <c r="I543">
        <f t="shared" si="33"/>
        <v>-27.54410416583455</v>
      </c>
      <c r="J543">
        <f t="shared" si="34"/>
        <v>-3.006484069459578</v>
      </c>
      <c r="K543" s="5">
        <f t="shared" si="32"/>
        <v>27.707699665584986</v>
      </c>
    </row>
    <row r="544" spans="8:11" x14ac:dyDescent="0.25">
      <c r="H544" s="5">
        <f t="shared" si="35"/>
        <v>542</v>
      </c>
      <c r="I544">
        <f t="shared" si="33"/>
        <v>-27.454964670152236</v>
      </c>
      <c r="J544">
        <f t="shared" si="34"/>
        <v>-3.1520941533771847</v>
      </c>
      <c r="K544" s="5">
        <f t="shared" si="32"/>
        <v>27.635317667634329</v>
      </c>
    </row>
    <row r="545" spans="8:11" x14ac:dyDescent="0.25">
      <c r="H545" s="5">
        <f t="shared" si="35"/>
        <v>543</v>
      </c>
      <c r="I545">
        <f t="shared" si="33"/>
        <v>-27.365825174469926</v>
      </c>
      <c r="J545">
        <f t="shared" si="34"/>
        <v>-3.2977042372947896</v>
      </c>
      <c r="K545" s="5">
        <f t="shared" si="32"/>
        <v>27.563803088767049</v>
      </c>
    </row>
    <row r="546" spans="8:11" x14ac:dyDescent="0.25">
      <c r="H546" s="5">
        <f t="shared" si="35"/>
        <v>544</v>
      </c>
      <c r="I546">
        <f t="shared" si="33"/>
        <v>-27.276685678787608</v>
      </c>
      <c r="J546">
        <f t="shared" si="34"/>
        <v>-3.4433143212123962</v>
      </c>
      <c r="K546" s="5">
        <f t="shared" si="32"/>
        <v>27.493162697915338</v>
      </c>
    </row>
    <row r="547" spans="8:11" x14ac:dyDescent="0.25">
      <c r="H547" s="5">
        <f t="shared" si="35"/>
        <v>545</v>
      </c>
      <c r="I547">
        <f t="shared" si="33"/>
        <v>-27.18754618310529</v>
      </c>
      <c r="J547">
        <f t="shared" si="34"/>
        <v>-3.5889244051300082</v>
      </c>
      <c r="K547" s="5">
        <f t="shared" si="32"/>
        <v>27.423403250585455</v>
      </c>
    </row>
    <row r="548" spans="8:11" x14ac:dyDescent="0.25">
      <c r="H548" s="5">
        <f t="shared" si="35"/>
        <v>546</v>
      </c>
      <c r="I548">
        <f t="shared" si="33"/>
        <v>-27.09840668742299</v>
      </c>
      <c r="J548">
        <f t="shared" si="34"/>
        <v>-3.7345344890476149</v>
      </c>
      <c r="K548" s="5">
        <f t="shared" si="32"/>
        <v>27.354531486517132</v>
      </c>
    </row>
    <row r="549" spans="8:11" x14ac:dyDescent="0.25">
      <c r="H549" s="5">
        <f t="shared" si="35"/>
        <v>547</v>
      </c>
      <c r="I549">
        <f t="shared" si="33"/>
        <v>-27.009267191740676</v>
      </c>
      <c r="J549">
        <f t="shared" si="34"/>
        <v>-3.8801445729652126</v>
      </c>
      <c r="K549" s="5">
        <f t="shared" si="32"/>
        <v>27.286554127297762</v>
      </c>
    </row>
    <row r="550" spans="8:11" x14ac:dyDescent="0.25">
      <c r="H550" s="5">
        <f t="shared" si="35"/>
        <v>548</v>
      </c>
      <c r="I550">
        <f t="shared" si="33"/>
        <v>-26.920127696058366</v>
      </c>
      <c r="J550">
        <f t="shared" si="34"/>
        <v>-4.0257546568828193</v>
      </c>
      <c r="K550" s="5">
        <f t="shared" si="32"/>
        <v>27.219477873932526</v>
      </c>
    </row>
    <row r="551" spans="8:11" x14ac:dyDescent="0.25">
      <c r="H551" s="5">
        <f t="shared" si="35"/>
        <v>549</v>
      </c>
      <c r="I551">
        <f t="shared" si="33"/>
        <v>-26.830988200376051</v>
      </c>
      <c r="J551">
        <f t="shared" si="34"/>
        <v>-4.1713647408004242</v>
      </c>
      <c r="K551" s="5">
        <f t="shared" si="32"/>
        <v>27.153309404371171</v>
      </c>
    </row>
    <row r="552" spans="8:11" x14ac:dyDescent="0.25">
      <c r="H552" s="5">
        <f t="shared" si="35"/>
        <v>550</v>
      </c>
      <c r="I552">
        <f t="shared" si="33"/>
        <v>-26.74184870469373</v>
      </c>
      <c r="J552">
        <f t="shared" si="34"/>
        <v>-4.316974824718038</v>
      </c>
      <c r="K552" s="5">
        <f t="shared" si="32"/>
        <v>27.088055370992933</v>
      </c>
    </row>
    <row r="553" spans="8:11" x14ac:dyDescent="0.25">
      <c r="H553" s="5">
        <f t="shared" si="35"/>
        <v>551</v>
      </c>
      <c r="I553">
        <f t="shared" si="33"/>
        <v>-26.652709209011416</v>
      </c>
      <c r="J553">
        <f t="shared" si="34"/>
        <v>-4.4625849086356446</v>
      </c>
      <c r="K553" s="5">
        <f t="shared" si="32"/>
        <v>27.023722398050655</v>
      </c>
    </row>
    <row r="554" spans="8:11" x14ac:dyDescent="0.25">
      <c r="H554" s="5">
        <f t="shared" si="35"/>
        <v>552</v>
      </c>
      <c r="I554">
        <f t="shared" si="33"/>
        <v>-26.563569713329116</v>
      </c>
      <c r="J554">
        <f t="shared" si="34"/>
        <v>-4.6081949925532495</v>
      </c>
      <c r="K554" s="5">
        <f t="shared" si="32"/>
        <v>26.960317079075473</v>
      </c>
    </row>
    <row r="555" spans="8:11" x14ac:dyDescent="0.25">
      <c r="H555" s="5">
        <f t="shared" si="35"/>
        <v>553</v>
      </c>
      <c r="I555">
        <f t="shared" si="33"/>
        <v>-26.474430217646805</v>
      </c>
      <c r="J555">
        <f t="shared" si="34"/>
        <v>-4.7538050764708562</v>
      </c>
      <c r="K555" s="5">
        <f t="shared" si="32"/>
        <v>26.897845974243559</v>
      </c>
    </row>
    <row r="556" spans="8:11" x14ac:dyDescent="0.25">
      <c r="H556" s="5">
        <f t="shared" si="35"/>
        <v>554</v>
      </c>
      <c r="I556">
        <f t="shared" si="33"/>
        <v>-26.385290721964484</v>
      </c>
      <c r="J556">
        <f t="shared" si="34"/>
        <v>-4.8994151603884681</v>
      </c>
      <c r="K556" s="5">
        <f t="shared" si="32"/>
        <v>26.836315607706464</v>
      </c>
    </row>
    <row r="557" spans="8:11" x14ac:dyDescent="0.25">
      <c r="H557" s="5">
        <f t="shared" si="35"/>
        <v>555</v>
      </c>
      <c r="I557">
        <f t="shared" si="33"/>
        <v>-26.29615122628217</v>
      </c>
      <c r="J557">
        <f t="shared" si="34"/>
        <v>-5.0450252443060748</v>
      </c>
      <c r="K557" s="5">
        <f t="shared" si="32"/>
        <v>26.775732464886683</v>
      </c>
    </row>
    <row r="558" spans="8:11" x14ac:dyDescent="0.25">
      <c r="H558" s="5">
        <f t="shared" si="35"/>
        <v>556</v>
      </c>
      <c r="I558">
        <f t="shared" si="33"/>
        <v>-26.207011730599859</v>
      </c>
      <c r="J558">
        <f t="shared" si="34"/>
        <v>-5.1906353282236797</v>
      </c>
      <c r="K558" s="5">
        <f t="shared" si="32"/>
        <v>26.716102989740147</v>
      </c>
    </row>
    <row r="559" spans="8:11" x14ac:dyDescent="0.25">
      <c r="H559" s="5">
        <f t="shared" si="35"/>
        <v>557</v>
      </c>
      <c r="I559">
        <f t="shared" si="33"/>
        <v>-26.117872234917542</v>
      </c>
      <c r="J559">
        <f t="shared" si="34"/>
        <v>-5.3362454121412792</v>
      </c>
      <c r="K559" s="5">
        <f t="shared" si="32"/>
        <v>26.657433581987512</v>
      </c>
    </row>
    <row r="560" spans="8:11" x14ac:dyDescent="0.25">
      <c r="H560" s="5">
        <f t="shared" si="35"/>
        <v>558</v>
      </c>
      <c r="I560">
        <f t="shared" si="33"/>
        <v>-26.028732739235245</v>
      </c>
      <c r="J560">
        <f t="shared" si="34"/>
        <v>-5.4818554960588912</v>
      </c>
      <c r="K560" s="5">
        <f t="shared" si="32"/>
        <v>26.599730594316323</v>
      </c>
    </row>
    <row r="561" spans="8:11" x14ac:dyDescent="0.25">
      <c r="H561" s="5">
        <f t="shared" si="35"/>
        <v>559</v>
      </c>
      <c r="I561">
        <f t="shared" si="33"/>
        <v>-25.939593243552924</v>
      </c>
      <c r="J561">
        <f t="shared" si="34"/>
        <v>-5.6274655799764979</v>
      </c>
      <c r="K561" s="5">
        <f t="shared" si="32"/>
        <v>26.543000329555749</v>
      </c>
    </row>
    <row r="562" spans="8:11" x14ac:dyDescent="0.25">
      <c r="H562" s="5">
        <f t="shared" si="35"/>
        <v>560</v>
      </c>
      <c r="I562">
        <f t="shared" si="33"/>
        <v>-25.85045374787061</v>
      </c>
      <c r="J562">
        <f t="shared" si="34"/>
        <v>-5.7730756638941028</v>
      </c>
      <c r="K562" s="5">
        <f t="shared" si="32"/>
        <v>26.487249037826562</v>
      </c>
    </row>
    <row r="563" spans="8:11" x14ac:dyDescent="0.25">
      <c r="H563" s="5">
        <f t="shared" si="35"/>
        <v>561</v>
      </c>
      <c r="I563">
        <f t="shared" si="33"/>
        <v>-25.761314252188299</v>
      </c>
      <c r="J563">
        <f t="shared" si="34"/>
        <v>-5.9186857478117094</v>
      </c>
      <c r="K563" s="5">
        <f t="shared" si="32"/>
        <v>26.432482913667975</v>
      </c>
    </row>
    <row r="564" spans="8:11" x14ac:dyDescent="0.25">
      <c r="H564" s="5">
        <f t="shared" si="35"/>
        <v>562</v>
      </c>
      <c r="I564">
        <f t="shared" si="33"/>
        <v>-25.672174756505985</v>
      </c>
      <c r="J564">
        <f t="shared" si="34"/>
        <v>-6.0642958317293143</v>
      </c>
      <c r="K564" s="5">
        <f t="shared" si="32"/>
        <v>26.378708093144226</v>
      </c>
    </row>
    <row r="565" spans="8:11" x14ac:dyDescent="0.25">
      <c r="H565" s="5">
        <f t="shared" si="35"/>
        <v>563</v>
      </c>
      <c r="I565">
        <f t="shared" si="33"/>
        <v>-25.583035260823682</v>
      </c>
      <c r="J565">
        <f t="shared" si="34"/>
        <v>-6.2099059156469103</v>
      </c>
      <c r="K565" s="5">
        <f t="shared" si="32"/>
        <v>26.325930650933014</v>
      </c>
    </row>
    <row r="566" spans="8:11" x14ac:dyDescent="0.25">
      <c r="H566" s="5">
        <f t="shared" si="35"/>
        <v>564</v>
      </c>
      <c r="I566">
        <f t="shared" si="33"/>
        <v>-25.493895765141367</v>
      </c>
      <c r="J566">
        <f t="shared" si="34"/>
        <v>-6.3555159995645081</v>
      </c>
      <c r="K566" s="5">
        <f t="shared" si="32"/>
        <v>26.274156597398392</v>
      </c>
    </row>
    <row r="567" spans="8:11" x14ac:dyDescent="0.25">
      <c r="H567" s="5">
        <f t="shared" si="35"/>
        <v>565</v>
      </c>
      <c r="I567">
        <f t="shared" si="33"/>
        <v>-25.404756269459064</v>
      </c>
      <c r="J567">
        <f t="shared" si="34"/>
        <v>-6.5011260834821218</v>
      </c>
      <c r="K567" s="5">
        <f t="shared" si="32"/>
        <v>26.223391875650854</v>
      </c>
    </row>
    <row r="568" spans="8:11" x14ac:dyDescent="0.25">
      <c r="H568" s="5">
        <f t="shared" si="35"/>
        <v>566</v>
      </c>
      <c r="I568">
        <f t="shared" si="33"/>
        <v>-25.31561677377675</v>
      </c>
      <c r="J568">
        <f t="shared" si="34"/>
        <v>-6.6467361673997267</v>
      </c>
      <c r="K568" s="5">
        <f t="shared" si="32"/>
        <v>26.173642358597061</v>
      </c>
    </row>
    <row r="569" spans="8:11" x14ac:dyDescent="0.25">
      <c r="H569" s="5">
        <f t="shared" si="35"/>
        <v>567</v>
      </c>
      <c r="I569">
        <f t="shared" si="33"/>
        <v>-25.226477278094436</v>
      </c>
      <c r="J569">
        <f t="shared" si="34"/>
        <v>-6.7923462513173334</v>
      </c>
      <c r="K569" s="5">
        <f t="shared" si="32"/>
        <v>26.124913845982334</v>
      </c>
    </row>
    <row r="570" spans="8:11" x14ac:dyDescent="0.25">
      <c r="H570" s="5">
        <f t="shared" si="35"/>
        <v>568</v>
      </c>
      <c r="I570">
        <f t="shared" si="33"/>
        <v>-25.137337782412121</v>
      </c>
      <c r="J570">
        <f t="shared" si="34"/>
        <v>-6.93795633523494</v>
      </c>
      <c r="K570" s="5">
        <f t="shared" si="32"/>
        <v>26.077212061428472</v>
      </c>
    </row>
    <row r="571" spans="8:11" x14ac:dyDescent="0.25">
      <c r="H571" s="5">
        <f t="shared" si="35"/>
        <v>569</v>
      </c>
      <c r="I571">
        <f t="shared" si="33"/>
        <v>-25.048198286729807</v>
      </c>
      <c r="J571">
        <f t="shared" si="34"/>
        <v>-7.083566419152552</v>
      </c>
      <c r="K571" s="5">
        <f t="shared" si="32"/>
        <v>26.03054264947006</v>
      </c>
    </row>
    <row r="572" spans="8:11" x14ac:dyDescent="0.25">
      <c r="H572" s="5">
        <f t="shared" si="35"/>
        <v>570</v>
      </c>
      <c r="I572">
        <f t="shared" si="33"/>
        <v>-24.959058791047489</v>
      </c>
      <c r="J572">
        <f t="shared" si="34"/>
        <v>-7.2291765030701587</v>
      </c>
      <c r="K572" s="5">
        <f t="shared" si="32"/>
        <v>25.984911172592195</v>
      </c>
    </row>
    <row r="573" spans="8:11" x14ac:dyDescent="0.25">
      <c r="H573" s="5">
        <f t="shared" si="35"/>
        <v>571</v>
      </c>
      <c r="I573">
        <f t="shared" si="33"/>
        <v>-24.86991929536519</v>
      </c>
      <c r="J573">
        <f t="shared" si="34"/>
        <v>-7.3747865869877636</v>
      </c>
      <c r="K573" s="5">
        <f t="shared" si="32"/>
        <v>25.940323108272811</v>
      </c>
    </row>
    <row r="574" spans="8:11" x14ac:dyDescent="0.25">
      <c r="H574" s="5">
        <f t="shared" si="35"/>
        <v>572</v>
      </c>
      <c r="I574">
        <f t="shared" si="33"/>
        <v>-24.780779799682875</v>
      </c>
      <c r="J574">
        <f t="shared" si="34"/>
        <v>-7.5203966709053702</v>
      </c>
      <c r="K574" s="5">
        <f t="shared" si="32"/>
        <v>25.896783846032609</v>
      </c>
    </row>
    <row r="575" spans="8:11" x14ac:dyDescent="0.25">
      <c r="H575" s="5">
        <f t="shared" si="35"/>
        <v>573</v>
      </c>
      <c r="I575">
        <f t="shared" si="33"/>
        <v>-24.691640304000565</v>
      </c>
      <c r="J575">
        <f t="shared" si="34"/>
        <v>-7.6660067548229751</v>
      </c>
      <c r="K575" s="5">
        <f t="shared" si="32"/>
        <v>25.854298684496097</v>
      </c>
    </row>
    <row r="576" spans="8:11" x14ac:dyDescent="0.25">
      <c r="H576" s="5">
        <f t="shared" si="35"/>
        <v>574</v>
      </c>
      <c r="I576">
        <f t="shared" si="33"/>
        <v>-24.60250080831824</v>
      </c>
      <c r="J576">
        <f t="shared" si="34"/>
        <v>-7.8116168387405818</v>
      </c>
      <c r="K576" s="5">
        <f t="shared" si="32"/>
        <v>25.812872828466713</v>
      </c>
    </row>
    <row r="577" spans="8:11" x14ac:dyDescent="0.25">
      <c r="H577" s="5">
        <f t="shared" si="35"/>
        <v>575</v>
      </c>
      <c r="I577">
        <f t="shared" si="33"/>
        <v>-24.513361312635929</v>
      </c>
      <c r="J577">
        <f t="shared" si="34"/>
        <v>-7.9572269226581867</v>
      </c>
      <c r="K577" s="5">
        <f t="shared" si="32"/>
        <v>25.772511386019644</v>
      </c>
    </row>
    <row r="578" spans="8:11" x14ac:dyDescent="0.25">
      <c r="H578" s="5">
        <f t="shared" si="35"/>
        <v>576</v>
      </c>
      <c r="I578">
        <f t="shared" si="33"/>
        <v>-24.424221816953615</v>
      </c>
      <c r="J578">
        <f t="shared" si="34"/>
        <v>-8.1028370065757933</v>
      </c>
      <c r="K578" s="5">
        <f t="shared" ref="K578:K641" si="36">SQRT((I578^2)+(J578^2))</f>
        <v>25.733219365615469</v>
      </c>
    </row>
    <row r="579" spans="8:11" x14ac:dyDescent="0.25">
      <c r="H579" s="5">
        <f t="shared" si="35"/>
        <v>577</v>
      </c>
      <c r="I579">
        <f t="shared" ref="I579:I642" si="37">D$29*($H579/1000)+D$18*(($H579/1000)-($D$7/1000))*(($H579/1000)&gt;($D$7/1000))+D$19*(($H579/1000)-($D$8/1000))*(($H579/1000)&gt;($D$8/1000))+D$20*(($H579/1000)-($D$9/1000))*(($H579/1000)&gt;($D$9/1000))+D$21*(($H579/1000)-($D$10/1000))*(($H579/1000)&gt;($D$10/1000))</f>
        <v>-24.335082321271315</v>
      </c>
      <c r="J579">
        <f t="shared" ref="J579:J642" si="38">E$29*($H579/1000)+E$18*(($H579/1000)-($D$7/1000))*(($H579/1000)&gt;($D$7/1000))+E$19*(($H579/1000)-($D$8/1000))*(($H579/1000)&gt;($D$8/1000))+E$20*(($H579/1000)-($D$9/1000))*(($H579/1000)&gt;($D$9/1000))+E$21*(($H579/1000)-($D$10/1000))*(($H579/1000)&gt;($D$10/1000))</f>
        <v>-8.2484470904933982</v>
      </c>
      <c r="K579" s="5">
        <f t="shared" si="36"/>
        <v>25.695001673238334</v>
      </c>
    </row>
    <row r="580" spans="8:11" x14ac:dyDescent="0.25">
      <c r="H580" s="5">
        <f t="shared" ref="H580:H643" si="39">IF((ROW(A578)*$G$2)&lt;=$D$5, ROW(A578)*$G$2,NA())</f>
        <v>578</v>
      </c>
      <c r="I580">
        <f t="shared" si="37"/>
        <v>-24.245942825589005</v>
      </c>
      <c r="J580">
        <f t="shared" si="38"/>
        <v>-8.394057174411012</v>
      </c>
      <c r="K580" s="5">
        <f t="shared" si="36"/>
        <v>25.657863109561792</v>
      </c>
    </row>
    <row r="581" spans="8:11" x14ac:dyDescent="0.25">
      <c r="H581" s="5">
        <f t="shared" si="39"/>
        <v>579</v>
      </c>
      <c r="I581">
        <f t="shared" si="37"/>
        <v>-24.156803329906683</v>
      </c>
      <c r="J581">
        <f t="shared" si="38"/>
        <v>-8.5396672583286168</v>
      </c>
      <c r="K581" s="5">
        <f t="shared" si="36"/>
        <v>25.621808367146148</v>
      </c>
    </row>
    <row r="582" spans="8:11" x14ac:dyDescent="0.25">
      <c r="H582" s="5">
        <f t="shared" si="39"/>
        <v>580</v>
      </c>
      <c r="I582">
        <f t="shared" si="37"/>
        <v>-24.067663834224369</v>
      </c>
      <c r="J582">
        <f t="shared" si="38"/>
        <v>-8.6852773422462235</v>
      </c>
      <c r="K582" s="5">
        <f t="shared" si="36"/>
        <v>25.586842027670535</v>
      </c>
    </row>
    <row r="583" spans="8:11" x14ac:dyDescent="0.25">
      <c r="H583" s="5">
        <f t="shared" si="39"/>
        <v>581</v>
      </c>
      <c r="I583">
        <f t="shared" si="37"/>
        <v>-23.978524338542059</v>
      </c>
      <c r="J583">
        <f t="shared" si="38"/>
        <v>-8.8308874261638284</v>
      </c>
      <c r="K583" s="5">
        <f t="shared" si="36"/>
        <v>25.552968559203297</v>
      </c>
    </row>
    <row r="584" spans="8:11" x14ac:dyDescent="0.25">
      <c r="H584" s="5">
        <f t="shared" si="39"/>
        <v>582</v>
      </c>
      <c r="I584">
        <f t="shared" si="37"/>
        <v>-23.889384842859741</v>
      </c>
      <c r="J584">
        <f t="shared" si="38"/>
        <v>-8.976497510081435</v>
      </c>
      <c r="K584" s="5">
        <f t="shared" si="36"/>
        <v>25.520192313514311</v>
      </c>
    </row>
    <row r="585" spans="8:11" x14ac:dyDescent="0.25">
      <c r="H585" s="5">
        <f t="shared" si="39"/>
        <v>583</v>
      </c>
      <c r="I585">
        <f t="shared" si="37"/>
        <v>-23.800245347177437</v>
      </c>
      <c r="J585">
        <f t="shared" si="38"/>
        <v>-9.1221075939990488</v>
      </c>
      <c r="K585" s="5">
        <f t="shared" si="36"/>
        <v>25.488517523432712</v>
      </c>
    </row>
    <row r="586" spans="8:11" x14ac:dyDescent="0.25">
      <c r="H586" s="5">
        <f t="shared" si="39"/>
        <v>584</v>
      </c>
      <c r="I586">
        <f t="shared" si="37"/>
        <v>-23.711105851495123</v>
      </c>
      <c r="J586">
        <f t="shared" si="38"/>
        <v>-9.2677176779166466</v>
      </c>
      <c r="K586" s="5">
        <f t="shared" si="36"/>
        <v>25.457948300253399</v>
      </c>
    </row>
    <row r="587" spans="8:11" x14ac:dyDescent="0.25">
      <c r="H587" s="5">
        <f t="shared" si="39"/>
        <v>585</v>
      </c>
      <c r="I587">
        <f t="shared" si="37"/>
        <v>-23.621966355812809</v>
      </c>
      <c r="J587">
        <f t="shared" si="38"/>
        <v>-9.4133277618342532</v>
      </c>
      <c r="K587" s="5">
        <f t="shared" si="36"/>
        <v>25.428488631196146</v>
      </c>
    </row>
    <row r="588" spans="8:11" x14ac:dyDescent="0.25">
      <c r="H588" s="5">
        <f t="shared" si="39"/>
        <v>586</v>
      </c>
      <c r="I588">
        <f t="shared" si="37"/>
        <v>-23.532826860130498</v>
      </c>
      <c r="J588">
        <f t="shared" si="38"/>
        <v>-9.5589378457518581</v>
      </c>
      <c r="K588" s="5">
        <f t="shared" si="36"/>
        <v>25.400142376920382</v>
      </c>
    </row>
    <row r="589" spans="8:11" x14ac:dyDescent="0.25">
      <c r="H589" s="5">
        <f t="shared" si="39"/>
        <v>587</v>
      </c>
      <c r="I589">
        <f t="shared" si="37"/>
        <v>-23.443687364448181</v>
      </c>
      <c r="J589">
        <f t="shared" si="38"/>
        <v>-9.7045479296694719</v>
      </c>
      <c r="K589" s="5">
        <f t="shared" si="36"/>
        <v>25.372913269099378</v>
      </c>
    </row>
    <row r="590" spans="8:11" x14ac:dyDescent="0.25">
      <c r="H590" s="5">
        <f t="shared" si="39"/>
        <v>588</v>
      </c>
      <c r="I590">
        <f t="shared" si="37"/>
        <v>-23.354547868765863</v>
      </c>
      <c r="J590">
        <f t="shared" si="38"/>
        <v>-9.8501580135870768</v>
      </c>
      <c r="K590" s="5">
        <f t="shared" si="36"/>
        <v>25.346804908057148</v>
      </c>
    </row>
    <row r="591" spans="8:11" x14ac:dyDescent="0.25">
      <c r="H591" s="5">
        <f t="shared" si="39"/>
        <v>589</v>
      </c>
      <c r="I591">
        <f t="shared" si="37"/>
        <v>-23.265408373083563</v>
      </c>
      <c r="J591">
        <f t="shared" si="38"/>
        <v>-9.9957680975046834</v>
      </c>
      <c r="K591" s="5">
        <f t="shared" si="36"/>
        <v>25.321820760471375</v>
      </c>
    </row>
    <row r="592" spans="8:11" x14ac:dyDescent="0.25">
      <c r="H592" s="5">
        <f t="shared" si="39"/>
        <v>590</v>
      </c>
      <c r="I592">
        <f t="shared" si="37"/>
        <v>-23.176268877401249</v>
      </c>
      <c r="J592">
        <f t="shared" si="38"/>
        <v>-10.141378181422288</v>
      </c>
      <c r="K592" s="5">
        <f t="shared" si="36"/>
        <v>25.297964157145646</v>
      </c>
    </row>
    <row r="593" spans="8:11" x14ac:dyDescent="0.25">
      <c r="H593" s="5">
        <f t="shared" si="39"/>
        <v>591</v>
      </c>
      <c r="I593">
        <f t="shared" si="37"/>
        <v>-23.087129381718938</v>
      </c>
      <c r="J593">
        <f t="shared" si="38"/>
        <v>-10.286988265339895</v>
      </c>
      <c r="K593" s="5">
        <f t="shared" si="36"/>
        <v>25.275238290854361</v>
      </c>
    </row>
    <row r="594" spans="8:11" x14ac:dyDescent="0.25">
      <c r="H594" s="5">
        <f t="shared" si="39"/>
        <v>592</v>
      </c>
      <c r="I594">
        <f t="shared" si="37"/>
        <v>-22.997989886036617</v>
      </c>
      <c r="J594">
        <f t="shared" si="38"/>
        <v>-10.4325983492575</v>
      </c>
      <c r="K594" s="5">
        <f t="shared" si="36"/>
        <v>25.253646214263252</v>
      </c>
    </row>
    <row r="595" spans="8:11" x14ac:dyDescent="0.25">
      <c r="H595" s="5">
        <f t="shared" si="39"/>
        <v>593</v>
      </c>
      <c r="I595">
        <f t="shared" si="37"/>
        <v>-22.90885039035431</v>
      </c>
      <c r="J595">
        <f t="shared" si="38"/>
        <v>-10.578208433175114</v>
      </c>
      <c r="K595" s="5">
        <f t="shared" si="36"/>
        <v>25.233190837928799</v>
      </c>
    </row>
    <row r="596" spans="8:11" x14ac:dyDescent="0.25">
      <c r="H596" s="5">
        <f t="shared" si="39"/>
        <v>594</v>
      </c>
      <c r="I596">
        <f t="shared" si="37"/>
        <v>-22.819710894671992</v>
      </c>
      <c r="J596">
        <f t="shared" si="38"/>
        <v>-10.723818517092726</v>
      </c>
      <c r="K596" s="5">
        <f t="shared" si="36"/>
        <v>25.213874928379262</v>
      </c>
    </row>
    <row r="597" spans="8:11" x14ac:dyDescent="0.25">
      <c r="H597" s="5">
        <f t="shared" si="39"/>
        <v>595</v>
      </c>
      <c r="I597">
        <f t="shared" si="37"/>
        <v>-22.730571398989682</v>
      </c>
      <c r="J597">
        <f t="shared" si="38"/>
        <v>-10.869428601010318</v>
      </c>
      <c r="K597" s="5">
        <f t="shared" si="36"/>
        <v>25.195701106280588</v>
      </c>
    </row>
    <row r="598" spans="8:11" x14ac:dyDescent="0.25">
      <c r="H598" s="5">
        <f t="shared" si="39"/>
        <v>596</v>
      </c>
      <c r="I598">
        <f t="shared" si="37"/>
        <v>-22.641431903307378</v>
      </c>
      <c r="J598">
        <f t="shared" si="38"/>
        <v>-11.01503868492793</v>
      </c>
      <c r="K598" s="5">
        <f t="shared" si="36"/>
        <v>25.178671844689585</v>
      </c>
    </row>
    <row r="599" spans="8:11" x14ac:dyDescent="0.25">
      <c r="H599" s="5">
        <f t="shared" si="39"/>
        <v>597</v>
      </c>
      <c r="I599">
        <f t="shared" si="37"/>
        <v>-22.552292407625057</v>
      </c>
      <c r="J599">
        <f t="shared" si="38"/>
        <v>-11.16064876884553</v>
      </c>
      <c r="K599" s="5">
        <f t="shared" si="36"/>
        <v>25.162789467397211</v>
      </c>
    </row>
    <row r="600" spans="8:11" x14ac:dyDescent="0.25">
      <c r="H600" s="5">
        <f t="shared" si="39"/>
        <v>598</v>
      </c>
      <c r="I600">
        <f t="shared" si="37"/>
        <v>-22.46315291194275</v>
      </c>
      <c r="J600">
        <f t="shared" si="38"/>
        <v>-11.306258852763143</v>
      </c>
      <c r="K600" s="5">
        <f t="shared" si="36"/>
        <v>25.148056147364692</v>
      </c>
    </row>
    <row r="601" spans="8:11" x14ac:dyDescent="0.25">
      <c r="H601" s="5">
        <f t="shared" si="39"/>
        <v>599</v>
      </c>
      <c r="I601">
        <f t="shared" si="37"/>
        <v>-22.374013416260432</v>
      </c>
      <c r="J601">
        <f t="shared" si="38"/>
        <v>-11.451868936680762</v>
      </c>
      <c r="K601" s="5">
        <f t="shared" si="36"/>
        <v>25.134473905254424</v>
      </c>
    </row>
    <row r="602" spans="8:11" x14ac:dyDescent="0.25">
      <c r="H602" s="5">
        <f t="shared" si="39"/>
        <v>600</v>
      </c>
      <c r="I602">
        <f t="shared" si="37"/>
        <v>-22.284873920578107</v>
      </c>
      <c r="J602">
        <f t="shared" si="38"/>
        <v>-11.597479020598355</v>
      </c>
      <c r="K602" s="5">
        <f t="shared" si="36"/>
        <v>25.122044608058502</v>
      </c>
    </row>
    <row r="603" spans="8:11" x14ac:dyDescent="0.25">
      <c r="H603" s="5">
        <f t="shared" si="39"/>
        <v>601</v>
      </c>
      <c r="I603">
        <f t="shared" si="37"/>
        <v>-22.195734424895818</v>
      </c>
      <c r="J603">
        <f t="shared" si="38"/>
        <v>-11.74308910451596</v>
      </c>
      <c r="K603" s="5">
        <f t="shared" si="36"/>
        <v>25.110769967826688</v>
      </c>
    </row>
    <row r="604" spans="8:11" x14ac:dyDescent="0.25">
      <c r="H604" s="5">
        <f t="shared" si="39"/>
        <v>602</v>
      </c>
      <c r="I604">
        <f t="shared" si="37"/>
        <v>-22.106594929213497</v>
      </c>
      <c r="J604">
        <f t="shared" si="38"/>
        <v>-11.888699188433566</v>
      </c>
      <c r="K604" s="5">
        <f t="shared" si="36"/>
        <v>25.100651540495694</v>
      </c>
    </row>
    <row r="605" spans="8:11" x14ac:dyDescent="0.25">
      <c r="H605" s="5">
        <f t="shared" si="39"/>
        <v>603</v>
      </c>
      <c r="I605">
        <f t="shared" si="37"/>
        <v>-22.01745543353119</v>
      </c>
      <c r="J605">
        <f t="shared" si="38"/>
        <v>-12.034309272351171</v>
      </c>
      <c r="K605" s="5">
        <f t="shared" si="36"/>
        <v>25.091690724822222</v>
      </c>
    </row>
    <row r="606" spans="8:11" x14ac:dyDescent="0.25">
      <c r="H606" s="5">
        <f t="shared" si="39"/>
        <v>604</v>
      </c>
      <c r="I606">
        <f t="shared" si="37"/>
        <v>-21.928315937848872</v>
      </c>
      <c r="J606">
        <f t="shared" si="38"/>
        <v>-12.179919356268792</v>
      </c>
      <c r="K606" s="5">
        <f t="shared" si="36"/>
        <v>25.083888761420706</v>
      </c>
    </row>
    <row r="607" spans="8:11" x14ac:dyDescent="0.25">
      <c r="H607" s="5">
        <f t="shared" si="39"/>
        <v>605</v>
      </c>
      <c r="I607">
        <f t="shared" si="37"/>
        <v>-21.839176442166551</v>
      </c>
      <c r="J607">
        <f t="shared" si="38"/>
        <v>-12.325529440186383</v>
      </c>
      <c r="K607" s="5">
        <f t="shared" si="36"/>
        <v>25.077246731907866</v>
      </c>
    </row>
    <row r="608" spans="8:11" x14ac:dyDescent="0.25">
      <c r="H608" s="5">
        <f t="shared" si="39"/>
        <v>606</v>
      </c>
      <c r="I608">
        <f t="shared" si="37"/>
        <v>-21.750036946484244</v>
      </c>
      <c r="J608">
        <f t="shared" si="38"/>
        <v>-12.471139524104004</v>
      </c>
      <c r="K608" s="5">
        <f t="shared" si="36"/>
        <v>25.071765558155228</v>
      </c>
    </row>
    <row r="609" spans="8:11" x14ac:dyDescent="0.25">
      <c r="H609" s="5">
        <f t="shared" si="39"/>
        <v>607</v>
      </c>
      <c r="I609">
        <f t="shared" si="37"/>
        <v>-21.66089745080194</v>
      </c>
      <c r="J609">
        <f t="shared" si="38"/>
        <v>-12.616749608021609</v>
      </c>
      <c r="K609" s="5">
        <f t="shared" si="36"/>
        <v>25.067446001650655</v>
      </c>
    </row>
    <row r="610" spans="8:11" x14ac:dyDescent="0.25">
      <c r="H610" s="5">
        <f t="shared" si="39"/>
        <v>608</v>
      </c>
      <c r="I610">
        <f t="shared" si="37"/>
        <v>-21.571757955119615</v>
      </c>
      <c r="J610">
        <f t="shared" si="38"/>
        <v>-12.762359691939215</v>
      </c>
      <c r="K610" s="5">
        <f t="shared" si="36"/>
        <v>25.064288662970295</v>
      </c>
    </row>
    <row r="611" spans="8:11" x14ac:dyDescent="0.25">
      <c r="H611" s="5">
        <f t="shared" si="39"/>
        <v>609</v>
      </c>
      <c r="I611">
        <f t="shared" si="37"/>
        <v>-21.482618459437312</v>
      </c>
      <c r="J611">
        <f t="shared" si="38"/>
        <v>-12.90796977585682</v>
      </c>
      <c r="K611" s="5">
        <f t="shared" si="36"/>
        <v>25.06229398136152</v>
      </c>
    </row>
    <row r="612" spans="8:11" x14ac:dyDescent="0.25">
      <c r="H612" s="5">
        <f t="shared" si="39"/>
        <v>610</v>
      </c>
      <c r="I612">
        <f t="shared" si="37"/>
        <v>-21.39347896375499</v>
      </c>
      <c r="J612">
        <f t="shared" si="38"/>
        <v>-13.053579859774413</v>
      </c>
      <c r="K612" s="5">
        <f t="shared" si="36"/>
        <v>25.061462234437467</v>
      </c>
    </row>
    <row r="613" spans="8:11" x14ac:dyDescent="0.25">
      <c r="H613" s="5">
        <f t="shared" si="39"/>
        <v>611</v>
      </c>
      <c r="I613">
        <f t="shared" si="37"/>
        <v>-21.304339468072683</v>
      </c>
      <c r="J613">
        <f t="shared" si="38"/>
        <v>-13.199189943692032</v>
      </c>
      <c r="K613" s="5">
        <f t="shared" si="36"/>
        <v>25.061793537984077</v>
      </c>
    </row>
    <row r="614" spans="8:11" x14ac:dyDescent="0.25">
      <c r="H614" s="5">
        <f t="shared" si="39"/>
        <v>612</v>
      </c>
      <c r="I614">
        <f t="shared" si="37"/>
        <v>-21.215199972390366</v>
      </c>
      <c r="J614">
        <f t="shared" si="38"/>
        <v>-13.344800027609638</v>
      </c>
      <c r="K614" s="5">
        <f t="shared" si="36"/>
        <v>25.063287845879326</v>
      </c>
    </row>
    <row r="615" spans="8:11" x14ac:dyDescent="0.25">
      <c r="H615" s="5">
        <f t="shared" si="39"/>
        <v>613</v>
      </c>
      <c r="I615">
        <f t="shared" si="37"/>
        <v>-21.126060476708055</v>
      </c>
      <c r="J615">
        <f t="shared" si="38"/>
        <v>-13.490410111527245</v>
      </c>
      <c r="K615" s="5">
        <f t="shared" si="36"/>
        <v>25.065944950125516</v>
      </c>
    </row>
    <row r="616" spans="8:11" x14ac:dyDescent="0.25">
      <c r="H616" s="5">
        <f t="shared" si="39"/>
        <v>614</v>
      </c>
      <c r="I616">
        <f t="shared" si="37"/>
        <v>-21.036920981025752</v>
      </c>
      <c r="J616">
        <f t="shared" si="38"/>
        <v>-13.63602019544485</v>
      </c>
      <c r="K616" s="5">
        <f t="shared" si="36"/>
        <v>25.069764480993857</v>
      </c>
    </row>
    <row r="617" spans="8:11" x14ac:dyDescent="0.25">
      <c r="H617" s="5">
        <f t="shared" si="39"/>
        <v>615</v>
      </c>
      <c r="I617">
        <f t="shared" si="37"/>
        <v>-20.94778148534343</v>
      </c>
      <c r="J617">
        <f t="shared" si="38"/>
        <v>-13.781630279362457</v>
      </c>
      <c r="K617" s="5">
        <f t="shared" si="36"/>
        <v>25.074745907281635</v>
      </c>
    </row>
    <row r="618" spans="8:11" x14ac:dyDescent="0.25">
      <c r="H618" s="5">
        <f t="shared" si="39"/>
        <v>616</v>
      </c>
      <c r="I618">
        <f t="shared" si="37"/>
        <v>-20.858641989661123</v>
      </c>
      <c r="J618">
        <f t="shared" si="38"/>
        <v>-13.927240363280061</v>
      </c>
      <c r="K618" s="5">
        <f t="shared" si="36"/>
        <v>25.0808885366813</v>
      </c>
    </row>
    <row r="619" spans="8:11" x14ac:dyDescent="0.25">
      <c r="H619" s="5">
        <f t="shared" si="39"/>
        <v>617</v>
      </c>
      <c r="I619">
        <f t="shared" si="37"/>
        <v>-20.769502493978806</v>
      </c>
      <c r="J619">
        <f t="shared" si="38"/>
        <v>-14.072850447197682</v>
      </c>
      <c r="K619" s="5">
        <f t="shared" si="36"/>
        <v>25.088191516260871</v>
      </c>
    </row>
    <row r="620" spans="8:11" x14ac:dyDescent="0.25">
      <c r="H620" s="5">
        <f t="shared" si="39"/>
        <v>618</v>
      </c>
      <c r="I620">
        <f t="shared" si="37"/>
        <v>-20.680362998296484</v>
      </c>
      <c r="J620">
        <f t="shared" si="38"/>
        <v>-14.218460531115273</v>
      </c>
      <c r="K620" s="5">
        <f t="shared" si="36"/>
        <v>25.09665383305498</v>
      </c>
    </row>
    <row r="621" spans="8:11" x14ac:dyDescent="0.25">
      <c r="H621" s="5">
        <f t="shared" si="39"/>
        <v>619</v>
      </c>
      <c r="I621">
        <f t="shared" si="37"/>
        <v>-20.591223502614191</v>
      </c>
      <c r="J621">
        <f t="shared" si="38"/>
        <v>-14.364070615032894</v>
      </c>
      <c r="K621" s="5">
        <f t="shared" si="36"/>
        <v>25.10627431476567</v>
      </c>
    </row>
    <row r="622" spans="8:11" x14ac:dyDescent="0.25">
      <c r="H622" s="5">
        <f t="shared" si="39"/>
        <v>620</v>
      </c>
      <c r="I622">
        <f t="shared" si="37"/>
        <v>-20.502084006931874</v>
      </c>
      <c r="J622">
        <f t="shared" si="38"/>
        <v>-14.509680698950485</v>
      </c>
      <c r="K622" s="5">
        <f t="shared" si="36"/>
        <v>25.117051630571371</v>
      </c>
    </row>
    <row r="623" spans="8:11" x14ac:dyDescent="0.25">
      <c r="H623" s="5">
        <f t="shared" si="39"/>
        <v>621</v>
      </c>
      <c r="I623">
        <f t="shared" si="37"/>
        <v>-20.412944511249563</v>
      </c>
      <c r="J623">
        <f t="shared" si="38"/>
        <v>-14.655290782868091</v>
      </c>
      <c r="K623" s="5">
        <f t="shared" si="36"/>
        <v>25.128984292043562</v>
      </c>
    </row>
    <row r="624" spans="8:11" x14ac:dyDescent="0.25">
      <c r="H624" s="5">
        <f t="shared" si="39"/>
        <v>622</v>
      </c>
      <c r="I624">
        <f t="shared" si="37"/>
        <v>-20.323805015567245</v>
      </c>
      <c r="J624">
        <f t="shared" si="38"/>
        <v>-14.80090086678571</v>
      </c>
      <c r="K624" s="5">
        <f t="shared" si="36"/>
        <v>25.142070654168766</v>
      </c>
    </row>
    <row r="625" spans="8:11" x14ac:dyDescent="0.25">
      <c r="H625" s="5">
        <f t="shared" si="39"/>
        <v>623</v>
      </c>
      <c r="I625">
        <f t="shared" si="37"/>
        <v>-20.234665519884924</v>
      </c>
      <c r="J625">
        <f t="shared" si="38"/>
        <v>-14.946510950703303</v>
      </c>
      <c r="K625" s="5">
        <f t="shared" si="36"/>
        <v>25.156308916474881</v>
      </c>
    </row>
    <row r="626" spans="8:11" x14ac:dyDescent="0.25">
      <c r="H626" s="5">
        <f t="shared" si="39"/>
        <v>624</v>
      </c>
      <c r="I626">
        <f t="shared" si="37"/>
        <v>-20.145526024202617</v>
      </c>
      <c r="J626">
        <f t="shared" si="38"/>
        <v>-15.092121034620922</v>
      </c>
      <c r="K626" s="5">
        <f t="shared" si="36"/>
        <v>25.171697124259861</v>
      </c>
    </row>
    <row r="627" spans="8:11" x14ac:dyDescent="0.25">
      <c r="H627" s="5">
        <f t="shared" si="39"/>
        <v>625</v>
      </c>
      <c r="I627">
        <f t="shared" si="37"/>
        <v>-20.056386528520314</v>
      </c>
      <c r="J627">
        <f t="shared" si="38"/>
        <v>-15.237731118538528</v>
      </c>
      <c r="K627" s="5">
        <f t="shared" si="36"/>
        <v>25.188233169920604</v>
      </c>
    </row>
    <row r="628" spans="8:11" x14ac:dyDescent="0.25">
      <c r="H628" s="5">
        <f t="shared" si="39"/>
        <v>626</v>
      </c>
      <c r="I628">
        <f t="shared" si="37"/>
        <v>-19.967247032838007</v>
      </c>
      <c r="J628">
        <f t="shared" si="38"/>
        <v>-15.383341202456133</v>
      </c>
      <c r="K628" s="5">
        <f t="shared" si="36"/>
        <v>25.205914794380359</v>
      </c>
    </row>
    <row r="629" spans="8:11" x14ac:dyDescent="0.25">
      <c r="H629" s="5">
        <f t="shared" si="39"/>
        <v>627</v>
      </c>
      <c r="I629">
        <f t="shared" si="37"/>
        <v>-19.878107537155685</v>
      </c>
      <c r="J629">
        <f t="shared" si="38"/>
        <v>-15.52895128637374</v>
      </c>
      <c r="K629" s="5">
        <f t="shared" si="36"/>
        <v>25.224739588612096</v>
      </c>
    </row>
    <row r="630" spans="8:11" x14ac:dyDescent="0.25">
      <c r="H630" s="5">
        <f t="shared" si="39"/>
        <v>628</v>
      </c>
      <c r="I630">
        <f t="shared" si="37"/>
        <v>-19.788968041473364</v>
      </c>
      <c r="J630">
        <f t="shared" si="38"/>
        <v>-15.674561370291347</v>
      </c>
      <c r="K630" s="5">
        <f t="shared" si="36"/>
        <v>25.244704995255617</v>
      </c>
    </row>
    <row r="631" spans="8:11" x14ac:dyDescent="0.25">
      <c r="H631" s="5">
        <f t="shared" si="39"/>
        <v>629</v>
      </c>
      <c r="I631">
        <f t="shared" si="37"/>
        <v>-19.699828545791057</v>
      </c>
      <c r="J631">
        <f t="shared" si="38"/>
        <v>-15.820171454208952</v>
      </c>
      <c r="K631" s="5">
        <f t="shared" si="36"/>
        <v>25.265808310325873</v>
      </c>
    </row>
    <row r="632" spans="8:11" x14ac:dyDescent="0.25">
      <c r="H632" s="5">
        <f t="shared" si="39"/>
        <v>630</v>
      </c>
      <c r="I632">
        <f t="shared" si="37"/>
        <v>-19.610689050108739</v>
      </c>
      <c r="J632">
        <f t="shared" si="38"/>
        <v>-15.965781538126572</v>
      </c>
      <c r="K632" s="5">
        <f t="shared" si="36"/>
        <v>25.288046685009856</v>
      </c>
    </row>
    <row r="633" spans="8:11" x14ac:dyDescent="0.25">
      <c r="H633" s="5">
        <f t="shared" si="39"/>
        <v>631</v>
      </c>
      <c r="I633">
        <f t="shared" si="37"/>
        <v>-19.521549554426418</v>
      </c>
      <c r="J633">
        <f t="shared" si="38"/>
        <v>-16.111391622044163</v>
      </c>
      <c r="K633" s="5">
        <f t="shared" si="36"/>
        <v>25.311417127549397</v>
      </c>
    </row>
    <row r="634" spans="8:11" x14ac:dyDescent="0.25">
      <c r="H634" s="5">
        <f t="shared" si="39"/>
        <v>632</v>
      </c>
      <c r="I634">
        <f t="shared" si="37"/>
        <v>-19.432410058744125</v>
      </c>
      <c r="J634">
        <f t="shared" si="38"/>
        <v>-16.25700170596177</v>
      </c>
      <c r="K634" s="5">
        <f t="shared" si="36"/>
        <v>25.335916505207063</v>
      </c>
    </row>
    <row r="635" spans="8:11" x14ac:dyDescent="0.25">
      <c r="H635" s="5">
        <f t="shared" si="39"/>
        <v>633</v>
      </c>
      <c r="I635">
        <f t="shared" si="37"/>
        <v>-19.343270563061807</v>
      </c>
      <c r="J635">
        <f t="shared" si="38"/>
        <v>-16.402611789879373</v>
      </c>
      <c r="K635" s="5">
        <f t="shared" si="36"/>
        <v>25.361541546311877</v>
      </c>
    </row>
    <row r="636" spans="8:11" x14ac:dyDescent="0.25">
      <c r="H636" s="5">
        <f t="shared" si="39"/>
        <v>634</v>
      </c>
      <c r="I636">
        <f t="shared" si="37"/>
        <v>-19.254131067379497</v>
      </c>
      <c r="J636">
        <f t="shared" si="38"/>
        <v>-16.548221873796983</v>
      </c>
      <c r="K636" s="5">
        <f t="shared" si="36"/>
        <v>25.388288842382451</v>
      </c>
    </row>
    <row r="637" spans="8:11" x14ac:dyDescent="0.25">
      <c r="H637" s="5">
        <f t="shared" si="39"/>
        <v>635</v>
      </c>
      <c r="I637">
        <f t="shared" si="37"/>
        <v>-19.164991571697179</v>
      </c>
      <c r="J637">
        <f t="shared" si="38"/>
        <v>-16.6938319577146</v>
      </c>
      <c r="K637" s="5">
        <f t="shared" si="36"/>
        <v>25.416154850323785</v>
      </c>
    </row>
    <row r="638" spans="8:11" x14ac:dyDescent="0.25">
      <c r="H638" s="5">
        <f t="shared" si="39"/>
        <v>636</v>
      </c>
      <c r="I638">
        <f t="shared" si="37"/>
        <v>-19.075852076014858</v>
      </c>
      <c r="J638">
        <f t="shared" si="38"/>
        <v>-16.839442041632193</v>
      </c>
      <c r="K638" s="5">
        <f t="shared" si="36"/>
        <v>25.445135894694886</v>
      </c>
    </row>
    <row r="639" spans="8:11" x14ac:dyDescent="0.25">
      <c r="H639" s="5">
        <f t="shared" si="39"/>
        <v>637</v>
      </c>
      <c r="I639">
        <f t="shared" si="37"/>
        <v>-18.986712580332551</v>
      </c>
      <c r="J639">
        <f t="shared" si="38"/>
        <v>-16.985052125549814</v>
      </c>
      <c r="K639" s="5">
        <f t="shared" si="36"/>
        <v>25.475228170043984</v>
      </c>
    </row>
    <row r="640" spans="8:11" x14ac:dyDescent="0.25">
      <c r="H640" s="5">
        <f t="shared" si="39"/>
        <v>638</v>
      </c>
      <c r="I640">
        <f t="shared" si="37"/>
        <v>-18.897573084650247</v>
      </c>
      <c r="J640">
        <f t="shared" si="38"/>
        <v>-17.130662209467403</v>
      </c>
      <c r="K640" s="5">
        <f t="shared" si="36"/>
        <v>25.506427743307608</v>
      </c>
    </row>
    <row r="641" spans="8:11" x14ac:dyDescent="0.25">
      <c r="H641" s="5">
        <f t="shared" si="39"/>
        <v>639</v>
      </c>
      <c r="I641">
        <f t="shared" si="37"/>
        <v>-18.80843358896794</v>
      </c>
      <c r="J641">
        <f t="shared" si="38"/>
        <v>-17.276272293385023</v>
      </c>
      <c r="K641" s="5">
        <f t="shared" si="36"/>
        <v>25.53873055627081</v>
      </c>
    </row>
    <row r="642" spans="8:11" x14ac:dyDescent="0.25">
      <c r="H642" s="5">
        <f t="shared" si="39"/>
        <v>640</v>
      </c>
      <c r="I642">
        <f t="shared" si="37"/>
        <v>-18.719294093285619</v>
      </c>
      <c r="J642">
        <f t="shared" si="38"/>
        <v>-17.42188237730263</v>
      </c>
      <c r="K642" s="5">
        <f t="shared" ref="K642:K705" si="40">SQRT((I642^2)+(J642^2))</f>
        <v>25.572132428084402</v>
      </c>
    </row>
    <row r="643" spans="8:11" x14ac:dyDescent="0.25">
      <c r="H643" s="5">
        <f t="shared" si="39"/>
        <v>641</v>
      </c>
      <c r="I643">
        <f t="shared" ref="I643:I706" si="41">D$29*($H643/1000)+D$18*(($H643/1000)-($D$7/1000))*(($H643/1000)&gt;($D$7/1000))+D$19*(($H643/1000)-($D$8/1000))*(($H643/1000)&gt;($D$8/1000))+D$20*(($H643/1000)-($D$9/1000))*(($H643/1000)&gt;($D$9/1000))+D$21*(($H643/1000)-($D$10/1000))*(($H643/1000)&gt;($D$10/1000))</f>
        <v>-18.630154597603301</v>
      </c>
      <c r="J643">
        <f t="shared" ref="J643:J706" si="42">E$29*($H643/1000)+E$18*(($H643/1000)-($D$7/1000))*(($H643/1000)&gt;($D$7/1000))+E$19*(($H643/1000)-($D$8/1000))*(($H643/1000)&gt;($D$8/1000))+E$20*(($H643/1000)-($D$9/1000))*(($H643/1000)&gt;($D$9/1000))+E$21*(($H643/1000)-($D$10/1000))*(($H643/1000)&gt;($D$10/1000))</f>
        <v>-17.567492461220219</v>
      </c>
      <c r="K643" s="5">
        <f t="shared" si="40"/>
        <v>25.606629057836347</v>
      </c>
    </row>
    <row r="644" spans="8:11" x14ac:dyDescent="0.25">
      <c r="H644" s="5">
        <f t="shared" ref="H644:H707" si="43">IF((ROW(A642)*$G$2)&lt;=$D$5, ROW(A642)*$G$2,NA())</f>
        <v>642</v>
      </c>
      <c r="I644">
        <f t="shared" si="41"/>
        <v>-18.541015101920991</v>
      </c>
      <c r="J644">
        <f t="shared" si="42"/>
        <v>-17.713102545137843</v>
      </c>
      <c r="K644" s="5">
        <f t="shared" si="40"/>
        <v>25.64221602717345</v>
      </c>
    </row>
    <row r="645" spans="8:11" x14ac:dyDescent="0.25">
      <c r="H645" s="5">
        <f t="shared" si="43"/>
        <v>643</v>
      </c>
      <c r="I645">
        <f t="shared" si="41"/>
        <v>-18.451875606238673</v>
      </c>
      <c r="J645">
        <f t="shared" si="42"/>
        <v>-17.858712629055447</v>
      </c>
      <c r="K645" s="5">
        <f t="shared" si="40"/>
        <v>25.678888802969851</v>
      </c>
    </row>
    <row r="646" spans="8:11" x14ac:dyDescent="0.25">
      <c r="H646" s="5">
        <f t="shared" si="43"/>
        <v>644</v>
      </c>
      <c r="I646">
        <f t="shared" si="41"/>
        <v>-18.36273611055638</v>
      </c>
      <c r="J646">
        <f t="shared" si="42"/>
        <v>-18.004322712973053</v>
      </c>
      <c r="K646" s="5">
        <f t="shared" si="40"/>
        <v>25.716642740039156</v>
      </c>
    </row>
    <row r="647" spans="8:11" x14ac:dyDescent="0.25">
      <c r="H647" s="5">
        <f t="shared" si="43"/>
        <v>645</v>
      </c>
      <c r="I647">
        <f t="shared" si="41"/>
        <v>-18.273596614874059</v>
      </c>
      <c r="J647">
        <f t="shared" si="42"/>
        <v>-18.14993279689066</v>
      </c>
      <c r="K647" s="5">
        <f t="shared" si="40"/>
        <v>25.755473083886148</v>
      </c>
    </row>
    <row r="648" spans="8:11" x14ac:dyDescent="0.25">
      <c r="H648" s="5">
        <f t="shared" si="43"/>
        <v>646</v>
      </c>
      <c r="I648">
        <f t="shared" si="41"/>
        <v>-18.184457119191741</v>
      </c>
      <c r="J648">
        <f t="shared" si="42"/>
        <v>-18.295542880808263</v>
      </c>
      <c r="K648" s="5">
        <f t="shared" si="40"/>
        <v>25.795374973495097</v>
      </c>
    </row>
    <row r="649" spans="8:11" x14ac:dyDescent="0.25">
      <c r="H649" s="5">
        <f t="shared" si="43"/>
        <v>647</v>
      </c>
      <c r="I649">
        <f t="shared" si="41"/>
        <v>-18.09531762350943</v>
      </c>
      <c r="J649">
        <f t="shared" si="42"/>
        <v>-18.441152964725873</v>
      </c>
      <c r="K649" s="5">
        <f t="shared" si="40"/>
        <v>25.8363434441507</v>
      </c>
    </row>
    <row r="650" spans="8:11" x14ac:dyDescent="0.25">
      <c r="H650" s="5">
        <f t="shared" si="43"/>
        <v>648</v>
      </c>
      <c r="I650">
        <f t="shared" si="41"/>
        <v>-18.006178127827113</v>
      </c>
      <c r="J650">
        <f t="shared" si="42"/>
        <v>-18.58676304864349</v>
      </c>
      <c r="K650" s="5">
        <f t="shared" si="40"/>
        <v>25.878373430288438</v>
      </c>
    </row>
    <row r="651" spans="8:11" x14ac:dyDescent="0.25">
      <c r="H651" s="5">
        <f t="shared" si="43"/>
        <v>649</v>
      </c>
      <c r="I651">
        <f t="shared" si="41"/>
        <v>-17.917038632144791</v>
      </c>
      <c r="J651">
        <f t="shared" si="42"/>
        <v>-18.732373132561083</v>
      </c>
      <c r="K651" s="5">
        <f t="shared" si="40"/>
        <v>25.921459768370784</v>
      </c>
    </row>
    <row r="652" spans="8:11" x14ac:dyDescent="0.25">
      <c r="H652" s="5">
        <f t="shared" si="43"/>
        <v>650</v>
      </c>
      <c r="I652">
        <f t="shared" si="41"/>
        <v>-17.827899136462499</v>
      </c>
      <c r="J652">
        <f t="shared" si="42"/>
        <v>-18.877983216478704</v>
      </c>
      <c r="K652" s="5">
        <f t="shared" si="40"/>
        <v>25.96559719978595</v>
      </c>
    </row>
    <row r="653" spans="8:11" x14ac:dyDescent="0.25">
      <c r="H653" s="5">
        <f t="shared" si="43"/>
        <v>651</v>
      </c>
      <c r="I653">
        <f t="shared" si="41"/>
        <v>-17.738759640780181</v>
      </c>
      <c r="J653">
        <f t="shared" si="42"/>
        <v>-19.023593300396293</v>
      </c>
      <c r="K653" s="5">
        <f t="shared" si="40"/>
        <v>26.010780373765307</v>
      </c>
    </row>
    <row r="654" spans="8:11" x14ac:dyDescent="0.25">
      <c r="H654" s="5">
        <f t="shared" si="43"/>
        <v>652</v>
      </c>
      <c r="I654">
        <f t="shared" si="41"/>
        <v>-17.649620145097874</v>
      </c>
      <c r="J654">
        <f t="shared" si="42"/>
        <v>-19.169203384313899</v>
      </c>
      <c r="K654" s="5">
        <f t="shared" si="40"/>
        <v>26.057003850317024</v>
      </c>
    </row>
    <row r="655" spans="8:11" x14ac:dyDescent="0.25">
      <c r="H655" s="5">
        <f t="shared" si="43"/>
        <v>653</v>
      </c>
      <c r="I655">
        <f t="shared" si="41"/>
        <v>-17.560480649415553</v>
      </c>
      <c r="J655">
        <f t="shared" si="42"/>
        <v>-19.31481346823152</v>
      </c>
      <c r="K655" s="5">
        <f t="shared" si="40"/>
        <v>26.1042621031715</v>
      </c>
    </row>
    <row r="656" spans="8:11" x14ac:dyDescent="0.25">
      <c r="H656" s="5">
        <f t="shared" si="43"/>
        <v>654</v>
      </c>
      <c r="I656">
        <f t="shared" si="41"/>
        <v>-17.471341153733235</v>
      </c>
      <c r="J656">
        <f t="shared" si="42"/>
        <v>-19.460423552149109</v>
      </c>
      <c r="K656" s="5">
        <f t="shared" si="40"/>
        <v>26.152549522736255</v>
      </c>
    </row>
    <row r="657" spans="8:11" x14ac:dyDescent="0.25">
      <c r="H657" s="5">
        <f t="shared" si="43"/>
        <v>655</v>
      </c>
      <c r="I657">
        <f t="shared" si="41"/>
        <v>-17.382201658050924</v>
      </c>
      <c r="J657">
        <f t="shared" si="42"/>
        <v>-19.606033636066734</v>
      </c>
      <c r="K657" s="5">
        <f t="shared" si="40"/>
        <v>26.201860419056668</v>
      </c>
    </row>
    <row r="658" spans="8:11" x14ac:dyDescent="0.25">
      <c r="H658" s="5">
        <f t="shared" si="43"/>
        <v>656</v>
      </c>
      <c r="I658">
        <f t="shared" si="41"/>
        <v>-17.293062162368621</v>
      </c>
      <c r="J658">
        <f t="shared" si="42"/>
        <v>-19.751643719984322</v>
      </c>
      <c r="K658" s="5">
        <f t="shared" si="40"/>
        <v>26.252189024779273</v>
      </c>
    </row>
    <row r="659" spans="8:11" x14ac:dyDescent="0.25">
      <c r="H659" s="5">
        <f t="shared" si="43"/>
        <v>657</v>
      </c>
      <c r="I659">
        <f t="shared" si="41"/>
        <v>-17.203922666686314</v>
      </c>
      <c r="J659">
        <f t="shared" si="42"/>
        <v>-19.897253803901943</v>
      </c>
      <c r="K659" s="5">
        <f t="shared" si="40"/>
        <v>26.303529498115143</v>
      </c>
    </row>
    <row r="660" spans="8:11" x14ac:dyDescent="0.25">
      <c r="H660" s="5">
        <f t="shared" si="43"/>
        <v>658</v>
      </c>
      <c r="I660">
        <f t="shared" si="41"/>
        <v>-17.114783171003992</v>
      </c>
      <c r="J660">
        <f t="shared" si="42"/>
        <v>-20.04286388781955</v>
      </c>
      <c r="K660" s="5">
        <f t="shared" si="40"/>
        <v>26.355875925799591</v>
      </c>
    </row>
    <row r="661" spans="8:11" x14ac:dyDescent="0.25">
      <c r="H661" s="5">
        <f t="shared" si="43"/>
        <v>659</v>
      </c>
      <c r="I661">
        <f t="shared" si="41"/>
        <v>-17.025643675321675</v>
      </c>
      <c r="J661">
        <f t="shared" si="42"/>
        <v>-20.188473971737153</v>
      </c>
      <c r="K661" s="5">
        <f t="shared" si="40"/>
        <v>26.409222326046056</v>
      </c>
    </row>
    <row r="662" spans="8:11" x14ac:dyDescent="0.25">
      <c r="H662" s="5">
        <f t="shared" si="43"/>
        <v>660</v>
      </c>
      <c r="I662">
        <f t="shared" si="41"/>
        <v>-16.936504179639364</v>
      </c>
      <c r="J662">
        <f t="shared" si="42"/>
        <v>-20.334084055654763</v>
      </c>
      <c r="K662" s="5">
        <f t="shared" si="40"/>
        <v>26.463562651490729</v>
      </c>
    </row>
    <row r="663" spans="8:11" x14ac:dyDescent="0.25">
      <c r="H663" s="5">
        <f t="shared" si="43"/>
        <v>661</v>
      </c>
      <c r="I663">
        <f t="shared" si="41"/>
        <v>-16.847364683957046</v>
      </c>
      <c r="J663">
        <f t="shared" si="42"/>
        <v>-20.479694139572366</v>
      </c>
      <c r="K663" s="5">
        <f t="shared" si="40"/>
        <v>26.518890792125486</v>
      </c>
    </row>
    <row r="664" spans="8:11" x14ac:dyDescent="0.25">
      <c r="H664" s="5">
        <f t="shared" si="43"/>
        <v>662</v>
      </c>
      <c r="I664">
        <f t="shared" si="41"/>
        <v>-16.758225188274753</v>
      </c>
      <c r="J664">
        <f t="shared" si="42"/>
        <v>-20.625304223489973</v>
      </c>
      <c r="K664" s="5">
        <f t="shared" si="40"/>
        <v>26.575200578216521</v>
      </c>
    </row>
    <row r="665" spans="8:11" x14ac:dyDescent="0.25">
      <c r="H665" s="5">
        <f t="shared" si="43"/>
        <v>663</v>
      </c>
      <c r="I665">
        <f t="shared" si="41"/>
        <v>-16.669085692592432</v>
      </c>
      <c r="J665">
        <f t="shared" si="42"/>
        <v>-20.77091430740758</v>
      </c>
      <c r="K665" s="5">
        <f t="shared" si="40"/>
        <v>26.632485783205791</v>
      </c>
    </row>
    <row r="666" spans="8:11" x14ac:dyDescent="0.25">
      <c r="H666" s="5">
        <f t="shared" si="43"/>
        <v>664</v>
      </c>
      <c r="I666">
        <f t="shared" si="41"/>
        <v>-16.579946196910115</v>
      </c>
      <c r="J666">
        <f t="shared" si="42"/>
        <v>-20.916524391325183</v>
      </c>
      <c r="K666" s="5">
        <f t="shared" si="40"/>
        <v>26.690740126593258</v>
      </c>
    </row>
    <row r="667" spans="8:11" x14ac:dyDescent="0.25">
      <c r="H667" s="5">
        <f t="shared" si="43"/>
        <v>665</v>
      </c>
      <c r="I667">
        <f t="shared" si="41"/>
        <v>-16.490806701227807</v>
      </c>
      <c r="J667">
        <f t="shared" si="42"/>
        <v>-21.062134475242789</v>
      </c>
      <c r="K667" s="5">
        <f t="shared" si="40"/>
        <v>26.749957276797112</v>
      </c>
    </row>
    <row r="668" spans="8:11" x14ac:dyDescent="0.25">
      <c r="H668" s="5">
        <f t="shared" si="43"/>
        <v>666</v>
      </c>
      <c r="I668">
        <f t="shared" si="41"/>
        <v>-16.401667205545486</v>
      </c>
      <c r="J668">
        <f t="shared" si="42"/>
        <v>-21.20774455916041</v>
      </c>
      <c r="K668" s="5">
        <f t="shared" si="40"/>
        <v>26.810130853989957</v>
      </c>
    </row>
    <row r="669" spans="8:11" x14ac:dyDescent="0.25">
      <c r="H669" s="5">
        <f t="shared" si="43"/>
        <v>667</v>
      </c>
      <c r="I669">
        <f t="shared" si="41"/>
        <v>-16.312527709863183</v>
      </c>
      <c r="J669">
        <f t="shared" si="42"/>
        <v>-21.353354643077999</v>
      </c>
      <c r="K669" s="5">
        <f t="shared" si="40"/>
        <v>26.871254432908692</v>
      </c>
    </row>
    <row r="670" spans="8:11" x14ac:dyDescent="0.25">
      <c r="H670" s="5">
        <f t="shared" si="43"/>
        <v>668</v>
      </c>
      <c r="I670">
        <f t="shared" si="41"/>
        <v>-16.223388214180872</v>
      </c>
      <c r="J670">
        <f t="shared" si="42"/>
        <v>-21.498964726995624</v>
      </c>
      <c r="K670" s="5">
        <f t="shared" si="40"/>
        <v>26.933321545636083</v>
      </c>
    </row>
    <row r="671" spans="8:11" x14ac:dyDescent="0.25">
      <c r="H671" s="5">
        <f t="shared" si="43"/>
        <v>669</v>
      </c>
      <c r="I671">
        <f t="shared" si="41"/>
        <v>-16.134248718498554</v>
      </c>
      <c r="J671">
        <f t="shared" si="42"/>
        <v>-21.644574810913213</v>
      </c>
      <c r="K671" s="5">
        <f t="shared" si="40"/>
        <v>26.996325684351767</v>
      </c>
    </row>
    <row r="672" spans="8:11" x14ac:dyDescent="0.25">
      <c r="H672" s="5">
        <f t="shared" si="43"/>
        <v>670</v>
      </c>
      <c r="I672">
        <f t="shared" si="41"/>
        <v>-16.045109222816247</v>
      </c>
      <c r="J672">
        <f t="shared" si="42"/>
        <v>-21.790184894830833</v>
      </c>
      <c r="K672" s="5">
        <f t="shared" si="40"/>
        <v>27.06026030405134</v>
      </c>
    </row>
    <row r="673" spans="8:11" x14ac:dyDescent="0.25">
      <c r="H673" s="5">
        <f t="shared" si="43"/>
        <v>671</v>
      </c>
      <c r="I673">
        <f t="shared" si="41"/>
        <v>-15.955969727133928</v>
      </c>
      <c r="J673">
        <f t="shared" si="42"/>
        <v>-21.93579497874844</v>
      </c>
      <c r="K673" s="5">
        <f t="shared" si="40"/>
        <v>27.12511882523097</v>
      </c>
    </row>
    <row r="674" spans="8:11" x14ac:dyDescent="0.25">
      <c r="H674" s="5">
        <f t="shared" si="43"/>
        <v>672</v>
      </c>
      <c r="I674">
        <f t="shared" si="41"/>
        <v>-15.866830231451607</v>
      </c>
      <c r="J674">
        <f t="shared" si="42"/>
        <v>-22.081405062666029</v>
      </c>
      <c r="K674" s="5">
        <f t="shared" si="40"/>
        <v>27.190894636536687</v>
      </c>
    </row>
    <row r="675" spans="8:11" x14ac:dyDescent="0.25">
      <c r="H675" s="5">
        <f t="shared" si="43"/>
        <v>673</v>
      </c>
      <c r="I675">
        <f t="shared" si="41"/>
        <v>-15.777690735769301</v>
      </c>
      <c r="J675">
        <f t="shared" si="42"/>
        <v>-22.22701514658365</v>
      </c>
      <c r="K675" s="5">
        <f t="shared" si="40"/>
        <v>27.257581097376185</v>
      </c>
    </row>
    <row r="676" spans="8:11" x14ac:dyDescent="0.25">
      <c r="H676" s="5">
        <f t="shared" si="43"/>
        <v>674</v>
      </c>
      <c r="I676">
        <f t="shared" si="41"/>
        <v>-15.688551240086994</v>
      </c>
      <c r="J676">
        <f t="shared" si="42"/>
        <v>-22.372625230501242</v>
      </c>
      <c r="K676" s="5">
        <f t="shared" si="40"/>
        <v>27.32517154049167</v>
      </c>
    </row>
    <row r="677" spans="8:11" x14ac:dyDescent="0.25">
      <c r="H677" s="5">
        <f t="shared" si="43"/>
        <v>675</v>
      </c>
      <c r="I677">
        <f t="shared" si="41"/>
        <v>-15.599411744404687</v>
      </c>
      <c r="J677">
        <f t="shared" si="42"/>
        <v>-22.518235314418863</v>
      </c>
      <c r="K677" s="5">
        <f t="shared" si="40"/>
        <v>27.393659274492915</v>
      </c>
    </row>
    <row r="678" spans="8:11" x14ac:dyDescent="0.25">
      <c r="H678" s="5">
        <f t="shared" si="43"/>
        <v>676</v>
      </c>
      <c r="I678">
        <f t="shared" si="41"/>
        <v>-15.510272248722368</v>
      </c>
      <c r="J678">
        <f t="shared" si="42"/>
        <v>-22.66384539833647</v>
      </c>
      <c r="K678" s="5">
        <f t="shared" si="40"/>
        <v>27.463037586348388</v>
      </c>
    </row>
    <row r="679" spans="8:11" x14ac:dyDescent="0.25">
      <c r="H679" s="5">
        <f t="shared" si="43"/>
        <v>677</v>
      </c>
      <c r="I679">
        <f t="shared" si="41"/>
        <v>-15.421132753040046</v>
      </c>
      <c r="J679">
        <f t="shared" si="42"/>
        <v>-22.809455482254073</v>
      </c>
      <c r="K679" s="5">
        <f t="shared" si="40"/>
        <v>27.5332997438341</v>
      </c>
    </row>
    <row r="680" spans="8:11" x14ac:dyDescent="0.25">
      <c r="H680" s="5">
        <f t="shared" si="43"/>
        <v>678</v>
      </c>
      <c r="I680">
        <f t="shared" si="41"/>
        <v>-15.331993257357741</v>
      </c>
      <c r="J680">
        <f t="shared" si="42"/>
        <v>-22.95506556617168</v>
      </c>
      <c r="K680" s="5">
        <f t="shared" si="40"/>
        <v>27.604438997938431</v>
      </c>
    </row>
    <row r="681" spans="8:11" x14ac:dyDescent="0.25">
      <c r="H681" s="5">
        <f t="shared" si="43"/>
        <v>679</v>
      </c>
      <c r="I681">
        <f t="shared" si="41"/>
        <v>-15.24285376167542</v>
      </c>
      <c r="J681">
        <f t="shared" si="42"/>
        <v>-23.1006756500893</v>
      </c>
      <c r="K681" s="5">
        <f t="shared" si="40"/>
        <v>27.676448585222261</v>
      </c>
    </row>
    <row r="682" spans="8:11" x14ac:dyDescent="0.25">
      <c r="H682" s="5">
        <f t="shared" si="43"/>
        <v>680</v>
      </c>
      <c r="I682">
        <f t="shared" si="41"/>
        <v>-15.153714265993129</v>
      </c>
      <c r="J682">
        <f t="shared" si="42"/>
        <v>-23.246285734006889</v>
      </c>
      <c r="K682" s="5">
        <f t="shared" si="40"/>
        <v>27.749321730133438</v>
      </c>
    </row>
    <row r="683" spans="8:11" x14ac:dyDescent="0.25">
      <c r="H683" s="5">
        <f t="shared" si="43"/>
        <v>681</v>
      </c>
      <c r="I683">
        <f t="shared" si="41"/>
        <v>-15.064574770310807</v>
      </c>
      <c r="J683">
        <f t="shared" si="42"/>
        <v>-23.391895817924514</v>
      </c>
      <c r="K683" s="5">
        <f t="shared" si="40"/>
        <v>27.82305164727477</v>
      </c>
    </row>
    <row r="684" spans="8:11" x14ac:dyDescent="0.25">
      <c r="H684" s="5">
        <f t="shared" si="43"/>
        <v>682</v>
      </c>
      <c r="I684">
        <f t="shared" si="41"/>
        <v>-14.975435274628488</v>
      </c>
      <c r="J684">
        <f t="shared" si="42"/>
        <v>-23.537505901842103</v>
      </c>
      <c r="K684" s="5">
        <f t="shared" si="40"/>
        <v>27.897631543624613</v>
      </c>
    </row>
    <row r="685" spans="8:11" x14ac:dyDescent="0.25">
      <c r="H685" s="5">
        <f t="shared" si="43"/>
        <v>683</v>
      </c>
      <c r="I685">
        <f t="shared" si="41"/>
        <v>-14.886295778946181</v>
      </c>
      <c r="J685">
        <f t="shared" si="42"/>
        <v>-23.683115985759709</v>
      </c>
      <c r="K685" s="5">
        <f t="shared" si="40"/>
        <v>27.97305462070987</v>
      </c>
    </row>
    <row r="686" spans="8:11" x14ac:dyDescent="0.25">
      <c r="H686" s="5">
        <f t="shared" si="43"/>
        <v>684</v>
      </c>
      <c r="I686">
        <f t="shared" si="41"/>
        <v>-14.797156283263861</v>
      </c>
      <c r="J686">
        <f t="shared" si="42"/>
        <v>-23.82872606967733</v>
      </c>
      <c r="K686" s="5">
        <f t="shared" si="40"/>
        <v>28.049314076730205</v>
      </c>
    </row>
    <row r="687" spans="8:11" x14ac:dyDescent="0.25">
      <c r="H687" s="5">
        <f t="shared" si="43"/>
        <v>685</v>
      </c>
      <c r="I687">
        <f t="shared" si="41"/>
        <v>-14.708016787581554</v>
      </c>
      <c r="J687">
        <f t="shared" si="42"/>
        <v>-23.974336153594919</v>
      </c>
      <c r="K687" s="5">
        <f t="shared" si="40"/>
        <v>28.126403108633518</v>
      </c>
    </row>
    <row r="688" spans="8:11" x14ac:dyDescent="0.25">
      <c r="H688" s="5">
        <f t="shared" si="43"/>
        <v>686</v>
      </c>
      <c r="I688">
        <f t="shared" si="41"/>
        <v>-14.618877291899249</v>
      </c>
      <c r="J688">
        <f t="shared" si="42"/>
        <v>-24.11994623751254</v>
      </c>
      <c r="K688" s="5">
        <f t="shared" si="40"/>
        <v>28.204314914142177</v>
      </c>
    </row>
    <row r="689" spans="8:11" x14ac:dyDescent="0.25">
      <c r="H689" s="5">
        <f t="shared" si="43"/>
        <v>687</v>
      </c>
      <c r="I689">
        <f t="shared" si="41"/>
        <v>-14.529737796216928</v>
      </c>
      <c r="J689">
        <f t="shared" si="42"/>
        <v>-24.265556321430132</v>
      </c>
      <c r="K689" s="5">
        <f t="shared" si="40"/>
        <v>28.283042693729271</v>
      </c>
    </row>
    <row r="690" spans="8:11" x14ac:dyDescent="0.25">
      <c r="H690" s="5">
        <f t="shared" si="43"/>
        <v>688</v>
      </c>
      <c r="I690">
        <f t="shared" si="41"/>
        <v>-14.440598300534626</v>
      </c>
      <c r="J690">
        <f t="shared" si="42"/>
        <v>-24.411166405347736</v>
      </c>
      <c r="K690" s="5">
        <f t="shared" si="40"/>
        <v>28.362579652545381</v>
      </c>
    </row>
    <row r="691" spans="8:11" x14ac:dyDescent="0.25">
      <c r="H691" s="5">
        <f t="shared" si="43"/>
        <v>689</v>
      </c>
      <c r="I691">
        <f t="shared" si="41"/>
        <v>-14.351458804852319</v>
      </c>
      <c r="J691">
        <f t="shared" si="42"/>
        <v>-24.556776489265339</v>
      </c>
      <c r="K691" s="5">
        <f t="shared" si="40"/>
        <v>28.442919002294897</v>
      </c>
    </row>
    <row r="692" spans="8:11" x14ac:dyDescent="0.25">
      <c r="H692" s="5">
        <f t="shared" si="43"/>
        <v>690</v>
      </c>
      <c r="I692">
        <f t="shared" si="41"/>
        <v>-14.26231930917</v>
      </c>
      <c r="J692">
        <f t="shared" si="42"/>
        <v>-24.702386573182945</v>
      </c>
      <c r="K692" s="5">
        <f t="shared" si="40"/>
        <v>28.524053963062343</v>
      </c>
    </row>
    <row r="693" spans="8:11" x14ac:dyDescent="0.25">
      <c r="H693" s="5">
        <f t="shared" si="43"/>
        <v>691</v>
      </c>
      <c r="I693">
        <f t="shared" si="41"/>
        <v>-14.173179813487693</v>
      </c>
      <c r="J693">
        <f t="shared" si="42"/>
        <v>-24.847996657100552</v>
      </c>
      <c r="K693" s="5">
        <f t="shared" si="40"/>
        <v>28.605977765088458</v>
      </c>
    </row>
    <row r="694" spans="8:11" x14ac:dyDescent="0.25">
      <c r="H694" s="5">
        <f t="shared" si="43"/>
        <v>692</v>
      </c>
      <c r="I694">
        <f t="shared" si="41"/>
        <v>-14.084040317805371</v>
      </c>
      <c r="J694">
        <f t="shared" si="42"/>
        <v>-24.993606741018159</v>
      </c>
      <c r="K694" s="5">
        <f t="shared" si="40"/>
        <v>28.688683650495985</v>
      </c>
    </row>
    <row r="695" spans="8:11" x14ac:dyDescent="0.25">
      <c r="H695" s="5">
        <f t="shared" si="43"/>
        <v>693</v>
      </c>
      <c r="I695">
        <f t="shared" si="41"/>
        <v>-13.994900822123066</v>
      </c>
      <c r="J695">
        <f t="shared" si="42"/>
        <v>-25.139216824935765</v>
      </c>
      <c r="K695" s="5">
        <f t="shared" si="40"/>
        <v>28.772164874965426</v>
      </c>
    </row>
    <row r="696" spans="8:11" x14ac:dyDescent="0.25">
      <c r="H696" s="5">
        <f t="shared" si="43"/>
        <v>694</v>
      </c>
      <c r="I696">
        <f t="shared" si="41"/>
        <v>-13.905761326440759</v>
      </c>
      <c r="J696">
        <f t="shared" si="42"/>
        <v>-25.284826908853368</v>
      </c>
      <c r="K696" s="5">
        <f t="shared" si="40"/>
        <v>28.856414709360742</v>
      </c>
    </row>
    <row r="697" spans="8:11" x14ac:dyDescent="0.25">
      <c r="H697" s="5">
        <f t="shared" si="43"/>
        <v>695</v>
      </c>
      <c r="I697">
        <f t="shared" si="41"/>
        <v>-13.816621830758439</v>
      </c>
      <c r="J697">
        <f t="shared" si="42"/>
        <v>-25.430436992770989</v>
      </c>
      <c r="K697" s="5">
        <f t="shared" si="40"/>
        <v>28.941426441305307</v>
      </c>
    </row>
    <row r="698" spans="8:11" x14ac:dyDescent="0.25">
      <c r="H698" s="5">
        <f t="shared" si="43"/>
        <v>696</v>
      </c>
      <c r="I698">
        <f t="shared" si="41"/>
        <v>-13.727482335076132</v>
      </c>
      <c r="J698">
        <f t="shared" si="42"/>
        <v>-25.576047076688582</v>
      </c>
      <c r="K698" s="5">
        <f t="shared" si="40"/>
        <v>29.027193376708293</v>
      </c>
    </row>
    <row r="699" spans="8:11" x14ac:dyDescent="0.25">
      <c r="H699" s="5">
        <f t="shared" si="43"/>
        <v>697</v>
      </c>
      <c r="I699">
        <f t="shared" si="41"/>
        <v>-13.638342839393813</v>
      </c>
      <c r="J699">
        <f t="shared" si="42"/>
        <v>-25.721657160606199</v>
      </c>
      <c r="K699" s="5">
        <f t="shared" si="40"/>
        <v>29.11370884124193</v>
      </c>
    </row>
    <row r="700" spans="8:11" x14ac:dyDescent="0.25">
      <c r="H700" s="5">
        <f t="shared" si="43"/>
        <v>698</v>
      </c>
      <c r="I700">
        <f t="shared" si="41"/>
        <v>-13.549203343711492</v>
      </c>
      <c r="J700">
        <f t="shared" si="42"/>
        <v>-25.867267244523795</v>
      </c>
      <c r="K700" s="5">
        <f t="shared" si="40"/>
        <v>29.200966181769676</v>
      </c>
    </row>
    <row r="701" spans="8:11" x14ac:dyDescent="0.25">
      <c r="H701" s="5">
        <f t="shared" si="43"/>
        <v>699</v>
      </c>
      <c r="I701">
        <f t="shared" si="41"/>
        <v>-13.460063848029201</v>
      </c>
      <c r="J701">
        <f t="shared" si="42"/>
        <v>-26.012877328441398</v>
      </c>
      <c r="K701" s="5">
        <f t="shared" si="40"/>
        <v>29.288958767726161</v>
      </c>
    </row>
    <row r="702" spans="8:11" x14ac:dyDescent="0.25">
      <c r="H702" s="5">
        <f t="shared" si="43"/>
        <v>700</v>
      </c>
      <c r="I702">
        <f t="shared" si="41"/>
        <v>-13.370924352346879</v>
      </c>
      <c r="J702">
        <f t="shared" si="42"/>
        <v>-26.158487412359019</v>
      </c>
      <c r="K702" s="5">
        <f t="shared" si="40"/>
        <v>29.377679992448826</v>
      </c>
    </row>
    <row r="703" spans="8:11" x14ac:dyDescent="0.25">
      <c r="H703" s="5">
        <f t="shared" si="43"/>
        <v>701</v>
      </c>
      <c r="I703">
        <f t="shared" si="41"/>
        <v>-13.281784856664574</v>
      </c>
      <c r="J703">
        <f t="shared" si="42"/>
        <v>-25.984097496276611</v>
      </c>
      <c r="K703" s="5">
        <f t="shared" si="40"/>
        <v>29.181828792499157</v>
      </c>
    </row>
    <row r="704" spans="8:11" x14ac:dyDescent="0.25">
      <c r="H704" s="5">
        <f t="shared" si="43"/>
        <v>702</v>
      </c>
      <c r="I704">
        <f t="shared" si="41"/>
        <v>-13.192645360982253</v>
      </c>
      <c r="J704">
        <f t="shared" si="42"/>
        <v>-25.809707580194228</v>
      </c>
      <c r="K704" s="5">
        <f t="shared" si="40"/>
        <v>28.985977592549503</v>
      </c>
    </row>
    <row r="705" spans="8:11" x14ac:dyDescent="0.25">
      <c r="H705" s="5">
        <f t="shared" si="43"/>
        <v>703</v>
      </c>
      <c r="I705">
        <f t="shared" si="41"/>
        <v>-13.103505865299933</v>
      </c>
      <c r="J705">
        <f t="shared" si="42"/>
        <v>-25.635317664111835</v>
      </c>
      <c r="K705" s="5">
        <f t="shared" si="40"/>
        <v>28.790126392599841</v>
      </c>
    </row>
    <row r="706" spans="8:11" x14ac:dyDescent="0.25">
      <c r="H706" s="5">
        <f t="shared" si="43"/>
        <v>704</v>
      </c>
      <c r="I706">
        <f t="shared" si="41"/>
        <v>-13.014366369617626</v>
      </c>
      <c r="J706">
        <f t="shared" si="42"/>
        <v>-25.460927748029441</v>
      </c>
      <c r="K706" s="5">
        <f t="shared" ref="K706:K769" si="44">SQRT((I706^2)+(J706^2))</f>
        <v>28.594275192650183</v>
      </c>
    </row>
    <row r="707" spans="8:11" x14ac:dyDescent="0.25">
      <c r="H707" s="5">
        <f t="shared" si="43"/>
        <v>705</v>
      </c>
      <c r="I707">
        <f t="shared" ref="I707:I770" si="45">D$29*($H707/1000)+D$18*(($H707/1000)-($D$7/1000))*(($H707/1000)&gt;($D$7/1000))+D$19*(($H707/1000)-($D$8/1000))*(($H707/1000)&gt;($D$8/1000))+D$20*(($H707/1000)-($D$9/1000))*(($H707/1000)&gt;($D$9/1000))+D$21*(($H707/1000)-($D$10/1000))*(($H707/1000)&gt;($D$10/1000))</f>
        <v>-12.925226873935321</v>
      </c>
      <c r="J707">
        <f t="shared" ref="J707:J770" si="46">E$29*($H707/1000)+E$18*(($H707/1000)-($D$7/1000))*(($H707/1000)&gt;($D$7/1000))+E$19*(($H707/1000)-($D$8/1000))*(($H707/1000)&gt;($D$8/1000))+E$20*(($H707/1000)-($D$9/1000))*(($H707/1000)&gt;($D$9/1000))+E$21*(($H707/1000)-($D$10/1000))*(($H707/1000)&gt;($D$10/1000))</f>
        <v>-25.286537831947044</v>
      </c>
      <c r="K707" s="5">
        <f t="shared" si="44"/>
        <v>28.398423992700526</v>
      </c>
    </row>
    <row r="708" spans="8:11" x14ac:dyDescent="0.25">
      <c r="H708" s="5">
        <f t="shared" ref="H708:H771" si="47">IF((ROW(A706)*$G$2)&lt;=$D$5, ROW(A706)*$G$2,NA())</f>
        <v>706</v>
      </c>
      <c r="I708">
        <f t="shared" si="45"/>
        <v>-12.836087378253</v>
      </c>
      <c r="J708">
        <f t="shared" si="46"/>
        <v>-25.112147915864654</v>
      </c>
      <c r="K708" s="5">
        <f t="shared" si="44"/>
        <v>28.202572792750868</v>
      </c>
    </row>
    <row r="709" spans="8:11" x14ac:dyDescent="0.25">
      <c r="H709" s="5">
        <f t="shared" si="47"/>
        <v>707</v>
      </c>
      <c r="I709">
        <f t="shared" si="45"/>
        <v>-12.746947882570693</v>
      </c>
      <c r="J709">
        <f t="shared" si="46"/>
        <v>-24.937757999782256</v>
      </c>
      <c r="K709" s="5">
        <f t="shared" si="44"/>
        <v>28.006721592801206</v>
      </c>
    </row>
    <row r="710" spans="8:11" x14ac:dyDescent="0.25">
      <c r="H710" s="5">
        <f t="shared" si="47"/>
        <v>708</v>
      </c>
      <c r="I710">
        <f t="shared" si="45"/>
        <v>-12.657808386888373</v>
      </c>
      <c r="J710">
        <f t="shared" si="46"/>
        <v>-24.763368083699874</v>
      </c>
      <c r="K710" s="5">
        <f t="shared" si="44"/>
        <v>27.810870392851555</v>
      </c>
    </row>
    <row r="711" spans="8:11" x14ac:dyDescent="0.25">
      <c r="H711" s="5">
        <f t="shared" si="47"/>
        <v>709</v>
      </c>
      <c r="I711">
        <f t="shared" si="45"/>
        <v>-12.568668891206066</v>
      </c>
      <c r="J711">
        <f t="shared" si="46"/>
        <v>-24.588978167617469</v>
      </c>
      <c r="K711" s="5">
        <f t="shared" si="44"/>
        <v>27.61501919290189</v>
      </c>
    </row>
    <row r="712" spans="8:11" x14ac:dyDescent="0.25">
      <c r="H712" s="5">
        <f t="shared" si="47"/>
        <v>710</v>
      </c>
      <c r="I712">
        <f t="shared" si="45"/>
        <v>-12.479529395523747</v>
      </c>
      <c r="J712">
        <f t="shared" si="46"/>
        <v>-24.414588251535072</v>
      </c>
      <c r="K712" s="5">
        <f t="shared" si="44"/>
        <v>27.419167992952222</v>
      </c>
    </row>
    <row r="713" spans="8:11" x14ac:dyDescent="0.25">
      <c r="H713" s="5">
        <f t="shared" si="47"/>
        <v>711</v>
      </c>
      <c r="I713">
        <f t="shared" si="45"/>
        <v>-12.390389899841439</v>
      </c>
      <c r="J713">
        <f t="shared" si="46"/>
        <v>-24.240198335452682</v>
      </c>
      <c r="K713" s="5">
        <f t="shared" si="44"/>
        <v>27.223316793002571</v>
      </c>
    </row>
    <row r="714" spans="8:11" x14ac:dyDescent="0.25">
      <c r="H714" s="5">
        <f t="shared" si="47"/>
        <v>712</v>
      </c>
      <c r="I714">
        <f t="shared" si="45"/>
        <v>-12.301250404159134</v>
      </c>
      <c r="J714">
        <f t="shared" si="46"/>
        <v>-24.065808419370285</v>
      </c>
      <c r="K714" s="5">
        <f t="shared" si="44"/>
        <v>27.027465593052909</v>
      </c>
    </row>
    <row r="715" spans="8:11" x14ac:dyDescent="0.25">
      <c r="H715" s="5">
        <f t="shared" si="47"/>
        <v>713</v>
      </c>
      <c r="I715">
        <f t="shared" si="45"/>
        <v>-12.212110908476813</v>
      </c>
      <c r="J715">
        <f t="shared" si="46"/>
        <v>-23.891418503287902</v>
      </c>
      <c r="K715" s="5">
        <f t="shared" si="44"/>
        <v>26.831614393103258</v>
      </c>
    </row>
    <row r="716" spans="8:11" x14ac:dyDescent="0.25">
      <c r="H716" s="5">
        <f t="shared" si="47"/>
        <v>714</v>
      </c>
      <c r="I716">
        <f t="shared" si="45"/>
        <v>-12.122971412794508</v>
      </c>
      <c r="J716">
        <f t="shared" si="46"/>
        <v>-23.717028587205498</v>
      </c>
      <c r="K716" s="5">
        <f t="shared" si="44"/>
        <v>26.63576319315359</v>
      </c>
    </row>
    <row r="717" spans="8:11" x14ac:dyDescent="0.25">
      <c r="H717" s="5">
        <f t="shared" si="47"/>
        <v>715</v>
      </c>
      <c r="I717">
        <f t="shared" si="45"/>
        <v>-12.033831917112186</v>
      </c>
      <c r="J717">
        <f t="shared" si="46"/>
        <v>-23.542638671123115</v>
      </c>
      <c r="K717" s="5">
        <f t="shared" si="44"/>
        <v>26.439911993203939</v>
      </c>
    </row>
    <row r="718" spans="8:11" x14ac:dyDescent="0.25">
      <c r="H718" s="5">
        <f t="shared" si="47"/>
        <v>716</v>
      </c>
      <c r="I718">
        <f t="shared" si="45"/>
        <v>-11.944692421429867</v>
      </c>
      <c r="J718">
        <f t="shared" si="46"/>
        <v>-23.368248755040707</v>
      </c>
      <c r="K718" s="5">
        <f t="shared" si="44"/>
        <v>26.244060793254263</v>
      </c>
    </row>
    <row r="719" spans="8:11" x14ac:dyDescent="0.25">
      <c r="H719" s="5">
        <f t="shared" si="47"/>
        <v>717</v>
      </c>
      <c r="I719">
        <f t="shared" si="45"/>
        <v>-11.855552925747574</v>
      </c>
      <c r="J719">
        <f t="shared" si="46"/>
        <v>-23.193858838958327</v>
      </c>
      <c r="K719" s="5">
        <f t="shared" si="44"/>
        <v>26.048209593304627</v>
      </c>
    </row>
    <row r="720" spans="8:11" x14ac:dyDescent="0.25">
      <c r="H720" s="5">
        <f t="shared" si="47"/>
        <v>718</v>
      </c>
      <c r="I720">
        <f t="shared" si="45"/>
        <v>-11.766413430065255</v>
      </c>
      <c r="J720">
        <f t="shared" si="46"/>
        <v>-23.01946892287593</v>
      </c>
      <c r="K720" s="5">
        <f t="shared" si="44"/>
        <v>25.852358393354962</v>
      </c>
    </row>
    <row r="721" spans="8:11" x14ac:dyDescent="0.25">
      <c r="H721" s="5">
        <f t="shared" si="47"/>
        <v>719</v>
      </c>
      <c r="I721">
        <f t="shared" si="45"/>
        <v>-11.677273934382947</v>
      </c>
      <c r="J721">
        <f t="shared" si="46"/>
        <v>-22.84507900679354</v>
      </c>
      <c r="K721" s="5">
        <f t="shared" si="44"/>
        <v>25.656507193405307</v>
      </c>
    </row>
    <row r="722" spans="8:11" x14ac:dyDescent="0.25">
      <c r="H722" s="5">
        <f t="shared" si="47"/>
        <v>720</v>
      </c>
      <c r="I722">
        <f t="shared" si="45"/>
        <v>-11.588134438700628</v>
      </c>
      <c r="J722">
        <f t="shared" si="46"/>
        <v>-22.670689090711143</v>
      </c>
      <c r="K722" s="5">
        <f t="shared" si="44"/>
        <v>25.460655993455642</v>
      </c>
    </row>
    <row r="723" spans="8:11" x14ac:dyDescent="0.25">
      <c r="H723" s="5">
        <f t="shared" si="47"/>
        <v>721</v>
      </c>
      <c r="I723">
        <f t="shared" si="45"/>
        <v>-11.498994943018307</v>
      </c>
      <c r="J723">
        <f t="shared" si="46"/>
        <v>-22.496299174628749</v>
      </c>
      <c r="K723" s="5">
        <f t="shared" si="44"/>
        <v>25.264804793505981</v>
      </c>
    </row>
    <row r="724" spans="8:11" x14ac:dyDescent="0.25">
      <c r="H724" s="5">
        <f t="shared" si="47"/>
        <v>722</v>
      </c>
      <c r="I724">
        <f t="shared" si="45"/>
        <v>-11.409855447336001</v>
      </c>
      <c r="J724">
        <f t="shared" si="46"/>
        <v>-22.321909258546356</v>
      </c>
      <c r="K724" s="5">
        <f t="shared" si="44"/>
        <v>25.068953593556323</v>
      </c>
    </row>
    <row r="725" spans="8:11" x14ac:dyDescent="0.25">
      <c r="H725" s="5">
        <f t="shared" si="47"/>
        <v>723</v>
      </c>
      <c r="I725">
        <f t="shared" si="45"/>
        <v>-11.320715951653694</v>
      </c>
      <c r="J725">
        <f t="shared" si="46"/>
        <v>-22.147519342463958</v>
      </c>
      <c r="K725" s="5">
        <f t="shared" si="44"/>
        <v>24.873102393606665</v>
      </c>
    </row>
    <row r="726" spans="8:11" x14ac:dyDescent="0.25">
      <c r="H726" s="5">
        <f t="shared" si="47"/>
        <v>724</v>
      </c>
      <c r="I726">
        <f t="shared" si="45"/>
        <v>-11.231576455971373</v>
      </c>
      <c r="J726">
        <f t="shared" si="46"/>
        <v>-21.973129426381568</v>
      </c>
      <c r="K726" s="5">
        <f t="shared" si="44"/>
        <v>24.677251193657003</v>
      </c>
    </row>
    <row r="727" spans="8:11" x14ac:dyDescent="0.25">
      <c r="H727" s="5">
        <f t="shared" si="47"/>
        <v>725</v>
      </c>
      <c r="I727">
        <f t="shared" si="45"/>
        <v>-11.142436960289068</v>
      </c>
      <c r="J727">
        <f t="shared" si="46"/>
        <v>-21.798739510299171</v>
      </c>
      <c r="K727" s="5">
        <f t="shared" si="44"/>
        <v>24.481399993707345</v>
      </c>
    </row>
    <row r="728" spans="8:11" x14ac:dyDescent="0.25">
      <c r="H728" s="5">
        <f t="shared" si="47"/>
        <v>726</v>
      </c>
      <c r="I728">
        <f t="shared" si="45"/>
        <v>-11.053297464606747</v>
      </c>
      <c r="J728">
        <f t="shared" si="46"/>
        <v>-21.624349594216792</v>
      </c>
      <c r="K728" s="5">
        <f t="shared" si="44"/>
        <v>24.285548793757695</v>
      </c>
    </row>
    <row r="729" spans="8:11" x14ac:dyDescent="0.25">
      <c r="H729" s="5">
        <f t="shared" si="47"/>
        <v>727</v>
      </c>
      <c r="I729">
        <f t="shared" si="45"/>
        <v>-10.964157968924441</v>
      </c>
      <c r="J729">
        <f t="shared" si="46"/>
        <v>-21.449959678134384</v>
      </c>
      <c r="K729" s="5">
        <f t="shared" si="44"/>
        <v>24.089697593808026</v>
      </c>
    </row>
    <row r="730" spans="8:11" x14ac:dyDescent="0.25">
      <c r="H730" s="5">
        <f t="shared" si="47"/>
        <v>728</v>
      </c>
      <c r="I730">
        <f t="shared" si="45"/>
        <v>-10.87501847324212</v>
      </c>
      <c r="J730">
        <f t="shared" si="46"/>
        <v>-21.275569762052001</v>
      </c>
      <c r="K730" s="5">
        <f t="shared" si="44"/>
        <v>23.893846393858375</v>
      </c>
    </row>
    <row r="731" spans="8:11" x14ac:dyDescent="0.25">
      <c r="H731" s="5">
        <f t="shared" si="47"/>
        <v>729</v>
      </c>
      <c r="I731">
        <f t="shared" si="45"/>
        <v>-10.785878977559815</v>
      </c>
      <c r="J731">
        <f t="shared" si="46"/>
        <v>-21.10117984596959</v>
      </c>
      <c r="K731" s="5">
        <f t="shared" si="44"/>
        <v>23.697995193908703</v>
      </c>
    </row>
    <row r="732" spans="8:11" x14ac:dyDescent="0.25">
      <c r="H732" s="5">
        <f t="shared" si="47"/>
        <v>730</v>
      </c>
      <c r="I732">
        <f t="shared" si="45"/>
        <v>-10.696739481877508</v>
      </c>
      <c r="J732">
        <f t="shared" si="46"/>
        <v>-20.9267899298872</v>
      </c>
      <c r="K732" s="5">
        <f t="shared" si="44"/>
        <v>23.502143993959049</v>
      </c>
    </row>
    <row r="733" spans="8:11" x14ac:dyDescent="0.25">
      <c r="H733" s="5">
        <f t="shared" si="47"/>
        <v>731</v>
      </c>
      <c r="I733">
        <f t="shared" si="45"/>
        <v>-10.607599986195188</v>
      </c>
      <c r="J733">
        <f t="shared" si="46"/>
        <v>-20.752400013804817</v>
      </c>
      <c r="K733" s="5">
        <f t="shared" si="44"/>
        <v>23.306292794009398</v>
      </c>
    </row>
    <row r="734" spans="8:11" x14ac:dyDescent="0.25">
      <c r="H734" s="5">
        <f t="shared" si="47"/>
        <v>732</v>
      </c>
      <c r="I734">
        <f t="shared" si="45"/>
        <v>-10.518460490512881</v>
      </c>
      <c r="J734">
        <f t="shared" si="46"/>
        <v>-20.578010097722412</v>
      </c>
      <c r="K734" s="5">
        <f t="shared" si="44"/>
        <v>23.110441594059733</v>
      </c>
    </row>
    <row r="735" spans="8:11" x14ac:dyDescent="0.25">
      <c r="H735" s="5">
        <f t="shared" si="47"/>
        <v>733</v>
      </c>
      <c r="I735">
        <f t="shared" si="45"/>
        <v>-10.429320994830562</v>
      </c>
      <c r="J735">
        <f t="shared" si="46"/>
        <v>-20.403620181640029</v>
      </c>
      <c r="K735" s="5">
        <f t="shared" si="44"/>
        <v>22.914590394110078</v>
      </c>
    </row>
    <row r="736" spans="8:11" x14ac:dyDescent="0.25">
      <c r="H736" s="5">
        <f t="shared" si="47"/>
        <v>734</v>
      </c>
      <c r="I736">
        <f t="shared" si="45"/>
        <v>-10.34018149914824</v>
      </c>
      <c r="J736">
        <f t="shared" si="46"/>
        <v>-20.229230265557618</v>
      </c>
      <c r="K736" s="5">
        <f t="shared" si="44"/>
        <v>22.718739194160399</v>
      </c>
    </row>
    <row r="737" spans="8:11" x14ac:dyDescent="0.25">
      <c r="H737" s="5">
        <f t="shared" si="47"/>
        <v>735</v>
      </c>
      <c r="I737">
        <f t="shared" si="45"/>
        <v>-10.251042003465949</v>
      </c>
      <c r="J737">
        <f t="shared" si="46"/>
        <v>-20.054840349475242</v>
      </c>
      <c r="K737" s="5">
        <f t="shared" si="44"/>
        <v>22.522887994210766</v>
      </c>
    </row>
    <row r="738" spans="8:11" x14ac:dyDescent="0.25">
      <c r="H738" s="5">
        <f t="shared" si="47"/>
        <v>736</v>
      </c>
      <c r="I738">
        <f t="shared" si="45"/>
        <v>-10.161902507783628</v>
      </c>
      <c r="J738">
        <f t="shared" si="46"/>
        <v>-19.880450433392845</v>
      </c>
      <c r="K738" s="5">
        <f t="shared" si="44"/>
        <v>22.327036794261097</v>
      </c>
    </row>
    <row r="739" spans="8:11" x14ac:dyDescent="0.25">
      <c r="H739" s="5">
        <f t="shared" si="47"/>
        <v>737</v>
      </c>
      <c r="I739">
        <f t="shared" si="45"/>
        <v>-10.072763012101323</v>
      </c>
      <c r="J739">
        <f t="shared" si="46"/>
        <v>-19.706060517310451</v>
      </c>
      <c r="K739" s="5">
        <f t="shared" si="44"/>
        <v>22.131185594311443</v>
      </c>
    </row>
    <row r="740" spans="8:11" x14ac:dyDescent="0.25">
      <c r="H740" s="5">
        <f t="shared" si="47"/>
        <v>738</v>
      </c>
      <c r="I740">
        <f t="shared" si="45"/>
        <v>-9.9836235164190015</v>
      </c>
      <c r="J740">
        <f t="shared" si="46"/>
        <v>-19.531670601228058</v>
      </c>
      <c r="K740" s="5">
        <f t="shared" si="44"/>
        <v>21.935334394361782</v>
      </c>
    </row>
    <row r="741" spans="8:11" x14ac:dyDescent="0.25">
      <c r="H741" s="5">
        <f t="shared" si="47"/>
        <v>739</v>
      </c>
      <c r="I741">
        <f t="shared" si="45"/>
        <v>-9.8944840207366802</v>
      </c>
      <c r="J741">
        <f t="shared" si="46"/>
        <v>-19.357280685145675</v>
      </c>
      <c r="K741" s="5">
        <f t="shared" si="44"/>
        <v>21.739483194412127</v>
      </c>
    </row>
    <row r="742" spans="8:11" x14ac:dyDescent="0.25">
      <c r="H742" s="5">
        <f t="shared" si="47"/>
        <v>740</v>
      </c>
      <c r="I742">
        <f t="shared" si="45"/>
        <v>-9.8053445250543749</v>
      </c>
      <c r="J742">
        <f t="shared" si="46"/>
        <v>-19.18289076906327</v>
      </c>
      <c r="K742" s="5">
        <f t="shared" si="44"/>
        <v>21.543631994462462</v>
      </c>
    </row>
    <row r="743" spans="8:11" x14ac:dyDescent="0.25">
      <c r="H743" s="5">
        <f t="shared" si="47"/>
        <v>741</v>
      </c>
      <c r="I743">
        <f t="shared" si="45"/>
        <v>-9.7162050293720679</v>
      </c>
      <c r="J743">
        <f t="shared" si="46"/>
        <v>-19.008500852980873</v>
      </c>
      <c r="K743" s="5">
        <f t="shared" si="44"/>
        <v>21.347780794512804</v>
      </c>
    </row>
    <row r="744" spans="8:11" x14ac:dyDescent="0.25">
      <c r="H744" s="5">
        <f t="shared" si="47"/>
        <v>742</v>
      </c>
      <c r="I744">
        <f t="shared" si="45"/>
        <v>-9.6270655336897626</v>
      </c>
      <c r="J744">
        <f t="shared" si="46"/>
        <v>-18.834110936898483</v>
      </c>
      <c r="K744" s="5">
        <f t="shared" si="44"/>
        <v>21.15192959456315</v>
      </c>
    </row>
    <row r="745" spans="8:11" x14ac:dyDescent="0.25">
      <c r="H745" s="5">
        <f t="shared" si="47"/>
        <v>743</v>
      </c>
      <c r="I745">
        <f t="shared" si="45"/>
        <v>-9.5379260380074413</v>
      </c>
      <c r="J745">
        <f t="shared" si="46"/>
        <v>-18.659721020816086</v>
      </c>
      <c r="K745" s="5">
        <f t="shared" si="44"/>
        <v>20.956078394613481</v>
      </c>
    </row>
    <row r="746" spans="8:11" x14ac:dyDescent="0.25">
      <c r="H746" s="5">
        <f t="shared" si="47"/>
        <v>744</v>
      </c>
      <c r="I746">
        <f t="shared" si="45"/>
        <v>-9.4487865423251218</v>
      </c>
      <c r="J746">
        <f t="shared" si="46"/>
        <v>-18.485331104733703</v>
      </c>
      <c r="K746" s="5">
        <f t="shared" si="44"/>
        <v>20.76022719466383</v>
      </c>
    </row>
    <row r="747" spans="8:11" x14ac:dyDescent="0.25">
      <c r="H747" s="5">
        <f t="shared" si="47"/>
        <v>745</v>
      </c>
      <c r="I747">
        <f t="shared" si="45"/>
        <v>-9.3596470466428148</v>
      </c>
      <c r="J747">
        <f t="shared" si="46"/>
        <v>-18.310941188651299</v>
      </c>
      <c r="K747" s="5">
        <f t="shared" si="44"/>
        <v>20.564375994714165</v>
      </c>
    </row>
    <row r="748" spans="8:11" x14ac:dyDescent="0.25">
      <c r="H748" s="5">
        <f t="shared" si="47"/>
        <v>746</v>
      </c>
      <c r="I748">
        <f t="shared" si="45"/>
        <v>-9.2705075509604953</v>
      </c>
      <c r="J748">
        <f t="shared" si="46"/>
        <v>-18.136551272568916</v>
      </c>
      <c r="K748" s="5">
        <f t="shared" si="44"/>
        <v>20.368524794764511</v>
      </c>
    </row>
    <row r="749" spans="8:11" x14ac:dyDescent="0.25">
      <c r="H749" s="5">
        <f t="shared" si="47"/>
        <v>747</v>
      </c>
      <c r="I749">
        <f t="shared" si="45"/>
        <v>-9.1813680552781882</v>
      </c>
      <c r="J749">
        <f t="shared" si="46"/>
        <v>-17.962161356486511</v>
      </c>
      <c r="K749" s="5">
        <f t="shared" si="44"/>
        <v>20.172673594814846</v>
      </c>
    </row>
    <row r="750" spans="8:11" x14ac:dyDescent="0.25">
      <c r="H750" s="5">
        <f t="shared" si="47"/>
        <v>748</v>
      </c>
      <c r="I750">
        <f t="shared" si="45"/>
        <v>-9.0922285595958829</v>
      </c>
      <c r="J750">
        <f t="shared" si="46"/>
        <v>-17.787771440404128</v>
      </c>
      <c r="K750" s="5">
        <f t="shared" si="44"/>
        <v>19.976822394865199</v>
      </c>
    </row>
    <row r="751" spans="8:11" x14ac:dyDescent="0.25">
      <c r="H751" s="5">
        <f t="shared" si="47"/>
        <v>749</v>
      </c>
      <c r="I751">
        <f t="shared" si="45"/>
        <v>-9.0030890639135617</v>
      </c>
      <c r="J751">
        <f t="shared" si="46"/>
        <v>-17.613381524321731</v>
      </c>
      <c r="K751" s="5">
        <f t="shared" si="44"/>
        <v>19.780971194915534</v>
      </c>
    </row>
    <row r="752" spans="8:11" x14ac:dyDescent="0.25">
      <c r="H752" s="5">
        <f t="shared" si="47"/>
        <v>750</v>
      </c>
      <c r="I752">
        <f t="shared" si="45"/>
        <v>-8.9139495682312564</v>
      </c>
      <c r="J752">
        <f t="shared" si="46"/>
        <v>-17.438991608239334</v>
      </c>
      <c r="K752" s="5">
        <f t="shared" si="44"/>
        <v>19.585119994965876</v>
      </c>
    </row>
    <row r="753" spans="8:11" x14ac:dyDescent="0.25">
      <c r="H753" s="5">
        <f t="shared" si="47"/>
        <v>751</v>
      </c>
      <c r="I753">
        <f t="shared" si="45"/>
        <v>-8.8248100725489351</v>
      </c>
      <c r="J753">
        <f t="shared" si="46"/>
        <v>-17.264601692156944</v>
      </c>
      <c r="K753" s="5">
        <f t="shared" si="44"/>
        <v>19.389268795016214</v>
      </c>
    </row>
    <row r="754" spans="8:11" x14ac:dyDescent="0.25">
      <c r="H754" s="5">
        <f t="shared" si="47"/>
        <v>752</v>
      </c>
      <c r="I754">
        <f t="shared" si="45"/>
        <v>-8.7356705768666156</v>
      </c>
      <c r="J754">
        <f t="shared" si="46"/>
        <v>-17.090211776074533</v>
      </c>
      <c r="K754" s="5">
        <f t="shared" si="44"/>
        <v>19.193417595066538</v>
      </c>
    </row>
    <row r="755" spans="8:11" x14ac:dyDescent="0.25">
      <c r="H755" s="5">
        <f t="shared" si="47"/>
        <v>753</v>
      </c>
      <c r="I755">
        <f t="shared" si="45"/>
        <v>-8.6465310811843086</v>
      </c>
      <c r="J755">
        <f t="shared" si="46"/>
        <v>-16.915821859992157</v>
      </c>
      <c r="K755" s="5">
        <f t="shared" si="44"/>
        <v>18.997566395116898</v>
      </c>
    </row>
    <row r="756" spans="8:11" x14ac:dyDescent="0.25">
      <c r="H756" s="5">
        <f t="shared" si="47"/>
        <v>754</v>
      </c>
      <c r="I756">
        <f t="shared" si="45"/>
        <v>-8.5573915855020015</v>
      </c>
      <c r="J756">
        <f t="shared" si="46"/>
        <v>-16.74143194390976</v>
      </c>
      <c r="K756" s="5">
        <f t="shared" si="44"/>
        <v>18.801715195167237</v>
      </c>
    </row>
    <row r="757" spans="8:11" x14ac:dyDescent="0.25">
      <c r="H757" s="5">
        <f t="shared" si="47"/>
        <v>755</v>
      </c>
      <c r="I757">
        <f t="shared" si="45"/>
        <v>-8.4682520898196962</v>
      </c>
      <c r="J757">
        <f t="shared" si="46"/>
        <v>-16.567042027827362</v>
      </c>
      <c r="K757" s="5">
        <f t="shared" si="44"/>
        <v>18.605863995217579</v>
      </c>
    </row>
    <row r="758" spans="8:11" x14ac:dyDescent="0.25">
      <c r="H758" s="5">
        <f t="shared" si="47"/>
        <v>756</v>
      </c>
      <c r="I758">
        <f t="shared" si="45"/>
        <v>-8.379112594137375</v>
      </c>
      <c r="J758">
        <f t="shared" si="46"/>
        <v>-16.392652111744972</v>
      </c>
      <c r="K758" s="5">
        <f t="shared" si="44"/>
        <v>18.410012795267917</v>
      </c>
    </row>
    <row r="759" spans="8:11" x14ac:dyDescent="0.25">
      <c r="H759" s="5">
        <f t="shared" si="47"/>
        <v>757</v>
      </c>
      <c r="I759">
        <f t="shared" si="45"/>
        <v>-8.2899730984550555</v>
      </c>
      <c r="J759">
        <f t="shared" si="46"/>
        <v>-16.218262195662589</v>
      </c>
      <c r="K759" s="5">
        <f t="shared" si="44"/>
        <v>18.214161595318267</v>
      </c>
    </row>
    <row r="760" spans="8:11" x14ac:dyDescent="0.25">
      <c r="H760" s="5">
        <f t="shared" si="47"/>
        <v>758</v>
      </c>
      <c r="I760">
        <f t="shared" si="45"/>
        <v>-8.2008336027727484</v>
      </c>
      <c r="J760">
        <f t="shared" si="46"/>
        <v>-16.043872279580185</v>
      </c>
      <c r="K760" s="5">
        <f t="shared" si="44"/>
        <v>18.018310395368601</v>
      </c>
    </row>
    <row r="761" spans="8:11" x14ac:dyDescent="0.25">
      <c r="H761" s="5">
        <f t="shared" si="47"/>
        <v>759</v>
      </c>
      <c r="I761">
        <f t="shared" si="45"/>
        <v>-8.1116941070904289</v>
      </c>
      <c r="J761">
        <f t="shared" si="46"/>
        <v>-15.869482363497802</v>
      </c>
      <c r="K761" s="5">
        <f t="shared" si="44"/>
        <v>17.822459195418947</v>
      </c>
    </row>
    <row r="762" spans="8:11" x14ac:dyDescent="0.25">
      <c r="H762" s="5">
        <f t="shared" si="47"/>
        <v>760</v>
      </c>
      <c r="I762">
        <f t="shared" si="45"/>
        <v>-8.0225546114081361</v>
      </c>
      <c r="J762">
        <f t="shared" si="46"/>
        <v>-15.695092447415391</v>
      </c>
      <c r="K762" s="5">
        <f t="shared" si="44"/>
        <v>17.626607995469282</v>
      </c>
    </row>
    <row r="763" spans="8:11" x14ac:dyDescent="0.25">
      <c r="H763" s="5">
        <f t="shared" si="47"/>
        <v>761</v>
      </c>
      <c r="I763">
        <f t="shared" si="45"/>
        <v>-7.9334151157258166</v>
      </c>
      <c r="J763">
        <f t="shared" si="46"/>
        <v>-15.520702531333001</v>
      </c>
      <c r="K763" s="5">
        <f t="shared" si="44"/>
        <v>17.430756795519624</v>
      </c>
    </row>
    <row r="764" spans="8:11" x14ac:dyDescent="0.25">
      <c r="H764" s="5">
        <f t="shared" si="47"/>
        <v>762</v>
      </c>
      <c r="I764">
        <f t="shared" si="45"/>
        <v>-7.8442756200434953</v>
      </c>
      <c r="J764">
        <f t="shared" si="46"/>
        <v>-15.346312615250618</v>
      </c>
      <c r="K764" s="5">
        <f t="shared" si="44"/>
        <v>17.23490559556997</v>
      </c>
    </row>
    <row r="765" spans="8:11" x14ac:dyDescent="0.25">
      <c r="H765" s="5">
        <f t="shared" si="47"/>
        <v>763</v>
      </c>
      <c r="I765">
        <f t="shared" si="45"/>
        <v>-7.75513612436119</v>
      </c>
      <c r="J765">
        <f t="shared" si="46"/>
        <v>-15.17192269916821</v>
      </c>
      <c r="K765" s="5">
        <f t="shared" si="44"/>
        <v>17.039054395620301</v>
      </c>
    </row>
    <row r="766" spans="8:11" x14ac:dyDescent="0.25">
      <c r="H766" s="5">
        <f t="shared" si="47"/>
        <v>764</v>
      </c>
      <c r="I766">
        <f t="shared" si="45"/>
        <v>-7.6659966286788688</v>
      </c>
      <c r="J766">
        <f t="shared" si="46"/>
        <v>-14.99753278308583</v>
      </c>
      <c r="K766" s="5">
        <f t="shared" si="44"/>
        <v>16.84320319567065</v>
      </c>
    </row>
    <row r="767" spans="8:11" x14ac:dyDescent="0.25">
      <c r="H767" s="5">
        <f t="shared" si="47"/>
        <v>765</v>
      </c>
      <c r="I767">
        <f t="shared" si="45"/>
        <v>-7.5768571329965493</v>
      </c>
      <c r="J767">
        <f t="shared" si="46"/>
        <v>-14.823142867003423</v>
      </c>
      <c r="K767" s="5">
        <f t="shared" si="44"/>
        <v>16.647351995720975</v>
      </c>
    </row>
    <row r="768" spans="8:11" x14ac:dyDescent="0.25">
      <c r="H768" s="5">
        <f t="shared" si="47"/>
        <v>766</v>
      </c>
      <c r="I768">
        <f t="shared" si="45"/>
        <v>-7.4877176373142564</v>
      </c>
      <c r="J768">
        <f t="shared" si="46"/>
        <v>-14.648752950921043</v>
      </c>
      <c r="K768" s="5">
        <f t="shared" si="44"/>
        <v>16.451500795771338</v>
      </c>
    </row>
    <row r="769" spans="8:11" x14ac:dyDescent="0.25">
      <c r="H769" s="5">
        <f t="shared" si="47"/>
        <v>767</v>
      </c>
      <c r="I769">
        <f t="shared" si="45"/>
        <v>-7.3985781416319369</v>
      </c>
      <c r="J769">
        <f t="shared" si="46"/>
        <v>-14.474363034838646</v>
      </c>
      <c r="K769" s="5">
        <f t="shared" si="44"/>
        <v>16.255649595821673</v>
      </c>
    </row>
    <row r="770" spans="8:11" x14ac:dyDescent="0.25">
      <c r="H770" s="5">
        <f t="shared" si="47"/>
        <v>768</v>
      </c>
      <c r="I770">
        <f t="shared" si="45"/>
        <v>-7.3094386459496299</v>
      </c>
      <c r="J770">
        <f t="shared" si="46"/>
        <v>-14.299973118756252</v>
      </c>
      <c r="K770" s="5">
        <f t="shared" ref="K770:K833" si="48">SQRT((I770^2)+(J770^2))</f>
        <v>16.059798395872015</v>
      </c>
    </row>
    <row r="771" spans="8:11" x14ac:dyDescent="0.25">
      <c r="H771" s="5">
        <f t="shared" si="47"/>
        <v>769</v>
      </c>
      <c r="I771">
        <f t="shared" ref="I771:I834" si="49">D$29*($H771/1000)+D$18*(($H771/1000)-($D$7/1000))*(($H771/1000)&gt;($D$7/1000))+D$19*(($H771/1000)-($D$8/1000))*(($H771/1000)&gt;($D$8/1000))+D$20*(($H771/1000)-($D$9/1000))*(($H771/1000)&gt;($D$9/1000))+D$21*(($H771/1000)-($D$10/1000))*(($H771/1000)&gt;($D$10/1000))</f>
        <v>-7.2202991502673086</v>
      </c>
      <c r="J771">
        <f t="shared" ref="J771:J834" si="50">E$29*($H771/1000)+E$18*(($H771/1000)-($D$7/1000))*(($H771/1000)&gt;($D$7/1000))+E$19*(($H771/1000)-($D$8/1000))*(($H771/1000)&gt;($D$8/1000))+E$20*(($H771/1000)-($D$9/1000))*(($H771/1000)&gt;($D$9/1000))+E$21*(($H771/1000)-($D$10/1000))*(($H771/1000)&gt;($D$10/1000))</f>
        <v>-14.125583202673859</v>
      </c>
      <c r="K771" s="5">
        <f t="shared" si="48"/>
        <v>15.863947195922353</v>
      </c>
    </row>
    <row r="772" spans="8:11" x14ac:dyDescent="0.25">
      <c r="H772" s="5">
        <f t="shared" ref="H772:H835" si="51">IF((ROW(A770)*$G$2)&lt;=$D$5, ROW(A770)*$G$2,NA())</f>
        <v>770</v>
      </c>
      <c r="I772">
        <f t="shared" si="49"/>
        <v>-7.1311596545849891</v>
      </c>
      <c r="J772">
        <f t="shared" si="50"/>
        <v>-13.951193286591479</v>
      </c>
      <c r="K772" s="5">
        <f t="shared" si="48"/>
        <v>15.668095995972704</v>
      </c>
    </row>
    <row r="773" spans="8:11" x14ac:dyDescent="0.25">
      <c r="H773" s="5">
        <f t="shared" si="51"/>
        <v>771</v>
      </c>
      <c r="I773">
        <f t="shared" si="49"/>
        <v>-7.0420201589026821</v>
      </c>
      <c r="J773">
        <f t="shared" si="50"/>
        <v>-13.776803370509072</v>
      </c>
      <c r="K773" s="5">
        <f t="shared" si="48"/>
        <v>15.472244796023034</v>
      </c>
    </row>
    <row r="774" spans="8:11" x14ac:dyDescent="0.25">
      <c r="H774" s="5">
        <f t="shared" si="51"/>
        <v>772</v>
      </c>
      <c r="I774">
        <f t="shared" si="49"/>
        <v>-6.9528806632203768</v>
      </c>
      <c r="J774">
        <f t="shared" si="50"/>
        <v>-13.602413454426674</v>
      </c>
      <c r="K774" s="5">
        <f t="shared" si="48"/>
        <v>15.276393596073376</v>
      </c>
    </row>
    <row r="775" spans="8:11" x14ac:dyDescent="0.25">
      <c r="H775" s="5">
        <f t="shared" si="51"/>
        <v>773</v>
      </c>
      <c r="I775">
        <f t="shared" si="49"/>
        <v>-6.8637411675380697</v>
      </c>
      <c r="J775">
        <f t="shared" si="50"/>
        <v>-13.428023538344281</v>
      </c>
      <c r="K775" s="5">
        <f t="shared" si="48"/>
        <v>15.08054239612372</v>
      </c>
    </row>
    <row r="776" spans="8:11" x14ac:dyDescent="0.25">
      <c r="H776" s="5">
        <f t="shared" si="51"/>
        <v>774</v>
      </c>
      <c r="I776">
        <f t="shared" si="49"/>
        <v>-6.7746016718557502</v>
      </c>
      <c r="J776">
        <f t="shared" si="50"/>
        <v>-13.253633622261887</v>
      </c>
      <c r="K776" s="5">
        <f t="shared" si="48"/>
        <v>14.884691196174057</v>
      </c>
    </row>
    <row r="777" spans="8:11" x14ac:dyDescent="0.25">
      <c r="H777" s="5">
        <f t="shared" si="51"/>
        <v>775</v>
      </c>
      <c r="I777">
        <f t="shared" si="49"/>
        <v>-6.685462176173429</v>
      </c>
      <c r="J777">
        <f t="shared" si="50"/>
        <v>-13.079243706179508</v>
      </c>
      <c r="K777" s="5">
        <f t="shared" si="48"/>
        <v>14.688839996224406</v>
      </c>
    </row>
    <row r="778" spans="8:11" x14ac:dyDescent="0.25">
      <c r="H778" s="5">
        <f t="shared" si="51"/>
        <v>776</v>
      </c>
      <c r="I778">
        <f t="shared" si="49"/>
        <v>-6.5963226804911237</v>
      </c>
      <c r="J778">
        <f t="shared" si="50"/>
        <v>-12.904853790097093</v>
      </c>
      <c r="K778" s="5">
        <f t="shared" si="48"/>
        <v>14.492988796274732</v>
      </c>
    </row>
    <row r="779" spans="8:11" x14ac:dyDescent="0.25">
      <c r="H779" s="5">
        <f t="shared" si="51"/>
        <v>777</v>
      </c>
      <c r="I779">
        <f t="shared" si="49"/>
        <v>-6.5071831848088024</v>
      </c>
      <c r="J779">
        <f t="shared" si="50"/>
        <v>-12.73046387401472</v>
      </c>
      <c r="K779" s="5">
        <f t="shared" si="48"/>
        <v>14.297137596325088</v>
      </c>
    </row>
    <row r="780" spans="8:11" x14ac:dyDescent="0.25">
      <c r="H780" s="5">
        <f t="shared" si="51"/>
        <v>778</v>
      </c>
      <c r="I780">
        <f t="shared" si="49"/>
        <v>-6.4180436891265114</v>
      </c>
      <c r="J780">
        <f t="shared" si="50"/>
        <v>-12.556073957932302</v>
      </c>
      <c r="K780" s="5">
        <f t="shared" si="48"/>
        <v>14.101286396375416</v>
      </c>
    </row>
    <row r="781" spans="8:11" x14ac:dyDescent="0.25">
      <c r="H781" s="5">
        <f t="shared" si="51"/>
        <v>779</v>
      </c>
      <c r="I781">
        <f t="shared" si="49"/>
        <v>-6.3289041934441901</v>
      </c>
      <c r="J781">
        <f t="shared" si="50"/>
        <v>-12.38168404184993</v>
      </c>
      <c r="K781" s="5">
        <f t="shared" si="48"/>
        <v>13.905435196425772</v>
      </c>
    </row>
    <row r="782" spans="8:11" x14ac:dyDescent="0.25">
      <c r="H782" s="5">
        <f t="shared" si="51"/>
        <v>780</v>
      </c>
      <c r="I782">
        <f t="shared" si="49"/>
        <v>-6.2397646977618706</v>
      </c>
      <c r="J782">
        <f t="shared" si="50"/>
        <v>-12.207294125767536</v>
      </c>
      <c r="K782" s="5">
        <f t="shared" si="48"/>
        <v>13.709583996476111</v>
      </c>
    </row>
    <row r="783" spans="8:11" x14ac:dyDescent="0.25">
      <c r="H783" s="5">
        <f t="shared" si="51"/>
        <v>781</v>
      </c>
      <c r="I783">
        <f t="shared" si="49"/>
        <v>-6.1506252020795635</v>
      </c>
      <c r="J783">
        <f t="shared" si="50"/>
        <v>-12.032904209685121</v>
      </c>
      <c r="K783" s="5">
        <f t="shared" si="48"/>
        <v>13.513732796526435</v>
      </c>
    </row>
    <row r="784" spans="8:11" x14ac:dyDescent="0.25">
      <c r="H784" s="5">
        <f t="shared" si="51"/>
        <v>782</v>
      </c>
      <c r="I784">
        <f t="shared" si="49"/>
        <v>-6.061485706397244</v>
      </c>
      <c r="J784">
        <f t="shared" si="50"/>
        <v>-11.858514293602749</v>
      </c>
      <c r="K784" s="5">
        <f t="shared" si="48"/>
        <v>13.317881596576791</v>
      </c>
    </row>
    <row r="785" spans="8:11" x14ac:dyDescent="0.25">
      <c r="H785" s="5">
        <f t="shared" si="51"/>
        <v>783</v>
      </c>
      <c r="I785">
        <f t="shared" si="49"/>
        <v>-5.972346210714937</v>
      </c>
      <c r="J785">
        <f t="shared" si="50"/>
        <v>-11.68412437752033</v>
      </c>
      <c r="K785" s="5">
        <f t="shared" si="48"/>
        <v>13.122030396627114</v>
      </c>
    </row>
    <row r="786" spans="8:11" x14ac:dyDescent="0.25">
      <c r="H786" s="5">
        <f t="shared" si="51"/>
        <v>784</v>
      </c>
      <c r="I786">
        <f t="shared" si="49"/>
        <v>-5.8832067150326157</v>
      </c>
      <c r="J786">
        <f t="shared" si="50"/>
        <v>-11.509734461437958</v>
      </c>
      <c r="K786" s="5">
        <f t="shared" si="48"/>
        <v>12.92617919667747</v>
      </c>
    </row>
    <row r="787" spans="8:11" x14ac:dyDescent="0.25">
      <c r="H787" s="5">
        <f t="shared" si="51"/>
        <v>785</v>
      </c>
      <c r="I787">
        <f t="shared" si="49"/>
        <v>-5.7940672193502962</v>
      </c>
      <c r="J787">
        <f t="shared" si="50"/>
        <v>-11.335344545355564</v>
      </c>
      <c r="K787" s="5">
        <f t="shared" si="48"/>
        <v>12.730327996727807</v>
      </c>
    </row>
    <row r="788" spans="8:11" x14ac:dyDescent="0.25">
      <c r="H788" s="5">
        <f t="shared" si="51"/>
        <v>786</v>
      </c>
      <c r="I788">
        <f t="shared" si="49"/>
        <v>-5.7049277236679892</v>
      </c>
      <c r="J788">
        <f t="shared" si="50"/>
        <v>-11.160954629273164</v>
      </c>
      <c r="K788" s="5">
        <f t="shared" si="48"/>
        <v>12.534476796778144</v>
      </c>
    </row>
    <row r="789" spans="8:11" x14ac:dyDescent="0.25">
      <c r="H789" s="5">
        <f t="shared" si="51"/>
        <v>787</v>
      </c>
      <c r="I789">
        <f t="shared" si="49"/>
        <v>-5.6157882279856963</v>
      </c>
      <c r="J789">
        <f t="shared" si="50"/>
        <v>-10.986564713190777</v>
      </c>
      <c r="K789" s="5">
        <f t="shared" si="48"/>
        <v>12.338625596828502</v>
      </c>
    </row>
    <row r="790" spans="8:11" x14ac:dyDescent="0.25">
      <c r="H790" s="5">
        <f t="shared" si="51"/>
        <v>788</v>
      </c>
      <c r="I790">
        <f t="shared" si="49"/>
        <v>-5.5266487323033786</v>
      </c>
      <c r="J790">
        <f t="shared" si="50"/>
        <v>-10.812174797108391</v>
      </c>
      <c r="K790" s="5">
        <f t="shared" si="48"/>
        <v>12.142774396878846</v>
      </c>
    </row>
    <row r="791" spans="8:11" x14ac:dyDescent="0.25">
      <c r="H791" s="5">
        <f t="shared" si="51"/>
        <v>789</v>
      </c>
      <c r="I791">
        <f t="shared" si="49"/>
        <v>-5.4375092366210716</v>
      </c>
      <c r="J791">
        <f t="shared" si="50"/>
        <v>-10.637784881025986</v>
      </c>
      <c r="K791" s="5">
        <f t="shared" si="48"/>
        <v>11.946923196929179</v>
      </c>
    </row>
    <row r="792" spans="8:11" x14ac:dyDescent="0.25">
      <c r="H792" s="5">
        <f t="shared" si="51"/>
        <v>790</v>
      </c>
      <c r="I792">
        <f t="shared" si="49"/>
        <v>-5.3483697409387503</v>
      </c>
      <c r="J792">
        <f t="shared" si="50"/>
        <v>-10.463394964943607</v>
      </c>
      <c r="K792" s="5">
        <f t="shared" si="48"/>
        <v>11.75107199697953</v>
      </c>
    </row>
    <row r="793" spans="8:11" x14ac:dyDescent="0.25">
      <c r="H793" s="5">
        <f t="shared" si="51"/>
        <v>791</v>
      </c>
      <c r="I793">
        <f t="shared" si="49"/>
        <v>-5.2592302452564432</v>
      </c>
      <c r="J793">
        <f t="shared" si="50"/>
        <v>-10.289005048861192</v>
      </c>
      <c r="K793" s="5">
        <f t="shared" si="48"/>
        <v>11.555220797029854</v>
      </c>
    </row>
    <row r="794" spans="8:11" x14ac:dyDescent="0.25">
      <c r="H794" s="5">
        <f t="shared" si="51"/>
        <v>792</v>
      </c>
      <c r="I794">
        <f t="shared" si="49"/>
        <v>-5.1700907495741255</v>
      </c>
      <c r="J794">
        <f t="shared" si="50"/>
        <v>-10.114615132778798</v>
      </c>
      <c r="K794" s="5">
        <f t="shared" si="48"/>
        <v>11.359369597080192</v>
      </c>
    </row>
    <row r="795" spans="8:11" x14ac:dyDescent="0.25">
      <c r="H795" s="5">
        <f t="shared" si="51"/>
        <v>793</v>
      </c>
      <c r="I795">
        <f t="shared" si="49"/>
        <v>-5.0809512538918042</v>
      </c>
      <c r="J795">
        <f t="shared" si="50"/>
        <v>-9.9402252166964189</v>
      </c>
      <c r="K795" s="5">
        <f t="shared" si="48"/>
        <v>11.163518397130542</v>
      </c>
    </row>
    <row r="796" spans="8:11" x14ac:dyDescent="0.25">
      <c r="H796" s="5">
        <f t="shared" si="51"/>
        <v>794</v>
      </c>
      <c r="I796">
        <f t="shared" si="49"/>
        <v>-4.9918117582094972</v>
      </c>
      <c r="J796">
        <f t="shared" si="50"/>
        <v>-9.7658353006140146</v>
      </c>
      <c r="K796" s="5">
        <f t="shared" si="48"/>
        <v>10.967667197180877</v>
      </c>
    </row>
    <row r="797" spans="8:11" x14ac:dyDescent="0.25">
      <c r="H797" s="5">
        <f t="shared" si="51"/>
        <v>795</v>
      </c>
      <c r="I797">
        <f t="shared" si="49"/>
        <v>-4.9026722625271759</v>
      </c>
      <c r="J797">
        <f t="shared" si="50"/>
        <v>-9.5914453845316281</v>
      </c>
      <c r="K797" s="5">
        <f t="shared" si="48"/>
        <v>10.77181599723122</v>
      </c>
    </row>
    <row r="798" spans="8:11" x14ac:dyDescent="0.25">
      <c r="H798" s="5">
        <f t="shared" si="51"/>
        <v>796</v>
      </c>
      <c r="I798">
        <f t="shared" si="49"/>
        <v>-4.8135327668448724</v>
      </c>
      <c r="J798">
        <f t="shared" si="50"/>
        <v>-9.4170554684492203</v>
      </c>
      <c r="K798" s="5">
        <f t="shared" si="48"/>
        <v>10.575964797281552</v>
      </c>
    </row>
    <row r="799" spans="8:11" x14ac:dyDescent="0.25">
      <c r="H799" s="5">
        <f t="shared" si="51"/>
        <v>797</v>
      </c>
      <c r="I799">
        <f t="shared" si="49"/>
        <v>-4.7243932711625511</v>
      </c>
      <c r="J799">
        <f t="shared" si="50"/>
        <v>-9.2426655523668408</v>
      </c>
      <c r="K799" s="5">
        <f t="shared" si="48"/>
        <v>10.380113597331901</v>
      </c>
    </row>
    <row r="800" spans="8:11" x14ac:dyDescent="0.25">
      <c r="H800" s="5">
        <f t="shared" si="51"/>
        <v>798</v>
      </c>
      <c r="I800">
        <f t="shared" si="49"/>
        <v>-4.6352537754802299</v>
      </c>
      <c r="J800">
        <f t="shared" si="50"/>
        <v>-9.0682756362844472</v>
      </c>
      <c r="K800" s="5">
        <f t="shared" si="48"/>
        <v>10.184262397382238</v>
      </c>
    </row>
    <row r="801" spans="8:11" x14ac:dyDescent="0.25">
      <c r="H801" s="5">
        <f t="shared" si="51"/>
        <v>799</v>
      </c>
      <c r="I801">
        <f t="shared" si="49"/>
        <v>-4.5461142797979512</v>
      </c>
      <c r="J801">
        <f t="shared" si="50"/>
        <v>-8.8938857202020571</v>
      </c>
      <c r="K801" s="5">
        <f t="shared" si="48"/>
        <v>9.9884111974325993</v>
      </c>
    </row>
    <row r="802" spans="8:11" x14ac:dyDescent="0.25">
      <c r="H802" s="5">
        <f t="shared" si="51"/>
        <v>800</v>
      </c>
      <c r="I802">
        <f t="shared" si="49"/>
        <v>-4.4569747841156477</v>
      </c>
      <c r="J802">
        <f t="shared" si="50"/>
        <v>-8.7194958041196422</v>
      </c>
      <c r="K802" s="5">
        <f t="shared" si="48"/>
        <v>9.7925599974829236</v>
      </c>
    </row>
    <row r="803" spans="8:11" x14ac:dyDescent="0.25">
      <c r="H803" s="5">
        <f t="shared" si="51"/>
        <v>801</v>
      </c>
      <c r="I803">
        <f t="shared" si="49"/>
        <v>-4.3678352884333087</v>
      </c>
      <c r="J803">
        <f t="shared" si="50"/>
        <v>-8.545105888037277</v>
      </c>
      <c r="K803" s="5">
        <f t="shared" si="48"/>
        <v>9.5967087975332799</v>
      </c>
    </row>
    <row r="804" spans="8:11" x14ac:dyDescent="0.25">
      <c r="H804" s="5">
        <f t="shared" si="51"/>
        <v>802</v>
      </c>
      <c r="I804">
        <f t="shared" si="49"/>
        <v>-4.2786957927510194</v>
      </c>
      <c r="J804">
        <f t="shared" si="50"/>
        <v>-8.3707159719548478</v>
      </c>
      <c r="K804" s="5">
        <f t="shared" si="48"/>
        <v>9.4008575975835988</v>
      </c>
    </row>
    <row r="805" spans="8:11" x14ac:dyDescent="0.25">
      <c r="H805" s="5">
        <f t="shared" si="51"/>
        <v>803</v>
      </c>
      <c r="I805">
        <f t="shared" si="49"/>
        <v>-4.1895562970686697</v>
      </c>
      <c r="J805">
        <f t="shared" si="50"/>
        <v>-8.1963260558724897</v>
      </c>
      <c r="K805" s="5">
        <f t="shared" si="48"/>
        <v>9.2050063976339551</v>
      </c>
    </row>
    <row r="806" spans="8:11" x14ac:dyDescent="0.25">
      <c r="H806" s="5">
        <f t="shared" si="51"/>
        <v>804</v>
      </c>
      <c r="I806">
        <f t="shared" si="49"/>
        <v>-4.1004168013863946</v>
      </c>
      <c r="J806">
        <f t="shared" si="50"/>
        <v>-8.0219361397900641</v>
      </c>
      <c r="K806" s="5">
        <f t="shared" si="48"/>
        <v>9.009155197684283</v>
      </c>
    </row>
    <row r="807" spans="8:11" x14ac:dyDescent="0.25">
      <c r="H807" s="5">
        <f t="shared" si="51"/>
        <v>805</v>
      </c>
      <c r="I807">
        <f t="shared" si="49"/>
        <v>-4.0112773057040414</v>
      </c>
      <c r="J807">
        <f t="shared" si="50"/>
        <v>-7.8475462237076989</v>
      </c>
      <c r="K807" s="5">
        <f t="shared" si="48"/>
        <v>8.8133039977346321</v>
      </c>
    </row>
    <row r="808" spans="8:11" x14ac:dyDescent="0.25">
      <c r="H808" s="5">
        <f t="shared" si="51"/>
        <v>806</v>
      </c>
      <c r="I808">
        <f t="shared" si="49"/>
        <v>-3.9221378100217521</v>
      </c>
      <c r="J808">
        <f t="shared" si="50"/>
        <v>-7.6731563076252911</v>
      </c>
      <c r="K808" s="5">
        <f t="shared" si="48"/>
        <v>8.6174527977849706</v>
      </c>
    </row>
    <row r="809" spans="8:11" x14ac:dyDescent="0.25">
      <c r="H809" s="5">
        <f t="shared" si="51"/>
        <v>807</v>
      </c>
      <c r="I809">
        <f t="shared" si="49"/>
        <v>-3.8329983143394166</v>
      </c>
      <c r="J809">
        <f t="shared" si="50"/>
        <v>-7.4987663915429046</v>
      </c>
      <c r="K809" s="5">
        <f t="shared" si="48"/>
        <v>8.4216015978353074</v>
      </c>
    </row>
    <row r="810" spans="8:11" x14ac:dyDescent="0.25">
      <c r="H810" s="5">
        <f t="shared" si="51"/>
        <v>808</v>
      </c>
      <c r="I810">
        <f t="shared" si="49"/>
        <v>-3.7438588186571273</v>
      </c>
      <c r="J810">
        <f t="shared" si="50"/>
        <v>-7.3243764754604967</v>
      </c>
      <c r="K810" s="5">
        <f t="shared" si="48"/>
        <v>8.2257503978856477</v>
      </c>
    </row>
    <row r="811" spans="8:11" x14ac:dyDescent="0.25">
      <c r="H811" s="5">
        <f t="shared" si="51"/>
        <v>809</v>
      </c>
      <c r="I811">
        <f t="shared" si="49"/>
        <v>-3.6547193229747883</v>
      </c>
      <c r="J811">
        <f t="shared" si="50"/>
        <v>-7.1499865593781315</v>
      </c>
      <c r="K811" s="5">
        <f t="shared" si="48"/>
        <v>8.0298991979360004</v>
      </c>
    </row>
    <row r="812" spans="8:11" x14ac:dyDescent="0.25">
      <c r="H812" s="5">
        <f t="shared" si="51"/>
        <v>810</v>
      </c>
      <c r="I812">
        <f t="shared" si="49"/>
        <v>-3.565579827292499</v>
      </c>
      <c r="J812">
        <f t="shared" si="50"/>
        <v>-6.9755966432957131</v>
      </c>
      <c r="K812" s="5">
        <f t="shared" si="48"/>
        <v>7.83404799798633</v>
      </c>
    </row>
    <row r="813" spans="8:11" x14ac:dyDescent="0.25">
      <c r="H813" s="5">
        <f t="shared" si="51"/>
        <v>811</v>
      </c>
      <c r="I813">
        <f t="shared" si="49"/>
        <v>-3.4764403316101919</v>
      </c>
      <c r="J813">
        <f t="shared" si="50"/>
        <v>-6.8012067272133336</v>
      </c>
      <c r="K813" s="5">
        <f t="shared" si="48"/>
        <v>7.6381967980366863</v>
      </c>
    </row>
    <row r="814" spans="8:11" x14ac:dyDescent="0.25">
      <c r="H814" s="5">
        <f t="shared" si="51"/>
        <v>812</v>
      </c>
      <c r="I814">
        <f t="shared" si="49"/>
        <v>-3.3873008359279027</v>
      </c>
      <c r="J814">
        <f t="shared" si="50"/>
        <v>-6.6268168111309045</v>
      </c>
      <c r="K814" s="5">
        <f t="shared" si="48"/>
        <v>7.4423455980870061</v>
      </c>
    </row>
    <row r="815" spans="8:11" x14ac:dyDescent="0.25">
      <c r="H815" s="5">
        <f t="shared" si="51"/>
        <v>813</v>
      </c>
      <c r="I815">
        <f t="shared" si="49"/>
        <v>-3.2981613402455849</v>
      </c>
      <c r="J815">
        <f t="shared" si="50"/>
        <v>-6.4524268950485464</v>
      </c>
      <c r="K815" s="5">
        <f t="shared" si="48"/>
        <v>7.2464943981373766</v>
      </c>
    </row>
    <row r="816" spans="8:11" x14ac:dyDescent="0.25">
      <c r="H816" s="5">
        <f t="shared" si="51"/>
        <v>814</v>
      </c>
      <c r="I816">
        <f t="shared" si="49"/>
        <v>-3.2090218445632317</v>
      </c>
      <c r="J816">
        <f t="shared" si="50"/>
        <v>-6.2780369789661883</v>
      </c>
      <c r="K816" s="5">
        <f t="shared" si="48"/>
        <v>7.0506431981877311</v>
      </c>
    </row>
    <row r="817" spans="8:11" x14ac:dyDescent="0.25">
      <c r="H817" s="5">
        <f t="shared" si="51"/>
        <v>815</v>
      </c>
      <c r="I817">
        <f t="shared" si="49"/>
        <v>-3.1198823488809602</v>
      </c>
      <c r="J817">
        <f t="shared" si="50"/>
        <v>-6.103647062883752</v>
      </c>
      <c r="K817" s="5">
        <f t="shared" si="48"/>
        <v>6.8547919982380519</v>
      </c>
    </row>
    <row r="818" spans="8:11" x14ac:dyDescent="0.25">
      <c r="H818" s="5">
        <f t="shared" si="51"/>
        <v>816</v>
      </c>
      <c r="I818">
        <f t="shared" si="49"/>
        <v>-3.0307428531986069</v>
      </c>
      <c r="J818">
        <f t="shared" si="50"/>
        <v>-5.929257146801401</v>
      </c>
      <c r="K818" s="5">
        <f t="shared" si="48"/>
        <v>6.6589407982884126</v>
      </c>
    </row>
    <row r="819" spans="8:11" x14ac:dyDescent="0.25">
      <c r="H819" s="5">
        <f t="shared" si="51"/>
        <v>817</v>
      </c>
      <c r="I819">
        <f t="shared" si="49"/>
        <v>-2.9416033575163176</v>
      </c>
      <c r="J819">
        <f t="shared" si="50"/>
        <v>-5.7548672307189861</v>
      </c>
      <c r="K819" s="5">
        <f t="shared" si="48"/>
        <v>6.4630895983387449</v>
      </c>
    </row>
    <row r="820" spans="8:11" x14ac:dyDescent="0.25">
      <c r="H820" s="5">
        <f t="shared" si="51"/>
        <v>818</v>
      </c>
      <c r="I820">
        <f t="shared" si="49"/>
        <v>-2.852463861834007</v>
      </c>
      <c r="J820">
        <f t="shared" si="50"/>
        <v>-5.5804773146366031</v>
      </c>
      <c r="K820" s="5">
        <f t="shared" si="48"/>
        <v>6.2672383983890967</v>
      </c>
    </row>
    <row r="821" spans="8:11" x14ac:dyDescent="0.25">
      <c r="H821" s="5">
        <f t="shared" si="51"/>
        <v>819</v>
      </c>
      <c r="I821">
        <f t="shared" si="49"/>
        <v>-2.7633243661517177</v>
      </c>
      <c r="J821">
        <f t="shared" si="50"/>
        <v>-5.4060873985541775</v>
      </c>
      <c r="K821" s="5">
        <f t="shared" si="48"/>
        <v>6.0713871984394201</v>
      </c>
    </row>
    <row r="822" spans="8:11" x14ac:dyDescent="0.25">
      <c r="H822" s="5">
        <f t="shared" si="51"/>
        <v>820</v>
      </c>
      <c r="I822">
        <f t="shared" si="49"/>
        <v>-2.6741848704693822</v>
      </c>
      <c r="J822">
        <f t="shared" si="50"/>
        <v>-5.2316974824718159</v>
      </c>
      <c r="K822" s="5">
        <f t="shared" si="48"/>
        <v>5.875535998489779</v>
      </c>
    </row>
    <row r="823" spans="8:11" x14ac:dyDescent="0.25">
      <c r="H823" s="5">
        <f t="shared" si="51"/>
        <v>821</v>
      </c>
      <c r="I823">
        <f t="shared" si="49"/>
        <v>-2.585045374787093</v>
      </c>
      <c r="J823">
        <f t="shared" si="50"/>
        <v>-5.0573075663893903</v>
      </c>
      <c r="K823" s="5">
        <f t="shared" si="48"/>
        <v>5.6796847985401016</v>
      </c>
    </row>
    <row r="824" spans="8:11" x14ac:dyDescent="0.25">
      <c r="H824" s="5">
        <f t="shared" si="51"/>
        <v>822</v>
      </c>
      <c r="I824">
        <f t="shared" si="49"/>
        <v>-2.4959058791047539</v>
      </c>
      <c r="J824">
        <f t="shared" si="50"/>
        <v>-4.8829176503070286</v>
      </c>
      <c r="K824" s="5">
        <f t="shared" si="48"/>
        <v>5.4838335985904596</v>
      </c>
    </row>
    <row r="825" spans="8:11" x14ac:dyDescent="0.25">
      <c r="H825" s="5">
        <f t="shared" si="51"/>
        <v>823</v>
      </c>
      <c r="I825">
        <f t="shared" si="49"/>
        <v>-2.4067663834224646</v>
      </c>
      <c r="J825">
        <f t="shared" si="50"/>
        <v>-4.708527734224603</v>
      </c>
      <c r="K825" s="5">
        <f t="shared" si="48"/>
        <v>5.287982398640783</v>
      </c>
    </row>
    <row r="826" spans="8:11" x14ac:dyDescent="0.25">
      <c r="H826" s="5">
        <f t="shared" si="51"/>
        <v>824</v>
      </c>
      <c r="I826">
        <f t="shared" si="49"/>
        <v>-2.3176268877401149</v>
      </c>
      <c r="J826">
        <f t="shared" si="50"/>
        <v>-4.5341378181422485</v>
      </c>
      <c r="K826" s="5">
        <f t="shared" si="48"/>
        <v>5.0921311986911419</v>
      </c>
    </row>
    <row r="827" spans="8:11" x14ac:dyDescent="0.25">
      <c r="H827" s="5">
        <f t="shared" si="51"/>
        <v>825</v>
      </c>
      <c r="I827">
        <f t="shared" si="49"/>
        <v>-2.2284873920578256</v>
      </c>
      <c r="J827">
        <f t="shared" si="50"/>
        <v>-4.3597479020598229</v>
      </c>
      <c r="K827" s="5">
        <f t="shared" si="48"/>
        <v>4.8962799987414645</v>
      </c>
    </row>
    <row r="828" spans="8:11" x14ac:dyDescent="0.25">
      <c r="H828" s="5">
        <f t="shared" si="51"/>
        <v>826</v>
      </c>
      <c r="I828">
        <f t="shared" si="49"/>
        <v>-2.1393478963754866</v>
      </c>
      <c r="J828">
        <f t="shared" si="50"/>
        <v>-4.1853579859774683</v>
      </c>
      <c r="K828" s="5">
        <f t="shared" si="48"/>
        <v>4.7004287987918287</v>
      </c>
    </row>
    <row r="829" spans="8:11" x14ac:dyDescent="0.25">
      <c r="H829" s="5">
        <f t="shared" si="51"/>
        <v>827</v>
      </c>
      <c r="I829">
        <f t="shared" si="49"/>
        <v>-2.0502084006931973</v>
      </c>
      <c r="J829">
        <f t="shared" si="50"/>
        <v>-4.0109680698950427</v>
      </c>
      <c r="K829" s="5">
        <f t="shared" si="48"/>
        <v>4.5045775988421513</v>
      </c>
    </row>
    <row r="830" spans="8:11" x14ac:dyDescent="0.25">
      <c r="H830" s="5">
        <f t="shared" si="51"/>
        <v>828</v>
      </c>
      <c r="I830">
        <f t="shared" si="49"/>
        <v>-1.9610689050108618</v>
      </c>
      <c r="J830">
        <f t="shared" si="50"/>
        <v>-3.836578153812674</v>
      </c>
      <c r="K830" s="5">
        <f t="shared" si="48"/>
        <v>4.308726398892504</v>
      </c>
    </row>
    <row r="831" spans="8:11" x14ac:dyDescent="0.25">
      <c r="H831" s="5">
        <f t="shared" si="51"/>
        <v>829</v>
      </c>
      <c r="I831">
        <f t="shared" si="49"/>
        <v>-1.8719294093285725</v>
      </c>
      <c r="J831">
        <f t="shared" si="50"/>
        <v>-3.6621882377302484</v>
      </c>
      <c r="K831" s="5">
        <f t="shared" si="48"/>
        <v>4.1128751989428274</v>
      </c>
    </row>
    <row r="832" spans="8:11" x14ac:dyDescent="0.25">
      <c r="H832" s="5">
        <f t="shared" si="51"/>
        <v>830</v>
      </c>
      <c r="I832">
        <f t="shared" si="49"/>
        <v>-1.7827899136462619</v>
      </c>
      <c r="J832">
        <f t="shared" si="50"/>
        <v>-3.4877983216478725</v>
      </c>
      <c r="K832" s="5">
        <f t="shared" si="48"/>
        <v>3.917023998993185</v>
      </c>
    </row>
    <row r="833" spans="8:11" x14ac:dyDescent="0.25">
      <c r="H833" s="5">
        <f t="shared" si="51"/>
        <v>831</v>
      </c>
      <c r="I833">
        <f t="shared" si="49"/>
        <v>-1.6936504179639726</v>
      </c>
      <c r="J833">
        <f t="shared" si="50"/>
        <v>-3.313408405565454</v>
      </c>
      <c r="K833" s="5">
        <f t="shared" si="48"/>
        <v>3.7211727990435142</v>
      </c>
    </row>
    <row r="834" spans="8:11" x14ac:dyDescent="0.25">
      <c r="H834" s="5">
        <f t="shared" si="51"/>
        <v>832</v>
      </c>
      <c r="I834">
        <f t="shared" si="49"/>
        <v>-1.6045109222816194</v>
      </c>
      <c r="J834">
        <f t="shared" si="50"/>
        <v>-3.1390184894830995</v>
      </c>
      <c r="K834" s="5">
        <f t="shared" ref="K834:K897" si="52">SQRT((I834^2)+(J834^2))</f>
        <v>3.5253215990938718</v>
      </c>
    </row>
    <row r="835" spans="8:11" x14ac:dyDescent="0.25">
      <c r="H835" s="5">
        <f t="shared" si="51"/>
        <v>833</v>
      </c>
      <c r="I835">
        <f t="shared" ref="I835:I898" si="53">D$29*($H835/1000)+D$18*(($H835/1000)-($D$7/1000))*(($H835/1000)&gt;($D$7/1000))+D$19*(($H835/1000)-($D$8/1000))*(($H835/1000)&gt;($D$8/1000))+D$20*(($H835/1000)-($D$9/1000))*(($H835/1000)&gt;($D$9/1000))+D$21*(($H835/1000)-($D$10/1000))*(($H835/1000)&gt;($D$10/1000))</f>
        <v>-1.5153714265993479</v>
      </c>
      <c r="J835">
        <f t="shared" ref="J835:J898" si="54">E$29*($H835/1000)+E$18*(($H835/1000)-($D$7/1000))*(($H835/1000)&gt;($D$7/1000))+E$19*(($H835/1000)-($D$8/1000))*(($H835/1000)&gt;($D$8/1000))+E$20*(($H835/1000)-($D$9/1000))*(($H835/1000)&gt;($D$9/1000))+E$21*(($H835/1000)-($D$10/1000))*(($H835/1000)&gt;($D$10/1000))</f>
        <v>-2.9646285734006739</v>
      </c>
      <c r="K835" s="5">
        <f t="shared" si="52"/>
        <v>3.3294703991442027</v>
      </c>
    </row>
    <row r="836" spans="8:11" x14ac:dyDescent="0.25">
      <c r="H836" s="5">
        <f t="shared" ref="H836:H899" si="55">IF((ROW(A834)*$G$2)&lt;=$D$5, ROW(A834)*$G$2,NA())</f>
        <v>834</v>
      </c>
      <c r="I836">
        <f t="shared" si="53"/>
        <v>-1.4262319309169946</v>
      </c>
      <c r="J836">
        <f t="shared" si="54"/>
        <v>-2.7902386573183051</v>
      </c>
      <c r="K836" s="5">
        <f t="shared" si="52"/>
        <v>3.1336191991945475</v>
      </c>
    </row>
    <row r="837" spans="8:11" x14ac:dyDescent="0.25">
      <c r="H837" s="5">
        <f t="shared" si="55"/>
        <v>835</v>
      </c>
      <c r="I837">
        <f t="shared" si="53"/>
        <v>-1.3370924352347053</v>
      </c>
      <c r="J837">
        <f t="shared" si="54"/>
        <v>-2.6158487412358937</v>
      </c>
      <c r="K837" s="5">
        <f t="shared" si="52"/>
        <v>2.9377679992448833</v>
      </c>
    </row>
    <row r="838" spans="8:11" x14ac:dyDescent="0.25">
      <c r="H838" s="5">
        <f t="shared" si="55"/>
        <v>836</v>
      </c>
      <c r="I838">
        <f t="shared" si="53"/>
        <v>-1.2479529395523663</v>
      </c>
      <c r="J838">
        <f t="shared" si="54"/>
        <v>-2.441458825153525</v>
      </c>
      <c r="K838" s="5">
        <f t="shared" si="52"/>
        <v>2.7419167992952342</v>
      </c>
    </row>
    <row r="839" spans="8:11" x14ac:dyDescent="0.25">
      <c r="H839" s="5">
        <f t="shared" si="55"/>
        <v>837</v>
      </c>
      <c r="I839">
        <f t="shared" si="53"/>
        <v>-1.1588134438700806</v>
      </c>
      <c r="J839">
        <f t="shared" si="54"/>
        <v>-2.2670689090711065</v>
      </c>
      <c r="K839" s="5">
        <f t="shared" si="52"/>
        <v>2.5460655993455652</v>
      </c>
    </row>
    <row r="840" spans="8:11" x14ac:dyDescent="0.25">
      <c r="H840" s="5">
        <f t="shared" si="55"/>
        <v>838</v>
      </c>
      <c r="I840">
        <f t="shared" si="53"/>
        <v>-1.0696739481877415</v>
      </c>
      <c r="J840">
        <f t="shared" si="54"/>
        <v>-2.0926789929887306</v>
      </c>
      <c r="K840" s="5">
        <f t="shared" si="52"/>
        <v>2.3502143993959104</v>
      </c>
    </row>
    <row r="841" spans="8:11" x14ac:dyDescent="0.25">
      <c r="H841" s="5">
        <f t="shared" si="55"/>
        <v>839</v>
      </c>
      <c r="I841">
        <f t="shared" si="53"/>
        <v>-0.98053445250545224</v>
      </c>
      <c r="J841">
        <f t="shared" si="54"/>
        <v>-1.9182890769063192</v>
      </c>
      <c r="K841" s="5">
        <f t="shared" si="52"/>
        <v>2.1543631994462462</v>
      </c>
    </row>
    <row r="842" spans="8:11" x14ac:dyDescent="0.25">
      <c r="H842" s="5">
        <f t="shared" si="55"/>
        <v>840</v>
      </c>
      <c r="I842">
        <f t="shared" si="53"/>
        <v>-0.8913949568231132</v>
      </c>
      <c r="J842">
        <f t="shared" si="54"/>
        <v>-1.7438991608239434</v>
      </c>
      <c r="K842" s="5">
        <f t="shared" si="52"/>
        <v>1.9585119994965907</v>
      </c>
    </row>
    <row r="843" spans="8:11" x14ac:dyDescent="0.25">
      <c r="H843" s="5">
        <f t="shared" si="55"/>
        <v>841</v>
      </c>
      <c r="I843">
        <f t="shared" si="53"/>
        <v>-0.80225546114082746</v>
      </c>
      <c r="J843">
        <f t="shared" si="54"/>
        <v>-1.5695092447415107</v>
      </c>
      <c r="K843" s="5">
        <f t="shared" si="52"/>
        <v>1.762660799546909</v>
      </c>
    </row>
    <row r="844" spans="8:11" x14ac:dyDescent="0.25">
      <c r="H844" s="5">
        <f t="shared" si="55"/>
        <v>842</v>
      </c>
      <c r="I844">
        <f t="shared" si="53"/>
        <v>-0.71311596545850264</v>
      </c>
      <c r="J844">
        <f t="shared" si="54"/>
        <v>-1.3951193286591703</v>
      </c>
      <c r="K844" s="5">
        <f t="shared" si="52"/>
        <v>1.5668095995972919</v>
      </c>
    </row>
    <row r="845" spans="8:11" x14ac:dyDescent="0.25">
      <c r="H845" s="5">
        <f t="shared" si="55"/>
        <v>843</v>
      </c>
      <c r="I845">
        <f t="shared" si="53"/>
        <v>-0.62397646977621335</v>
      </c>
      <c r="J845">
        <f t="shared" si="54"/>
        <v>-1.2207294125767447</v>
      </c>
      <c r="K845" s="5">
        <f t="shared" si="52"/>
        <v>1.3709583996476151</v>
      </c>
    </row>
    <row r="846" spans="8:11" x14ac:dyDescent="0.25">
      <c r="H846" s="5">
        <f t="shared" si="55"/>
        <v>844</v>
      </c>
      <c r="I846">
        <f t="shared" si="53"/>
        <v>-0.53483697409387432</v>
      </c>
      <c r="J846">
        <f t="shared" si="54"/>
        <v>-1.046339496494376</v>
      </c>
      <c r="K846" s="5">
        <f t="shared" si="52"/>
        <v>1.1751071996979661</v>
      </c>
    </row>
    <row r="847" spans="8:11" x14ac:dyDescent="0.25">
      <c r="H847" s="5">
        <f t="shared" si="55"/>
        <v>845</v>
      </c>
      <c r="I847">
        <f t="shared" si="53"/>
        <v>-0.44569747841158858</v>
      </c>
      <c r="J847">
        <f t="shared" si="54"/>
        <v>-0.87194958041195036</v>
      </c>
      <c r="K847" s="5">
        <f t="shared" si="52"/>
        <v>0.97925599974829092</v>
      </c>
    </row>
    <row r="848" spans="8:11" x14ac:dyDescent="0.25">
      <c r="H848" s="5">
        <f t="shared" si="55"/>
        <v>846</v>
      </c>
      <c r="I848">
        <f t="shared" si="53"/>
        <v>-0.35655798272924955</v>
      </c>
      <c r="J848">
        <f t="shared" si="54"/>
        <v>-0.69755966432958871</v>
      </c>
      <c r="K848" s="5">
        <f t="shared" si="52"/>
        <v>0.7834047997986483</v>
      </c>
    </row>
    <row r="849" spans="8:11" x14ac:dyDescent="0.25">
      <c r="H849" s="5">
        <f t="shared" si="55"/>
        <v>847</v>
      </c>
      <c r="I849">
        <f t="shared" si="53"/>
        <v>-0.26741848704696025</v>
      </c>
      <c r="J849">
        <f t="shared" si="54"/>
        <v>-0.52316974824716311</v>
      </c>
      <c r="K849" s="5">
        <f t="shared" si="52"/>
        <v>0.58755359984897149</v>
      </c>
    </row>
    <row r="850" spans="8:11" x14ac:dyDescent="0.25">
      <c r="H850" s="5">
        <f t="shared" si="55"/>
        <v>848</v>
      </c>
      <c r="I850">
        <f t="shared" si="53"/>
        <v>-0.17827899136462122</v>
      </c>
      <c r="J850">
        <f t="shared" si="54"/>
        <v>-0.34877983216480146</v>
      </c>
      <c r="K850" s="5">
        <f t="shared" si="52"/>
        <v>0.39170239989932887</v>
      </c>
    </row>
    <row r="851" spans="8:11" x14ac:dyDescent="0.25">
      <c r="H851" s="5">
        <f t="shared" si="55"/>
        <v>849</v>
      </c>
      <c r="I851">
        <f t="shared" si="53"/>
        <v>-8.9139495682331926E-2</v>
      </c>
      <c r="J851">
        <f t="shared" si="54"/>
        <v>-0.17438991608237586</v>
      </c>
      <c r="K851" s="5">
        <f t="shared" si="52"/>
        <v>0.195851199949652</v>
      </c>
    </row>
    <row r="852" spans="8:11" x14ac:dyDescent="0.25">
      <c r="H852" s="5">
        <f t="shared" si="55"/>
        <v>850</v>
      </c>
      <c r="I852">
        <f t="shared" si="53"/>
        <v>3.5527136788005009E-15</v>
      </c>
      <c r="J852">
        <f t="shared" si="54"/>
        <v>0</v>
      </c>
      <c r="K852" s="5">
        <f t="shared" si="52"/>
        <v>3.5527136788005009E-15</v>
      </c>
    </row>
    <row r="853" spans="8:11" x14ac:dyDescent="0.25">
      <c r="H853" s="5" t="e">
        <f t="shared" si="55"/>
        <v>#N/A</v>
      </c>
      <c r="I853" t="e">
        <f t="shared" si="53"/>
        <v>#N/A</v>
      </c>
      <c r="J853" t="e">
        <f t="shared" si="54"/>
        <v>#N/A</v>
      </c>
      <c r="K853" s="5" t="e">
        <f t="shared" si="52"/>
        <v>#N/A</v>
      </c>
    </row>
    <row r="854" spans="8:11" x14ac:dyDescent="0.25">
      <c r="H854" s="5" t="e">
        <f t="shared" si="55"/>
        <v>#N/A</v>
      </c>
      <c r="I854" t="e">
        <f t="shared" si="53"/>
        <v>#N/A</v>
      </c>
      <c r="J854" t="e">
        <f t="shared" si="54"/>
        <v>#N/A</v>
      </c>
      <c r="K854" s="5" t="e">
        <f t="shared" si="52"/>
        <v>#N/A</v>
      </c>
    </row>
    <row r="855" spans="8:11" x14ac:dyDescent="0.25">
      <c r="H855" s="5" t="e">
        <f t="shared" si="55"/>
        <v>#N/A</v>
      </c>
      <c r="I855" t="e">
        <f t="shared" si="53"/>
        <v>#N/A</v>
      </c>
      <c r="J855" t="e">
        <f t="shared" si="54"/>
        <v>#N/A</v>
      </c>
      <c r="K855" s="5" t="e">
        <f t="shared" si="52"/>
        <v>#N/A</v>
      </c>
    </row>
    <row r="856" spans="8:11" x14ac:dyDescent="0.25">
      <c r="H856" s="5" t="e">
        <f t="shared" si="55"/>
        <v>#N/A</v>
      </c>
      <c r="I856" t="e">
        <f t="shared" si="53"/>
        <v>#N/A</v>
      </c>
      <c r="J856" t="e">
        <f t="shared" si="54"/>
        <v>#N/A</v>
      </c>
      <c r="K856" s="5" t="e">
        <f t="shared" si="52"/>
        <v>#N/A</v>
      </c>
    </row>
    <row r="857" spans="8:11" x14ac:dyDescent="0.25">
      <c r="H857" s="5" t="e">
        <f t="shared" si="55"/>
        <v>#N/A</v>
      </c>
      <c r="I857" t="e">
        <f t="shared" si="53"/>
        <v>#N/A</v>
      </c>
      <c r="J857" t="e">
        <f t="shared" si="54"/>
        <v>#N/A</v>
      </c>
      <c r="K857" s="5" t="e">
        <f t="shared" si="52"/>
        <v>#N/A</v>
      </c>
    </row>
    <row r="858" spans="8:11" x14ac:dyDescent="0.25">
      <c r="H858" s="5" t="e">
        <f t="shared" si="55"/>
        <v>#N/A</v>
      </c>
      <c r="I858" t="e">
        <f t="shared" si="53"/>
        <v>#N/A</v>
      </c>
      <c r="J858" t="e">
        <f t="shared" si="54"/>
        <v>#N/A</v>
      </c>
      <c r="K858" s="5" t="e">
        <f t="shared" si="52"/>
        <v>#N/A</v>
      </c>
    </row>
    <row r="859" spans="8:11" x14ac:dyDescent="0.25">
      <c r="H859" s="5" t="e">
        <f t="shared" si="55"/>
        <v>#N/A</v>
      </c>
      <c r="I859" t="e">
        <f t="shared" si="53"/>
        <v>#N/A</v>
      </c>
      <c r="J859" t="e">
        <f t="shared" si="54"/>
        <v>#N/A</v>
      </c>
      <c r="K859" s="5" t="e">
        <f t="shared" si="52"/>
        <v>#N/A</v>
      </c>
    </row>
    <row r="860" spans="8:11" x14ac:dyDescent="0.25">
      <c r="H860" s="5" t="e">
        <f t="shared" si="55"/>
        <v>#N/A</v>
      </c>
      <c r="I860" t="e">
        <f t="shared" si="53"/>
        <v>#N/A</v>
      </c>
      <c r="J860" t="e">
        <f t="shared" si="54"/>
        <v>#N/A</v>
      </c>
      <c r="K860" s="5" t="e">
        <f t="shared" si="52"/>
        <v>#N/A</v>
      </c>
    </row>
    <row r="861" spans="8:11" x14ac:dyDescent="0.25">
      <c r="H861" s="5" t="e">
        <f t="shared" si="55"/>
        <v>#N/A</v>
      </c>
      <c r="I861" t="e">
        <f t="shared" si="53"/>
        <v>#N/A</v>
      </c>
      <c r="J861" t="e">
        <f t="shared" si="54"/>
        <v>#N/A</v>
      </c>
      <c r="K861" s="5" t="e">
        <f t="shared" si="52"/>
        <v>#N/A</v>
      </c>
    </row>
    <row r="862" spans="8:11" x14ac:dyDescent="0.25">
      <c r="H862" s="5" t="e">
        <f t="shared" si="55"/>
        <v>#N/A</v>
      </c>
      <c r="I862" t="e">
        <f t="shared" si="53"/>
        <v>#N/A</v>
      </c>
      <c r="J862" t="e">
        <f t="shared" si="54"/>
        <v>#N/A</v>
      </c>
      <c r="K862" s="5" t="e">
        <f t="shared" si="52"/>
        <v>#N/A</v>
      </c>
    </row>
    <row r="863" spans="8:11" x14ac:dyDescent="0.25">
      <c r="H863" s="5" t="e">
        <f t="shared" si="55"/>
        <v>#N/A</v>
      </c>
      <c r="I863" t="e">
        <f t="shared" si="53"/>
        <v>#N/A</v>
      </c>
      <c r="J863" t="e">
        <f t="shared" si="54"/>
        <v>#N/A</v>
      </c>
      <c r="K863" s="5" t="e">
        <f t="shared" si="52"/>
        <v>#N/A</v>
      </c>
    </row>
    <row r="864" spans="8:11" x14ac:dyDescent="0.25">
      <c r="H864" s="5" t="e">
        <f t="shared" si="55"/>
        <v>#N/A</v>
      </c>
      <c r="I864" t="e">
        <f t="shared" si="53"/>
        <v>#N/A</v>
      </c>
      <c r="J864" t="e">
        <f t="shared" si="54"/>
        <v>#N/A</v>
      </c>
      <c r="K864" s="5" t="e">
        <f t="shared" si="52"/>
        <v>#N/A</v>
      </c>
    </row>
    <row r="865" spans="8:11" x14ac:dyDescent="0.25">
      <c r="H865" s="5" t="e">
        <f t="shared" si="55"/>
        <v>#N/A</v>
      </c>
      <c r="I865" t="e">
        <f t="shared" si="53"/>
        <v>#N/A</v>
      </c>
      <c r="J865" t="e">
        <f t="shared" si="54"/>
        <v>#N/A</v>
      </c>
      <c r="K865" s="5" t="e">
        <f t="shared" si="52"/>
        <v>#N/A</v>
      </c>
    </row>
    <row r="866" spans="8:11" x14ac:dyDescent="0.25">
      <c r="H866" s="5" t="e">
        <f t="shared" si="55"/>
        <v>#N/A</v>
      </c>
      <c r="I866" t="e">
        <f t="shared" si="53"/>
        <v>#N/A</v>
      </c>
      <c r="J866" t="e">
        <f t="shared" si="54"/>
        <v>#N/A</v>
      </c>
      <c r="K866" s="5" t="e">
        <f t="shared" si="52"/>
        <v>#N/A</v>
      </c>
    </row>
    <row r="867" spans="8:11" x14ac:dyDescent="0.25">
      <c r="H867" s="5" t="e">
        <f t="shared" si="55"/>
        <v>#N/A</v>
      </c>
      <c r="I867" t="e">
        <f t="shared" si="53"/>
        <v>#N/A</v>
      </c>
      <c r="J867" t="e">
        <f t="shared" si="54"/>
        <v>#N/A</v>
      </c>
      <c r="K867" s="5" t="e">
        <f t="shared" si="52"/>
        <v>#N/A</v>
      </c>
    </row>
    <row r="868" spans="8:11" x14ac:dyDescent="0.25">
      <c r="H868" s="5" t="e">
        <f t="shared" si="55"/>
        <v>#N/A</v>
      </c>
      <c r="I868" t="e">
        <f t="shared" si="53"/>
        <v>#N/A</v>
      </c>
      <c r="J868" t="e">
        <f t="shared" si="54"/>
        <v>#N/A</v>
      </c>
      <c r="K868" s="5" t="e">
        <f t="shared" si="52"/>
        <v>#N/A</v>
      </c>
    </row>
    <row r="869" spans="8:11" x14ac:dyDescent="0.25">
      <c r="H869" s="5" t="e">
        <f t="shared" si="55"/>
        <v>#N/A</v>
      </c>
      <c r="I869" t="e">
        <f t="shared" si="53"/>
        <v>#N/A</v>
      </c>
      <c r="J869" t="e">
        <f t="shared" si="54"/>
        <v>#N/A</v>
      </c>
      <c r="K869" s="5" t="e">
        <f t="shared" si="52"/>
        <v>#N/A</v>
      </c>
    </row>
    <row r="870" spans="8:11" x14ac:dyDescent="0.25">
      <c r="H870" s="5" t="e">
        <f t="shared" si="55"/>
        <v>#N/A</v>
      </c>
      <c r="I870" t="e">
        <f t="shared" si="53"/>
        <v>#N/A</v>
      </c>
      <c r="J870" t="e">
        <f t="shared" si="54"/>
        <v>#N/A</v>
      </c>
      <c r="K870" s="5" t="e">
        <f t="shared" si="52"/>
        <v>#N/A</v>
      </c>
    </row>
    <row r="871" spans="8:11" x14ac:dyDescent="0.25">
      <c r="H871" s="5" t="e">
        <f t="shared" si="55"/>
        <v>#N/A</v>
      </c>
      <c r="I871" t="e">
        <f t="shared" si="53"/>
        <v>#N/A</v>
      </c>
      <c r="J871" t="e">
        <f t="shared" si="54"/>
        <v>#N/A</v>
      </c>
      <c r="K871" s="5" t="e">
        <f t="shared" si="52"/>
        <v>#N/A</v>
      </c>
    </row>
    <row r="872" spans="8:11" x14ac:dyDescent="0.25">
      <c r="H872" s="5" t="e">
        <f t="shared" si="55"/>
        <v>#N/A</v>
      </c>
      <c r="I872" t="e">
        <f t="shared" si="53"/>
        <v>#N/A</v>
      </c>
      <c r="J872" t="e">
        <f t="shared" si="54"/>
        <v>#N/A</v>
      </c>
      <c r="K872" s="5" t="e">
        <f t="shared" si="52"/>
        <v>#N/A</v>
      </c>
    </row>
    <row r="873" spans="8:11" x14ac:dyDescent="0.25">
      <c r="H873" s="5" t="e">
        <f t="shared" si="55"/>
        <v>#N/A</v>
      </c>
      <c r="I873" t="e">
        <f t="shared" si="53"/>
        <v>#N/A</v>
      </c>
      <c r="J873" t="e">
        <f t="shared" si="54"/>
        <v>#N/A</v>
      </c>
      <c r="K873" s="5" t="e">
        <f t="shared" si="52"/>
        <v>#N/A</v>
      </c>
    </row>
    <row r="874" spans="8:11" x14ac:dyDescent="0.25">
      <c r="H874" s="5" t="e">
        <f t="shared" si="55"/>
        <v>#N/A</v>
      </c>
      <c r="I874" t="e">
        <f t="shared" si="53"/>
        <v>#N/A</v>
      </c>
      <c r="J874" t="e">
        <f t="shared" si="54"/>
        <v>#N/A</v>
      </c>
      <c r="K874" s="5" t="e">
        <f t="shared" si="52"/>
        <v>#N/A</v>
      </c>
    </row>
    <row r="875" spans="8:11" x14ac:dyDescent="0.25">
      <c r="H875" s="5" t="e">
        <f t="shared" si="55"/>
        <v>#N/A</v>
      </c>
      <c r="I875" t="e">
        <f t="shared" si="53"/>
        <v>#N/A</v>
      </c>
      <c r="J875" t="e">
        <f t="shared" si="54"/>
        <v>#N/A</v>
      </c>
      <c r="K875" s="5" t="e">
        <f t="shared" si="52"/>
        <v>#N/A</v>
      </c>
    </row>
    <row r="876" spans="8:11" x14ac:dyDescent="0.25">
      <c r="H876" s="5" t="e">
        <f t="shared" si="55"/>
        <v>#N/A</v>
      </c>
      <c r="I876" t="e">
        <f t="shared" si="53"/>
        <v>#N/A</v>
      </c>
      <c r="J876" t="e">
        <f t="shared" si="54"/>
        <v>#N/A</v>
      </c>
      <c r="K876" s="5" t="e">
        <f t="shared" si="52"/>
        <v>#N/A</v>
      </c>
    </row>
    <row r="877" spans="8:11" x14ac:dyDescent="0.25">
      <c r="H877" s="5" t="e">
        <f t="shared" si="55"/>
        <v>#N/A</v>
      </c>
      <c r="I877" t="e">
        <f t="shared" si="53"/>
        <v>#N/A</v>
      </c>
      <c r="J877" t="e">
        <f t="shared" si="54"/>
        <v>#N/A</v>
      </c>
      <c r="K877" s="5" t="e">
        <f t="shared" si="52"/>
        <v>#N/A</v>
      </c>
    </row>
    <row r="878" spans="8:11" x14ac:dyDescent="0.25">
      <c r="H878" s="5" t="e">
        <f t="shared" si="55"/>
        <v>#N/A</v>
      </c>
      <c r="I878" t="e">
        <f t="shared" si="53"/>
        <v>#N/A</v>
      </c>
      <c r="J878" t="e">
        <f t="shared" si="54"/>
        <v>#N/A</v>
      </c>
      <c r="K878" s="5" t="e">
        <f t="shared" si="52"/>
        <v>#N/A</v>
      </c>
    </row>
    <row r="879" spans="8:11" x14ac:dyDescent="0.25">
      <c r="H879" s="5" t="e">
        <f t="shared" si="55"/>
        <v>#N/A</v>
      </c>
      <c r="I879" t="e">
        <f t="shared" si="53"/>
        <v>#N/A</v>
      </c>
      <c r="J879" t="e">
        <f t="shared" si="54"/>
        <v>#N/A</v>
      </c>
      <c r="K879" s="5" t="e">
        <f t="shared" si="52"/>
        <v>#N/A</v>
      </c>
    </row>
    <row r="880" spans="8:11" x14ac:dyDescent="0.25">
      <c r="H880" s="5" t="e">
        <f t="shared" si="55"/>
        <v>#N/A</v>
      </c>
      <c r="I880" t="e">
        <f t="shared" si="53"/>
        <v>#N/A</v>
      </c>
      <c r="J880" t="e">
        <f t="shared" si="54"/>
        <v>#N/A</v>
      </c>
      <c r="K880" s="5" t="e">
        <f t="shared" si="52"/>
        <v>#N/A</v>
      </c>
    </row>
    <row r="881" spans="8:11" x14ac:dyDescent="0.25">
      <c r="H881" s="5" t="e">
        <f t="shared" si="55"/>
        <v>#N/A</v>
      </c>
      <c r="I881" t="e">
        <f t="shared" si="53"/>
        <v>#N/A</v>
      </c>
      <c r="J881" t="e">
        <f t="shared" si="54"/>
        <v>#N/A</v>
      </c>
      <c r="K881" s="5" t="e">
        <f t="shared" si="52"/>
        <v>#N/A</v>
      </c>
    </row>
    <row r="882" spans="8:11" x14ac:dyDescent="0.25">
      <c r="H882" s="5" t="e">
        <f t="shared" si="55"/>
        <v>#N/A</v>
      </c>
      <c r="I882" t="e">
        <f t="shared" si="53"/>
        <v>#N/A</v>
      </c>
      <c r="J882" t="e">
        <f t="shared" si="54"/>
        <v>#N/A</v>
      </c>
      <c r="K882" s="5" t="e">
        <f t="shared" si="52"/>
        <v>#N/A</v>
      </c>
    </row>
    <row r="883" spans="8:11" x14ac:dyDescent="0.25">
      <c r="H883" s="5" t="e">
        <f t="shared" si="55"/>
        <v>#N/A</v>
      </c>
      <c r="I883" t="e">
        <f t="shared" si="53"/>
        <v>#N/A</v>
      </c>
      <c r="J883" t="e">
        <f t="shared" si="54"/>
        <v>#N/A</v>
      </c>
      <c r="K883" s="5" t="e">
        <f t="shared" si="52"/>
        <v>#N/A</v>
      </c>
    </row>
    <row r="884" spans="8:11" x14ac:dyDescent="0.25">
      <c r="H884" s="5" t="e">
        <f t="shared" si="55"/>
        <v>#N/A</v>
      </c>
      <c r="I884" t="e">
        <f t="shared" si="53"/>
        <v>#N/A</v>
      </c>
      <c r="J884" t="e">
        <f t="shared" si="54"/>
        <v>#N/A</v>
      </c>
      <c r="K884" s="5" t="e">
        <f t="shared" si="52"/>
        <v>#N/A</v>
      </c>
    </row>
    <row r="885" spans="8:11" x14ac:dyDescent="0.25">
      <c r="H885" s="5" t="e">
        <f t="shared" si="55"/>
        <v>#N/A</v>
      </c>
      <c r="I885" t="e">
        <f t="shared" si="53"/>
        <v>#N/A</v>
      </c>
      <c r="J885" t="e">
        <f t="shared" si="54"/>
        <v>#N/A</v>
      </c>
      <c r="K885" s="5" t="e">
        <f t="shared" si="52"/>
        <v>#N/A</v>
      </c>
    </row>
    <row r="886" spans="8:11" x14ac:dyDescent="0.25">
      <c r="H886" s="5" t="e">
        <f t="shared" si="55"/>
        <v>#N/A</v>
      </c>
      <c r="I886" t="e">
        <f t="shared" si="53"/>
        <v>#N/A</v>
      </c>
      <c r="J886" t="e">
        <f t="shared" si="54"/>
        <v>#N/A</v>
      </c>
      <c r="K886" s="5" t="e">
        <f t="shared" si="52"/>
        <v>#N/A</v>
      </c>
    </row>
    <row r="887" spans="8:11" x14ac:dyDescent="0.25">
      <c r="H887" s="5" t="e">
        <f t="shared" si="55"/>
        <v>#N/A</v>
      </c>
      <c r="I887" t="e">
        <f t="shared" si="53"/>
        <v>#N/A</v>
      </c>
      <c r="J887" t="e">
        <f t="shared" si="54"/>
        <v>#N/A</v>
      </c>
      <c r="K887" s="5" t="e">
        <f t="shared" si="52"/>
        <v>#N/A</v>
      </c>
    </row>
    <row r="888" spans="8:11" x14ac:dyDescent="0.25">
      <c r="H888" s="5" t="e">
        <f t="shared" si="55"/>
        <v>#N/A</v>
      </c>
      <c r="I888" t="e">
        <f t="shared" si="53"/>
        <v>#N/A</v>
      </c>
      <c r="J888" t="e">
        <f t="shared" si="54"/>
        <v>#N/A</v>
      </c>
      <c r="K888" s="5" t="e">
        <f t="shared" si="52"/>
        <v>#N/A</v>
      </c>
    </row>
    <row r="889" spans="8:11" x14ac:dyDescent="0.25">
      <c r="H889" s="5" t="e">
        <f t="shared" si="55"/>
        <v>#N/A</v>
      </c>
      <c r="I889" t="e">
        <f t="shared" si="53"/>
        <v>#N/A</v>
      </c>
      <c r="J889" t="e">
        <f t="shared" si="54"/>
        <v>#N/A</v>
      </c>
      <c r="K889" s="5" t="e">
        <f t="shared" si="52"/>
        <v>#N/A</v>
      </c>
    </row>
    <row r="890" spans="8:11" x14ac:dyDescent="0.25">
      <c r="H890" s="5" t="e">
        <f t="shared" si="55"/>
        <v>#N/A</v>
      </c>
      <c r="I890" t="e">
        <f t="shared" si="53"/>
        <v>#N/A</v>
      </c>
      <c r="J890" t="e">
        <f t="shared" si="54"/>
        <v>#N/A</v>
      </c>
      <c r="K890" s="5" t="e">
        <f t="shared" si="52"/>
        <v>#N/A</v>
      </c>
    </row>
    <row r="891" spans="8:11" x14ac:dyDescent="0.25">
      <c r="H891" s="5" t="e">
        <f t="shared" si="55"/>
        <v>#N/A</v>
      </c>
      <c r="I891" t="e">
        <f t="shared" si="53"/>
        <v>#N/A</v>
      </c>
      <c r="J891" t="e">
        <f t="shared" si="54"/>
        <v>#N/A</v>
      </c>
      <c r="K891" s="5" t="e">
        <f t="shared" si="52"/>
        <v>#N/A</v>
      </c>
    </row>
    <row r="892" spans="8:11" x14ac:dyDescent="0.25">
      <c r="H892" s="5" t="e">
        <f t="shared" si="55"/>
        <v>#N/A</v>
      </c>
      <c r="I892" t="e">
        <f t="shared" si="53"/>
        <v>#N/A</v>
      </c>
      <c r="J892" t="e">
        <f t="shared" si="54"/>
        <v>#N/A</v>
      </c>
      <c r="K892" s="5" t="e">
        <f t="shared" si="52"/>
        <v>#N/A</v>
      </c>
    </row>
    <row r="893" spans="8:11" x14ac:dyDescent="0.25">
      <c r="H893" s="5" t="e">
        <f t="shared" si="55"/>
        <v>#N/A</v>
      </c>
      <c r="I893" t="e">
        <f t="shared" si="53"/>
        <v>#N/A</v>
      </c>
      <c r="J893" t="e">
        <f t="shared" si="54"/>
        <v>#N/A</v>
      </c>
      <c r="K893" s="5" t="e">
        <f t="shared" si="52"/>
        <v>#N/A</v>
      </c>
    </row>
    <row r="894" spans="8:11" x14ac:dyDescent="0.25">
      <c r="H894" s="5" t="e">
        <f t="shared" si="55"/>
        <v>#N/A</v>
      </c>
      <c r="I894" t="e">
        <f t="shared" si="53"/>
        <v>#N/A</v>
      </c>
      <c r="J894" t="e">
        <f t="shared" si="54"/>
        <v>#N/A</v>
      </c>
      <c r="K894" s="5" t="e">
        <f t="shared" si="52"/>
        <v>#N/A</v>
      </c>
    </row>
    <row r="895" spans="8:11" x14ac:dyDescent="0.25">
      <c r="H895" s="5" t="e">
        <f t="shared" si="55"/>
        <v>#N/A</v>
      </c>
      <c r="I895" t="e">
        <f t="shared" si="53"/>
        <v>#N/A</v>
      </c>
      <c r="J895" t="e">
        <f t="shared" si="54"/>
        <v>#N/A</v>
      </c>
      <c r="K895" s="5" t="e">
        <f t="shared" si="52"/>
        <v>#N/A</v>
      </c>
    </row>
    <row r="896" spans="8:11" x14ac:dyDescent="0.25">
      <c r="H896" s="5" t="e">
        <f t="shared" si="55"/>
        <v>#N/A</v>
      </c>
      <c r="I896" t="e">
        <f t="shared" si="53"/>
        <v>#N/A</v>
      </c>
      <c r="J896" t="e">
        <f t="shared" si="54"/>
        <v>#N/A</v>
      </c>
      <c r="K896" s="5" t="e">
        <f t="shared" si="52"/>
        <v>#N/A</v>
      </c>
    </row>
    <row r="897" spans="8:11" x14ac:dyDescent="0.25">
      <c r="H897" s="5" t="e">
        <f t="shared" si="55"/>
        <v>#N/A</v>
      </c>
      <c r="I897" t="e">
        <f t="shared" si="53"/>
        <v>#N/A</v>
      </c>
      <c r="J897" t="e">
        <f t="shared" si="54"/>
        <v>#N/A</v>
      </c>
      <c r="K897" s="5" t="e">
        <f t="shared" si="52"/>
        <v>#N/A</v>
      </c>
    </row>
    <row r="898" spans="8:11" x14ac:dyDescent="0.25">
      <c r="H898" s="5" t="e">
        <f t="shared" si="55"/>
        <v>#N/A</v>
      </c>
      <c r="I898" t="e">
        <f t="shared" si="53"/>
        <v>#N/A</v>
      </c>
      <c r="J898" t="e">
        <f t="shared" si="54"/>
        <v>#N/A</v>
      </c>
      <c r="K898" s="5" t="e">
        <f t="shared" ref="K898:K961" si="56">SQRT((I898^2)+(J898^2))</f>
        <v>#N/A</v>
      </c>
    </row>
    <row r="899" spans="8:11" x14ac:dyDescent="0.25">
      <c r="H899" s="5" t="e">
        <f t="shared" si="55"/>
        <v>#N/A</v>
      </c>
      <c r="I899" t="e">
        <f t="shared" ref="I899:I962" si="57">D$29*($H899/1000)+D$18*(($H899/1000)-($D$7/1000))*(($H899/1000)&gt;($D$7/1000))+D$19*(($H899/1000)-($D$8/1000))*(($H899/1000)&gt;($D$8/1000))+D$20*(($H899/1000)-($D$9/1000))*(($H899/1000)&gt;($D$9/1000))+D$21*(($H899/1000)-($D$10/1000))*(($H899/1000)&gt;($D$10/1000))</f>
        <v>#N/A</v>
      </c>
      <c r="J899" t="e">
        <f t="shared" ref="J899:J962" si="58">E$29*($H899/1000)+E$18*(($H899/1000)-($D$7/1000))*(($H899/1000)&gt;($D$7/1000))+E$19*(($H899/1000)-($D$8/1000))*(($H899/1000)&gt;($D$8/1000))+E$20*(($H899/1000)-($D$9/1000))*(($H899/1000)&gt;($D$9/1000))+E$21*(($H899/1000)-($D$10/1000))*(($H899/1000)&gt;($D$10/1000))</f>
        <v>#N/A</v>
      </c>
      <c r="K899" s="5" t="e">
        <f t="shared" si="56"/>
        <v>#N/A</v>
      </c>
    </row>
    <row r="900" spans="8:11" x14ac:dyDescent="0.25">
      <c r="H900" s="5" t="e">
        <f t="shared" ref="H900:H963" si="59">IF((ROW(A898)*$G$2)&lt;=$D$5, ROW(A898)*$G$2,NA())</f>
        <v>#N/A</v>
      </c>
      <c r="I900" t="e">
        <f t="shared" si="57"/>
        <v>#N/A</v>
      </c>
      <c r="J900" t="e">
        <f t="shared" si="58"/>
        <v>#N/A</v>
      </c>
      <c r="K900" s="5" t="e">
        <f t="shared" si="56"/>
        <v>#N/A</v>
      </c>
    </row>
    <row r="901" spans="8:11" x14ac:dyDescent="0.25">
      <c r="H901" s="5" t="e">
        <f t="shared" si="59"/>
        <v>#N/A</v>
      </c>
      <c r="I901" t="e">
        <f t="shared" si="57"/>
        <v>#N/A</v>
      </c>
      <c r="J901" t="e">
        <f t="shared" si="58"/>
        <v>#N/A</v>
      </c>
      <c r="K901" s="5" t="e">
        <f t="shared" si="56"/>
        <v>#N/A</v>
      </c>
    </row>
    <row r="902" spans="8:11" x14ac:dyDescent="0.25">
      <c r="H902" s="5" t="e">
        <f t="shared" si="59"/>
        <v>#N/A</v>
      </c>
      <c r="I902" t="e">
        <f t="shared" si="57"/>
        <v>#N/A</v>
      </c>
      <c r="J902" t="e">
        <f t="shared" si="58"/>
        <v>#N/A</v>
      </c>
      <c r="K902" s="5" t="e">
        <f t="shared" si="56"/>
        <v>#N/A</v>
      </c>
    </row>
    <row r="903" spans="8:11" x14ac:dyDescent="0.25">
      <c r="H903" s="5" t="e">
        <f t="shared" si="59"/>
        <v>#N/A</v>
      </c>
      <c r="I903" t="e">
        <f t="shared" si="57"/>
        <v>#N/A</v>
      </c>
      <c r="J903" t="e">
        <f t="shared" si="58"/>
        <v>#N/A</v>
      </c>
      <c r="K903" s="5" t="e">
        <f t="shared" si="56"/>
        <v>#N/A</v>
      </c>
    </row>
    <row r="904" spans="8:11" x14ac:dyDescent="0.25">
      <c r="H904" s="5" t="e">
        <f t="shared" si="59"/>
        <v>#N/A</v>
      </c>
      <c r="I904" t="e">
        <f t="shared" si="57"/>
        <v>#N/A</v>
      </c>
      <c r="J904" t="e">
        <f t="shared" si="58"/>
        <v>#N/A</v>
      </c>
      <c r="K904" s="5" t="e">
        <f t="shared" si="56"/>
        <v>#N/A</v>
      </c>
    </row>
    <row r="905" spans="8:11" x14ac:dyDescent="0.25">
      <c r="H905" s="5" t="e">
        <f t="shared" si="59"/>
        <v>#N/A</v>
      </c>
      <c r="I905" t="e">
        <f t="shared" si="57"/>
        <v>#N/A</v>
      </c>
      <c r="J905" t="e">
        <f t="shared" si="58"/>
        <v>#N/A</v>
      </c>
      <c r="K905" s="5" t="e">
        <f t="shared" si="56"/>
        <v>#N/A</v>
      </c>
    </row>
    <row r="906" spans="8:11" x14ac:dyDescent="0.25">
      <c r="H906" s="5" t="e">
        <f t="shared" si="59"/>
        <v>#N/A</v>
      </c>
      <c r="I906" t="e">
        <f t="shared" si="57"/>
        <v>#N/A</v>
      </c>
      <c r="J906" t="e">
        <f t="shared" si="58"/>
        <v>#N/A</v>
      </c>
      <c r="K906" s="5" t="e">
        <f t="shared" si="56"/>
        <v>#N/A</v>
      </c>
    </row>
    <row r="907" spans="8:11" x14ac:dyDescent="0.25">
      <c r="H907" s="5" t="e">
        <f t="shared" si="59"/>
        <v>#N/A</v>
      </c>
      <c r="I907" t="e">
        <f t="shared" si="57"/>
        <v>#N/A</v>
      </c>
      <c r="J907" t="e">
        <f t="shared" si="58"/>
        <v>#N/A</v>
      </c>
      <c r="K907" s="5" t="e">
        <f t="shared" si="56"/>
        <v>#N/A</v>
      </c>
    </row>
    <row r="908" spans="8:11" x14ac:dyDescent="0.25">
      <c r="H908" s="5" t="e">
        <f t="shared" si="59"/>
        <v>#N/A</v>
      </c>
      <c r="I908" t="e">
        <f t="shared" si="57"/>
        <v>#N/A</v>
      </c>
      <c r="J908" t="e">
        <f t="shared" si="58"/>
        <v>#N/A</v>
      </c>
      <c r="K908" s="5" t="e">
        <f t="shared" si="56"/>
        <v>#N/A</v>
      </c>
    </row>
    <row r="909" spans="8:11" x14ac:dyDescent="0.25">
      <c r="H909" s="5" t="e">
        <f t="shared" si="59"/>
        <v>#N/A</v>
      </c>
      <c r="I909" t="e">
        <f t="shared" si="57"/>
        <v>#N/A</v>
      </c>
      <c r="J909" t="e">
        <f t="shared" si="58"/>
        <v>#N/A</v>
      </c>
      <c r="K909" s="5" t="e">
        <f t="shared" si="56"/>
        <v>#N/A</v>
      </c>
    </row>
    <row r="910" spans="8:11" x14ac:dyDescent="0.25">
      <c r="H910" s="5" t="e">
        <f t="shared" si="59"/>
        <v>#N/A</v>
      </c>
      <c r="I910" t="e">
        <f t="shared" si="57"/>
        <v>#N/A</v>
      </c>
      <c r="J910" t="e">
        <f t="shared" si="58"/>
        <v>#N/A</v>
      </c>
      <c r="K910" s="5" t="e">
        <f t="shared" si="56"/>
        <v>#N/A</v>
      </c>
    </row>
    <row r="911" spans="8:11" x14ac:dyDescent="0.25">
      <c r="H911" s="5" t="e">
        <f t="shared" si="59"/>
        <v>#N/A</v>
      </c>
      <c r="I911" t="e">
        <f t="shared" si="57"/>
        <v>#N/A</v>
      </c>
      <c r="J911" t="e">
        <f t="shared" si="58"/>
        <v>#N/A</v>
      </c>
      <c r="K911" s="5" t="e">
        <f t="shared" si="56"/>
        <v>#N/A</v>
      </c>
    </row>
    <row r="912" spans="8:11" x14ac:dyDescent="0.25">
      <c r="H912" s="5" t="e">
        <f t="shared" si="59"/>
        <v>#N/A</v>
      </c>
      <c r="I912" t="e">
        <f t="shared" si="57"/>
        <v>#N/A</v>
      </c>
      <c r="J912" t="e">
        <f t="shared" si="58"/>
        <v>#N/A</v>
      </c>
      <c r="K912" s="5" t="e">
        <f t="shared" si="56"/>
        <v>#N/A</v>
      </c>
    </row>
    <row r="913" spans="8:11" x14ac:dyDescent="0.25">
      <c r="H913" s="5" t="e">
        <f t="shared" si="59"/>
        <v>#N/A</v>
      </c>
      <c r="I913" t="e">
        <f t="shared" si="57"/>
        <v>#N/A</v>
      </c>
      <c r="J913" t="e">
        <f t="shared" si="58"/>
        <v>#N/A</v>
      </c>
      <c r="K913" s="5" t="e">
        <f t="shared" si="56"/>
        <v>#N/A</v>
      </c>
    </row>
    <row r="914" spans="8:11" x14ac:dyDescent="0.25">
      <c r="H914" s="5" t="e">
        <f t="shared" si="59"/>
        <v>#N/A</v>
      </c>
      <c r="I914" t="e">
        <f t="shared" si="57"/>
        <v>#N/A</v>
      </c>
      <c r="J914" t="e">
        <f t="shared" si="58"/>
        <v>#N/A</v>
      </c>
      <c r="K914" s="5" t="e">
        <f t="shared" si="56"/>
        <v>#N/A</v>
      </c>
    </row>
    <row r="915" spans="8:11" x14ac:dyDescent="0.25">
      <c r="H915" s="5" t="e">
        <f t="shared" si="59"/>
        <v>#N/A</v>
      </c>
      <c r="I915" t="e">
        <f t="shared" si="57"/>
        <v>#N/A</v>
      </c>
      <c r="J915" t="e">
        <f t="shared" si="58"/>
        <v>#N/A</v>
      </c>
      <c r="K915" s="5" t="e">
        <f t="shared" si="56"/>
        <v>#N/A</v>
      </c>
    </row>
    <row r="916" spans="8:11" x14ac:dyDescent="0.25">
      <c r="H916" s="5" t="e">
        <f t="shared" si="59"/>
        <v>#N/A</v>
      </c>
      <c r="I916" t="e">
        <f t="shared" si="57"/>
        <v>#N/A</v>
      </c>
      <c r="J916" t="e">
        <f t="shared" si="58"/>
        <v>#N/A</v>
      </c>
      <c r="K916" s="5" t="e">
        <f t="shared" si="56"/>
        <v>#N/A</v>
      </c>
    </row>
    <row r="917" spans="8:11" x14ac:dyDescent="0.25">
      <c r="H917" s="5" t="e">
        <f t="shared" si="59"/>
        <v>#N/A</v>
      </c>
      <c r="I917" t="e">
        <f t="shared" si="57"/>
        <v>#N/A</v>
      </c>
      <c r="J917" t="e">
        <f t="shared" si="58"/>
        <v>#N/A</v>
      </c>
      <c r="K917" s="5" t="e">
        <f t="shared" si="56"/>
        <v>#N/A</v>
      </c>
    </row>
    <row r="918" spans="8:11" x14ac:dyDescent="0.25">
      <c r="H918" s="5" t="e">
        <f t="shared" si="59"/>
        <v>#N/A</v>
      </c>
      <c r="I918" t="e">
        <f t="shared" si="57"/>
        <v>#N/A</v>
      </c>
      <c r="J918" t="e">
        <f t="shared" si="58"/>
        <v>#N/A</v>
      </c>
      <c r="K918" s="5" t="e">
        <f t="shared" si="56"/>
        <v>#N/A</v>
      </c>
    </row>
    <row r="919" spans="8:11" x14ac:dyDescent="0.25">
      <c r="H919" s="5" t="e">
        <f t="shared" si="59"/>
        <v>#N/A</v>
      </c>
      <c r="I919" t="e">
        <f t="shared" si="57"/>
        <v>#N/A</v>
      </c>
      <c r="J919" t="e">
        <f t="shared" si="58"/>
        <v>#N/A</v>
      </c>
      <c r="K919" s="5" t="e">
        <f t="shared" si="56"/>
        <v>#N/A</v>
      </c>
    </row>
    <row r="920" spans="8:11" x14ac:dyDescent="0.25">
      <c r="H920" s="5" t="e">
        <f t="shared" si="59"/>
        <v>#N/A</v>
      </c>
      <c r="I920" t="e">
        <f t="shared" si="57"/>
        <v>#N/A</v>
      </c>
      <c r="J920" t="e">
        <f t="shared" si="58"/>
        <v>#N/A</v>
      </c>
      <c r="K920" s="5" t="e">
        <f t="shared" si="56"/>
        <v>#N/A</v>
      </c>
    </row>
    <row r="921" spans="8:11" x14ac:dyDescent="0.25">
      <c r="H921" s="5" t="e">
        <f t="shared" si="59"/>
        <v>#N/A</v>
      </c>
      <c r="I921" t="e">
        <f t="shared" si="57"/>
        <v>#N/A</v>
      </c>
      <c r="J921" t="e">
        <f t="shared" si="58"/>
        <v>#N/A</v>
      </c>
      <c r="K921" s="5" t="e">
        <f t="shared" si="56"/>
        <v>#N/A</v>
      </c>
    </row>
    <row r="922" spans="8:11" x14ac:dyDescent="0.25">
      <c r="H922" s="5" t="e">
        <f t="shared" si="59"/>
        <v>#N/A</v>
      </c>
      <c r="I922" t="e">
        <f t="shared" si="57"/>
        <v>#N/A</v>
      </c>
      <c r="J922" t="e">
        <f t="shared" si="58"/>
        <v>#N/A</v>
      </c>
      <c r="K922" s="5" t="e">
        <f t="shared" si="56"/>
        <v>#N/A</v>
      </c>
    </row>
    <row r="923" spans="8:11" x14ac:dyDescent="0.25">
      <c r="H923" s="5" t="e">
        <f t="shared" si="59"/>
        <v>#N/A</v>
      </c>
      <c r="I923" t="e">
        <f t="shared" si="57"/>
        <v>#N/A</v>
      </c>
      <c r="J923" t="e">
        <f t="shared" si="58"/>
        <v>#N/A</v>
      </c>
      <c r="K923" s="5" t="e">
        <f t="shared" si="56"/>
        <v>#N/A</v>
      </c>
    </row>
    <row r="924" spans="8:11" x14ac:dyDescent="0.25">
      <c r="H924" s="5" t="e">
        <f t="shared" si="59"/>
        <v>#N/A</v>
      </c>
      <c r="I924" t="e">
        <f t="shared" si="57"/>
        <v>#N/A</v>
      </c>
      <c r="J924" t="e">
        <f t="shared" si="58"/>
        <v>#N/A</v>
      </c>
      <c r="K924" s="5" t="e">
        <f t="shared" si="56"/>
        <v>#N/A</v>
      </c>
    </row>
    <row r="925" spans="8:11" x14ac:dyDescent="0.25">
      <c r="H925" s="5" t="e">
        <f t="shared" si="59"/>
        <v>#N/A</v>
      </c>
      <c r="I925" t="e">
        <f t="shared" si="57"/>
        <v>#N/A</v>
      </c>
      <c r="J925" t="e">
        <f t="shared" si="58"/>
        <v>#N/A</v>
      </c>
      <c r="K925" s="5" t="e">
        <f t="shared" si="56"/>
        <v>#N/A</v>
      </c>
    </row>
    <row r="926" spans="8:11" x14ac:dyDescent="0.25">
      <c r="H926" s="5" t="e">
        <f t="shared" si="59"/>
        <v>#N/A</v>
      </c>
      <c r="I926" t="e">
        <f t="shared" si="57"/>
        <v>#N/A</v>
      </c>
      <c r="J926" t="e">
        <f t="shared" si="58"/>
        <v>#N/A</v>
      </c>
      <c r="K926" s="5" t="e">
        <f t="shared" si="56"/>
        <v>#N/A</v>
      </c>
    </row>
    <row r="927" spans="8:11" x14ac:dyDescent="0.25">
      <c r="H927" s="5" t="e">
        <f t="shared" si="59"/>
        <v>#N/A</v>
      </c>
      <c r="I927" t="e">
        <f t="shared" si="57"/>
        <v>#N/A</v>
      </c>
      <c r="J927" t="e">
        <f t="shared" si="58"/>
        <v>#N/A</v>
      </c>
      <c r="K927" s="5" t="e">
        <f t="shared" si="56"/>
        <v>#N/A</v>
      </c>
    </row>
    <row r="928" spans="8:11" x14ac:dyDescent="0.25">
      <c r="H928" s="5" t="e">
        <f t="shared" si="59"/>
        <v>#N/A</v>
      </c>
      <c r="I928" t="e">
        <f t="shared" si="57"/>
        <v>#N/A</v>
      </c>
      <c r="J928" t="e">
        <f t="shared" si="58"/>
        <v>#N/A</v>
      </c>
      <c r="K928" s="5" t="e">
        <f t="shared" si="56"/>
        <v>#N/A</v>
      </c>
    </row>
    <row r="929" spans="8:11" x14ac:dyDescent="0.25">
      <c r="H929" s="5" t="e">
        <f t="shared" si="59"/>
        <v>#N/A</v>
      </c>
      <c r="I929" t="e">
        <f t="shared" si="57"/>
        <v>#N/A</v>
      </c>
      <c r="J929" t="e">
        <f t="shared" si="58"/>
        <v>#N/A</v>
      </c>
      <c r="K929" s="5" t="e">
        <f t="shared" si="56"/>
        <v>#N/A</v>
      </c>
    </row>
    <row r="930" spans="8:11" x14ac:dyDescent="0.25">
      <c r="H930" s="5" t="e">
        <f t="shared" si="59"/>
        <v>#N/A</v>
      </c>
      <c r="I930" t="e">
        <f t="shared" si="57"/>
        <v>#N/A</v>
      </c>
      <c r="J930" t="e">
        <f t="shared" si="58"/>
        <v>#N/A</v>
      </c>
      <c r="K930" s="5" t="e">
        <f t="shared" si="56"/>
        <v>#N/A</v>
      </c>
    </row>
    <row r="931" spans="8:11" x14ac:dyDescent="0.25">
      <c r="H931" s="5" t="e">
        <f t="shared" si="59"/>
        <v>#N/A</v>
      </c>
      <c r="I931" t="e">
        <f t="shared" si="57"/>
        <v>#N/A</v>
      </c>
      <c r="J931" t="e">
        <f t="shared" si="58"/>
        <v>#N/A</v>
      </c>
      <c r="K931" s="5" t="e">
        <f t="shared" si="56"/>
        <v>#N/A</v>
      </c>
    </row>
    <row r="932" spans="8:11" x14ac:dyDescent="0.25">
      <c r="H932" s="5" t="e">
        <f t="shared" si="59"/>
        <v>#N/A</v>
      </c>
      <c r="I932" t="e">
        <f t="shared" si="57"/>
        <v>#N/A</v>
      </c>
      <c r="J932" t="e">
        <f t="shared" si="58"/>
        <v>#N/A</v>
      </c>
      <c r="K932" s="5" t="e">
        <f t="shared" si="56"/>
        <v>#N/A</v>
      </c>
    </row>
    <row r="933" spans="8:11" x14ac:dyDescent="0.25">
      <c r="H933" s="5" t="e">
        <f t="shared" si="59"/>
        <v>#N/A</v>
      </c>
      <c r="I933" t="e">
        <f t="shared" si="57"/>
        <v>#N/A</v>
      </c>
      <c r="J933" t="e">
        <f t="shared" si="58"/>
        <v>#N/A</v>
      </c>
      <c r="K933" s="5" t="e">
        <f t="shared" si="56"/>
        <v>#N/A</v>
      </c>
    </row>
    <row r="934" spans="8:11" x14ac:dyDescent="0.25">
      <c r="H934" s="5" t="e">
        <f t="shared" si="59"/>
        <v>#N/A</v>
      </c>
      <c r="I934" t="e">
        <f t="shared" si="57"/>
        <v>#N/A</v>
      </c>
      <c r="J934" t="e">
        <f t="shared" si="58"/>
        <v>#N/A</v>
      </c>
      <c r="K934" s="5" t="e">
        <f t="shared" si="56"/>
        <v>#N/A</v>
      </c>
    </row>
    <row r="935" spans="8:11" x14ac:dyDescent="0.25">
      <c r="H935" s="5" t="e">
        <f t="shared" si="59"/>
        <v>#N/A</v>
      </c>
      <c r="I935" t="e">
        <f t="shared" si="57"/>
        <v>#N/A</v>
      </c>
      <c r="J935" t="e">
        <f t="shared" si="58"/>
        <v>#N/A</v>
      </c>
      <c r="K935" s="5" t="e">
        <f t="shared" si="56"/>
        <v>#N/A</v>
      </c>
    </row>
    <row r="936" spans="8:11" x14ac:dyDescent="0.25">
      <c r="H936" s="5" t="e">
        <f t="shared" si="59"/>
        <v>#N/A</v>
      </c>
      <c r="I936" t="e">
        <f t="shared" si="57"/>
        <v>#N/A</v>
      </c>
      <c r="J936" t="e">
        <f t="shared" si="58"/>
        <v>#N/A</v>
      </c>
      <c r="K936" s="5" t="e">
        <f t="shared" si="56"/>
        <v>#N/A</v>
      </c>
    </row>
    <row r="937" spans="8:11" x14ac:dyDescent="0.25">
      <c r="H937" s="5" t="e">
        <f t="shared" si="59"/>
        <v>#N/A</v>
      </c>
      <c r="I937" t="e">
        <f t="shared" si="57"/>
        <v>#N/A</v>
      </c>
      <c r="J937" t="e">
        <f t="shared" si="58"/>
        <v>#N/A</v>
      </c>
      <c r="K937" s="5" t="e">
        <f t="shared" si="56"/>
        <v>#N/A</v>
      </c>
    </row>
    <row r="938" spans="8:11" x14ac:dyDescent="0.25">
      <c r="H938" s="5" t="e">
        <f t="shared" si="59"/>
        <v>#N/A</v>
      </c>
      <c r="I938" t="e">
        <f t="shared" si="57"/>
        <v>#N/A</v>
      </c>
      <c r="J938" t="e">
        <f t="shared" si="58"/>
        <v>#N/A</v>
      </c>
      <c r="K938" s="5" t="e">
        <f t="shared" si="56"/>
        <v>#N/A</v>
      </c>
    </row>
    <row r="939" spans="8:11" x14ac:dyDescent="0.25">
      <c r="H939" s="5" t="e">
        <f t="shared" si="59"/>
        <v>#N/A</v>
      </c>
      <c r="I939" t="e">
        <f t="shared" si="57"/>
        <v>#N/A</v>
      </c>
      <c r="J939" t="e">
        <f t="shared" si="58"/>
        <v>#N/A</v>
      </c>
      <c r="K939" s="5" t="e">
        <f t="shared" si="56"/>
        <v>#N/A</v>
      </c>
    </row>
    <row r="940" spans="8:11" x14ac:dyDescent="0.25">
      <c r="H940" s="5" t="e">
        <f t="shared" si="59"/>
        <v>#N/A</v>
      </c>
      <c r="I940" t="e">
        <f t="shared" si="57"/>
        <v>#N/A</v>
      </c>
      <c r="J940" t="e">
        <f t="shared" si="58"/>
        <v>#N/A</v>
      </c>
      <c r="K940" s="5" t="e">
        <f t="shared" si="56"/>
        <v>#N/A</v>
      </c>
    </row>
    <row r="941" spans="8:11" x14ac:dyDescent="0.25">
      <c r="H941" s="5" t="e">
        <f t="shared" si="59"/>
        <v>#N/A</v>
      </c>
      <c r="I941" t="e">
        <f t="shared" si="57"/>
        <v>#N/A</v>
      </c>
      <c r="J941" t="e">
        <f t="shared" si="58"/>
        <v>#N/A</v>
      </c>
      <c r="K941" s="5" t="e">
        <f t="shared" si="56"/>
        <v>#N/A</v>
      </c>
    </row>
    <row r="942" spans="8:11" x14ac:dyDescent="0.25">
      <c r="H942" s="5" t="e">
        <f t="shared" si="59"/>
        <v>#N/A</v>
      </c>
      <c r="I942" t="e">
        <f t="shared" si="57"/>
        <v>#N/A</v>
      </c>
      <c r="J942" t="e">
        <f t="shared" si="58"/>
        <v>#N/A</v>
      </c>
      <c r="K942" s="5" t="e">
        <f t="shared" si="56"/>
        <v>#N/A</v>
      </c>
    </row>
    <row r="943" spans="8:11" x14ac:dyDescent="0.25">
      <c r="H943" s="5" t="e">
        <f t="shared" si="59"/>
        <v>#N/A</v>
      </c>
      <c r="I943" t="e">
        <f t="shared" si="57"/>
        <v>#N/A</v>
      </c>
      <c r="J943" t="e">
        <f t="shared" si="58"/>
        <v>#N/A</v>
      </c>
      <c r="K943" s="5" t="e">
        <f t="shared" si="56"/>
        <v>#N/A</v>
      </c>
    </row>
    <row r="944" spans="8:11" x14ac:dyDescent="0.25">
      <c r="H944" s="5" t="e">
        <f t="shared" si="59"/>
        <v>#N/A</v>
      </c>
      <c r="I944" t="e">
        <f t="shared" si="57"/>
        <v>#N/A</v>
      </c>
      <c r="J944" t="e">
        <f t="shared" si="58"/>
        <v>#N/A</v>
      </c>
      <c r="K944" s="5" t="e">
        <f t="shared" si="56"/>
        <v>#N/A</v>
      </c>
    </row>
    <row r="945" spans="8:11" x14ac:dyDescent="0.25">
      <c r="H945" s="5" t="e">
        <f t="shared" si="59"/>
        <v>#N/A</v>
      </c>
      <c r="I945" t="e">
        <f t="shared" si="57"/>
        <v>#N/A</v>
      </c>
      <c r="J945" t="e">
        <f t="shared" si="58"/>
        <v>#N/A</v>
      </c>
      <c r="K945" s="5" t="e">
        <f t="shared" si="56"/>
        <v>#N/A</v>
      </c>
    </row>
    <row r="946" spans="8:11" x14ac:dyDescent="0.25">
      <c r="H946" s="5" t="e">
        <f t="shared" si="59"/>
        <v>#N/A</v>
      </c>
      <c r="I946" t="e">
        <f t="shared" si="57"/>
        <v>#N/A</v>
      </c>
      <c r="J946" t="e">
        <f t="shared" si="58"/>
        <v>#N/A</v>
      </c>
      <c r="K946" s="5" t="e">
        <f t="shared" si="56"/>
        <v>#N/A</v>
      </c>
    </row>
    <row r="947" spans="8:11" x14ac:dyDescent="0.25">
      <c r="H947" s="5" t="e">
        <f t="shared" si="59"/>
        <v>#N/A</v>
      </c>
      <c r="I947" t="e">
        <f t="shared" si="57"/>
        <v>#N/A</v>
      </c>
      <c r="J947" t="e">
        <f t="shared" si="58"/>
        <v>#N/A</v>
      </c>
      <c r="K947" s="5" t="e">
        <f t="shared" si="56"/>
        <v>#N/A</v>
      </c>
    </row>
    <row r="948" spans="8:11" x14ac:dyDescent="0.25">
      <c r="H948" s="5" t="e">
        <f t="shared" si="59"/>
        <v>#N/A</v>
      </c>
      <c r="I948" t="e">
        <f t="shared" si="57"/>
        <v>#N/A</v>
      </c>
      <c r="J948" t="e">
        <f t="shared" si="58"/>
        <v>#N/A</v>
      </c>
      <c r="K948" s="5" t="e">
        <f t="shared" si="56"/>
        <v>#N/A</v>
      </c>
    </row>
    <row r="949" spans="8:11" x14ac:dyDescent="0.25">
      <c r="H949" s="5" t="e">
        <f t="shared" si="59"/>
        <v>#N/A</v>
      </c>
      <c r="I949" t="e">
        <f t="shared" si="57"/>
        <v>#N/A</v>
      </c>
      <c r="J949" t="e">
        <f t="shared" si="58"/>
        <v>#N/A</v>
      </c>
      <c r="K949" s="5" t="e">
        <f t="shared" si="56"/>
        <v>#N/A</v>
      </c>
    </row>
    <row r="950" spans="8:11" x14ac:dyDescent="0.25">
      <c r="H950" s="5" t="e">
        <f t="shared" si="59"/>
        <v>#N/A</v>
      </c>
      <c r="I950" t="e">
        <f t="shared" si="57"/>
        <v>#N/A</v>
      </c>
      <c r="J950" t="e">
        <f t="shared" si="58"/>
        <v>#N/A</v>
      </c>
      <c r="K950" s="5" t="e">
        <f t="shared" si="56"/>
        <v>#N/A</v>
      </c>
    </row>
    <row r="951" spans="8:11" x14ac:dyDescent="0.25">
      <c r="H951" s="5" t="e">
        <f t="shared" si="59"/>
        <v>#N/A</v>
      </c>
      <c r="I951" t="e">
        <f t="shared" si="57"/>
        <v>#N/A</v>
      </c>
      <c r="J951" t="e">
        <f t="shared" si="58"/>
        <v>#N/A</v>
      </c>
      <c r="K951" s="5" t="e">
        <f t="shared" si="56"/>
        <v>#N/A</v>
      </c>
    </row>
    <row r="952" spans="8:11" x14ac:dyDescent="0.25">
      <c r="H952" s="5" t="e">
        <f t="shared" si="59"/>
        <v>#N/A</v>
      </c>
      <c r="I952" t="e">
        <f t="shared" si="57"/>
        <v>#N/A</v>
      </c>
      <c r="J952" t="e">
        <f t="shared" si="58"/>
        <v>#N/A</v>
      </c>
      <c r="K952" s="5" t="e">
        <f t="shared" si="56"/>
        <v>#N/A</v>
      </c>
    </row>
    <row r="953" spans="8:11" x14ac:dyDescent="0.25">
      <c r="H953" s="5" t="e">
        <f t="shared" si="59"/>
        <v>#N/A</v>
      </c>
      <c r="I953" t="e">
        <f t="shared" si="57"/>
        <v>#N/A</v>
      </c>
      <c r="J953" t="e">
        <f t="shared" si="58"/>
        <v>#N/A</v>
      </c>
      <c r="K953" s="5" t="e">
        <f t="shared" si="56"/>
        <v>#N/A</v>
      </c>
    </row>
    <row r="954" spans="8:11" x14ac:dyDescent="0.25">
      <c r="H954" s="5" t="e">
        <f t="shared" si="59"/>
        <v>#N/A</v>
      </c>
      <c r="I954" t="e">
        <f t="shared" si="57"/>
        <v>#N/A</v>
      </c>
      <c r="J954" t="e">
        <f t="shared" si="58"/>
        <v>#N/A</v>
      </c>
      <c r="K954" s="5" t="e">
        <f t="shared" si="56"/>
        <v>#N/A</v>
      </c>
    </row>
    <row r="955" spans="8:11" x14ac:dyDescent="0.25">
      <c r="H955" s="5" t="e">
        <f t="shared" si="59"/>
        <v>#N/A</v>
      </c>
      <c r="I955" t="e">
        <f t="shared" si="57"/>
        <v>#N/A</v>
      </c>
      <c r="J955" t="e">
        <f t="shared" si="58"/>
        <v>#N/A</v>
      </c>
      <c r="K955" s="5" t="e">
        <f t="shared" si="56"/>
        <v>#N/A</v>
      </c>
    </row>
    <row r="956" spans="8:11" x14ac:dyDescent="0.25">
      <c r="H956" s="5" t="e">
        <f t="shared" si="59"/>
        <v>#N/A</v>
      </c>
      <c r="I956" t="e">
        <f t="shared" si="57"/>
        <v>#N/A</v>
      </c>
      <c r="J956" t="e">
        <f t="shared" si="58"/>
        <v>#N/A</v>
      </c>
      <c r="K956" s="5" t="e">
        <f t="shared" si="56"/>
        <v>#N/A</v>
      </c>
    </row>
    <row r="957" spans="8:11" x14ac:dyDescent="0.25">
      <c r="H957" s="5" t="e">
        <f t="shared" si="59"/>
        <v>#N/A</v>
      </c>
      <c r="I957" t="e">
        <f t="shared" si="57"/>
        <v>#N/A</v>
      </c>
      <c r="J957" t="e">
        <f t="shared" si="58"/>
        <v>#N/A</v>
      </c>
      <c r="K957" s="5" t="e">
        <f t="shared" si="56"/>
        <v>#N/A</v>
      </c>
    </row>
    <row r="958" spans="8:11" x14ac:dyDescent="0.25">
      <c r="H958" s="5" t="e">
        <f t="shared" si="59"/>
        <v>#N/A</v>
      </c>
      <c r="I958" t="e">
        <f t="shared" si="57"/>
        <v>#N/A</v>
      </c>
      <c r="J958" t="e">
        <f t="shared" si="58"/>
        <v>#N/A</v>
      </c>
      <c r="K958" s="5" t="e">
        <f t="shared" si="56"/>
        <v>#N/A</v>
      </c>
    </row>
    <row r="959" spans="8:11" x14ac:dyDescent="0.25">
      <c r="H959" s="5" t="e">
        <f t="shared" si="59"/>
        <v>#N/A</v>
      </c>
      <c r="I959" t="e">
        <f t="shared" si="57"/>
        <v>#N/A</v>
      </c>
      <c r="J959" t="e">
        <f t="shared" si="58"/>
        <v>#N/A</v>
      </c>
      <c r="K959" s="5" t="e">
        <f t="shared" si="56"/>
        <v>#N/A</v>
      </c>
    </row>
    <row r="960" spans="8:11" x14ac:dyDescent="0.25">
      <c r="H960" s="5" t="e">
        <f t="shared" si="59"/>
        <v>#N/A</v>
      </c>
      <c r="I960" t="e">
        <f t="shared" si="57"/>
        <v>#N/A</v>
      </c>
      <c r="J960" t="e">
        <f t="shared" si="58"/>
        <v>#N/A</v>
      </c>
      <c r="K960" s="5" t="e">
        <f t="shared" si="56"/>
        <v>#N/A</v>
      </c>
    </row>
    <row r="961" spans="8:11" x14ac:dyDescent="0.25">
      <c r="H961" s="5" t="e">
        <f t="shared" si="59"/>
        <v>#N/A</v>
      </c>
      <c r="I961" t="e">
        <f t="shared" si="57"/>
        <v>#N/A</v>
      </c>
      <c r="J961" t="e">
        <f t="shared" si="58"/>
        <v>#N/A</v>
      </c>
      <c r="K961" s="5" t="e">
        <f t="shared" si="56"/>
        <v>#N/A</v>
      </c>
    </row>
    <row r="962" spans="8:11" x14ac:dyDescent="0.25">
      <c r="H962" s="5" t="e">
        <f t="shared" si="59"/>
        <v>#N/A</v>
      </c>
      <c r="I962" t="e">
        <f t="shared" si="57"/>
        <v>#N/A</v>
      </c>
      <c r="J962" t="e">
        <f t="shared" si="58"/>
        <v>#N/A</v>
      </c>
      <c r="K962" s="5" t="e">
        <f t="shared" ref="K962:K1000" si="60">SQRT((I962^2)+(J962^2))</f>
        <v>#N/A</v>
      </c>
    </row>
    <row r="963" spans="8:11" x14ac:dyDescent="0.25">
      <c r="H963" s="5" t="e">
        <f t="shared" si="59"/>
        <v>#N/A</v>
      </c>
      <c r="I963" t="e">
        <f t="shared" ref="I963:I1000" si="61">D$29*($H963/1000)+D$18*(($H963/1000)-($D$7/1000))*(($H963/1000)&gt;($D$7/1000))+D$19*(($H963/1000)-($D$8/1000))*(($H963/1000)&gt;($D$8/1000))+D$20*(($H963/1000)-($D$9/1000))*(($H963/1000)&gt;($D$9/1000))+D$21*(($H963/1000)-($D$10/1000))*(($H963/1000)&gt;($D$10/1000))</f>
        <v>#N/A</v>
      </c>
      <c r="J963" t="e">
        <f t="shared" ref="J963:J1000" si="62">E$29*($H963/1000)+E$18*(($H963/1000)-($D$7/1000))*(($H963/1000)&gt;($D$7/1000))+E$19*(($H963/1000)-($D$8/1000))*(($H963/1000)&gt;($D$8/1000))+E$20*(($H963/1000)-($D$9/1000))*(($H963/1000)&gt;($D$9/1000))+E$21*(($H963/1000)-($D$10/1000))*(($H963/1000)&gt;($D$10/1000))</f>
        <v>#N/A</v>
      </c>
      <c r="K963" s="5" t="e">
        <f t="shared" si="60"/>
        <v>#N/A</v>
      </c>
    </row>
    <row r="964" spans="8:11" x14ac:dyDescent="0.25">
      <c r="H964" s="5" t="e">
        <f t="shared" ref="H964:H1000" si="63">IF((ROW(A962)*$G$2)&lt;=$D$5, ROW(A962)*$G$2,NA())</f>
        <v>#N/A</v>
      </c>
      <c r="I964" t="e">
        <f t="shared" si="61"/>
        <v>#N/A</v>
      </c>
      <c r="J964" t="e">
        <f t="shared" si="62"/>
        <v>#N/A</v>
      </c>
      <c r="K964" s="5" t="e">
        <f t="shared" si="60"/>
        <v>#N/A</v>
      </c>
    </row>
    <row r="965" spans="8:11" x14ac:dyDescent="0.25">
      <c r="H965" s="5" t="e">
        <f t="shared" si="63"/>
        <v>#N/A</v>
      </c>
      <c r="I965" t="e">
        <f t="shared" si="61"/>
        <v>#N/A</v>
      </c>
      <c r="J965" t="e">
        <f t="shared" si="62"/>
        <v>#N/A</v>
      </c>
      <c r="K965" s="5" t="e">
        <f t="shared" si="60"/>
        <v>#N/A</v>
      </c>
    </row>
    <row r="966" spans="8:11" x14ac:dyDescent="0.25">
      <c r="H966" s="5" t="e">
        <f t="shared" si="63"/>
        <v>#N/A</v>
      </c>
      <c r="I966" t="e">
        <f t="shared" si="61"/>
        <v>#N/A</v>
      </c>
      <c r="J966" t="e">
        <f t="shared" si="62"/>
        <v>#N/A</v>
      </c>
      <c r="K966" s="5" t="e">
        <f t="shared" si="60"/>
        <v>#N/A</v>
      </c>
    </row>
    <row r="967" spans="8:11" x14ac:dyDescent="0.25">
      <c r="H967" s="5" t="e">
        <f t="shared" si="63"/>
        <v>#N/A</v>
      </c>
      <c r="I967" t="e">
        <f t="shared" si="61"/>
        <v>#N/A</v>
      </c>
      <c r="J967" t="e">
        <f t="shared" si="62"/>
        <v>#N/A</v>
      </c>
      <c r="K967" s="5" t="e">
        <f t="shared" si="60"/>
        <v>#N/A</v>
      </c>
    </row>
    <row r="968" spans="8:11" x14ac:dyDescent="0.25">
      <c r="H968" s="5" t="e">
        <f t="shared" si="63"/>
        <v>#N/A</v>
      </c>
      <c r="I968" t="e">
        <f t="shared" si="61"/>
        <v>#N/A</v>
      </c>
      <c r="J968" t="e">
        <f t="shared" si="62"/>
        <v>#N/A</v>
      </c>
      <c r="K968" s="5" t="e">
        <f t="shared" si="60"/>
        <v>#N/A</v>
      </c>
    </row>
    <row r="969" spans="8:11" x14ac:dyDescent="0.25">
      <c r="H969" s="5" t="e">
        <f t="shared" si="63"/>
        <v>#N/A</v>
      </c>
      <c r="I969" t="e">
        <f t="shared" si="61"/>
        <v>#N/A</v>
      </c>
      <c r="J969" t="e">
        <f t="shared" si="62"/>
        <v>#N/A</v>
      </c>
      <c r="K969" s="5" t="e">
        <f t="shared" si="60"/>
        <v>#N/A</v>
      </c>
    </row>
    <row r="970" spans="8:11" x14ac:dyDescent="0.25">
      <c r="H970" s="5" t="e">
        <f t="shared" si="63"/>
        <v>#N/A</v>
      </c>
      <c r="I970" t="e">
        <f t="shared" si="61"/>
        <v>#N/A</v>
      </c>
      <c r="J970" t="e">
        <f t="shared" si="62"/>
        <v>#N/A</v>
      </c>
      <c r="K970" s="5" t="e">
        <f t="shared" si="60"/>
        <v>#N/A</v>
      </c>
    </row>
    <row r="971" spans="8:11" x14ac:dyDescent="0.25">
      <c r="H971" s="5" t="e">
        <f t="shared" si="63"/>
        <v>#N/A</v>
      </c>
      <c r="I971" t="e">
        <f t="shared" si="61"/>
        <v>#N/A</v>
      </c>
      <c r="J971" t="e">
        <f t="shared" si="62"/>
        <v>#N/A</v>
      </c>
      <c r="K971" s="5" t="e">
        <f t="shared" si="60"/>
        <v>#N/A</v>
      </c>
    </row>
    <row r="972" spans="8:11" x14ac:dyDescent="0.25">
      <c r="H972" s="5" t="e">
        <f t="shared" si="63"/>
        <v>#N/A</v>
      </c>
      <c r="I972" t="e">
        <f t="shared" si="61"/>
        <v>#N/A</v>
      </c>
      <c r="J972" t="e">
        <f t="shared" si="62"/>
        <v>#N/A</v>
      </c>
      <c r="K972" s="5" t="e">
        <f t="shared" si="60"/>
        <v>#N/A</v>
      </c>
    </row>
    <row r="973" spans="8:11" x14ac:dyDescent="0.25">
      <c r="H973" s="5" t="e">
        <f t="shared" si="63"/>
        <v>#N/A</v>
      </c>
      <c r="I973" t="e">
        <f t="shared" si="61"/>
        <v>#N/A</v>
      </c>
      <c r="J973" t="e">
        <f t="shared" si="62"/>
        <v>#N/A</v>
      </c>
      <c r="K973" s="5" t="e">
        <f t="shared" si="60"/>
        <v>#N/A</v>
      </c>
    </row>
    <row r="974" spans="8:11" x14ac:dyDescent="0.25">
      <c r="H974" s="5" t="e">
        <f t="shared" si="63"/>
        <v>#N/A</v>
      </c>
      <c r="I974" t="e">
        <f t="shared" si="61"/>
        <v>#N/A</v>
      </c>
      <c r="J974" t="e">
        <f t="shared" si="62"/>
        <v>#N/A</v>
      </c>
      <c r="K974" s="5" t="e">
        <f t="shared" si="60"/>
        <v>#N/A</v>
      </c>
    </row>
    <row r="975" spans="8:11" x14ac:dyDescent="0.25">
      <c r="H975" s="5" t="e">
        <f t="shared" si="63"/>
        <v>#N/A</v>
      </c>
      <c r="I975" t="e">
        <f t="shared" si="61"/>
        <v>#N/A</v>
      </c>
      <c r="J975" t="e">
        <f t="shared" si="62"/>
        <v>#N/A</v>
      </c>
      <c r="K975" s="5" t="e">
        <f t="shared" si="60"/>
        <v>#N/A</v>
      </c>
    </row>
    <row r="976" spans="8:11" x14ac:dyDescent="0.25">
      <c r="H976" s="5" t="e">
        <f t="shared" si="63"/>
        <v>#N/A</v>
      </c>
      <c r="I976" t="e">
        <f t="shared" si="61"/>
        <v>#N/A</v>
      </c>
      <c r="J976" t="e">
        <f t="shared" si="62"/>
        <v>#N/A</v>
      </c>
      <c r="K976" s="5" t="e">
        <f t="shared" si="60"/>
        <v>#N/A</v>
      </c>
    </row>
    <row r="977" spans="8:11" x14ac:dyDescent="0.25">
      <c r="H977" s="5" t="e">
        <f t="shared" si="63"/>
        <v>#N/A</v>
      </c>
      <c r="I977" t="e">
        <f t="shared" si="61"/>
        <v>#N/A</v>
      </c>
      <c r="J977" t="e">
        <f t="shared" si="62"/>
        <v>#N/A</v>
      </c>
      <c r="K977" s="5" t="e">
        <f t="shared" si="60"/>
        <v>#N/A</v>
      </c>
    </row>
    <row r="978" spans="8:11" x14ac:dyDescent="0.25">
      <c r="H978" s="5" t="e">
        <f t="shared" si="63"/>
        <v>#N/A</v>
      </c>
      <c r="I978" t="e">
        <f t="shared" si="61"/>
        <v>#N/A</v>
      </c>
      <c r="J978" t="e">
        <f t="shared" si="62"/>
        <v>#N/A</v>
      </c>
      <c r="K978" s="5" t="e">
        <f t="shared" si="60"/>
        <v>#N/A</v>
      </c>
    </row>
    <row r="979" spans="8:11" x14ac:dyDescent="0.25">
      <c r="H979" s="5" t="e">
        <f t="shared" si="63"/>
        <v>#N/A</v>
      </c>
      <c r="I979" t="e">
        <f t="shared" si="61"/>
        <v>#N/A</v>
      </c>
      <c r="J979" t="e">
        <f t="shared" si="62"/>
        <v>#N/A</v>
      </c>
      <c r="K979" s="5" t="e">
        <f t="shared" si="60"/>
        <v>#N/A</v>
      </c>
    </row>
    <row r="980" spans="8:11" x14ac:dyDescent="0.25">
      <c r="H980" s="5" t="e">
        <f t="shared" si="63"/>
        <v>#N/A</v>
      </c>
      <c r="I980" t="e">
        <f t="shared" si="61"/>
        <v>#N/A</v>
      </c>
      <c r="J980" t="e">
        <f t="shared" si="62"/>
        <v>#N/A</v>
      </c>
      <c r="K980" s="5" t="e">
        <f t="shared" si="60"/>
        <v>#N/A</v>
      </c>
    </row>
    <row r="981" spans="8:11" x14ac:dyDescent="0.25">
      <c r="H981" s="5" t="e">
        <f t="shared" si="63"/>
        <v>#N/A</v>
      </c>
      <c r="I981" t="e">
        <f t="shared" si="61"/>
        <v>#N/A</v>
      </c>
      <c r="J981" t="e">
        <f t="shared" si="62"/>
        <v>#N/A</v>
      </c>
      <c r="K981" s="5" t="e">
        <f t="shared" si="60"/>
        <v>#N/A</v>
      </c>
    </row>
    <row r="982" spans="8:11" x14ac:dyDescent="0.25">
      <c r="H982" s="5" t="e">
        <f t="shared" si="63"/>
        <v>#N/A</v>
      </c>
      <c r="I982" t="e">
        <f t="shared" si="61"/>
        <v>#N/A</v>
      </c>
      <c r="J982" t="e">
        <f t="shared" si="62"/>
        <v>#N/A</v>
      </c>
      <c r="K982" s="5" t="e">
        <f t="shared" si="60"/>
        <v>#N/A</v>
      </c>
    </row>
    <row r="983" spans="8:11" x14ac:dyDescent="0.25">
      <c r="H983" s="5" t="e">
        <f t="shared" si="63"/>
        <v>#N/A</v>
      </c>
      <c r="I983" t="e">
        <f t="shared" si="61"/>
        <v>#N/A</v>
      </c>
      <c r="J983" t="e">
        <f t="shared" si="62"/>
        <v>#N/A</v>
      </c>
      <c r="K983" s="5" t="e">
        <f t="shared" si="60"/>
        <v>#N/A</v>
      </c>
    </row>
    <row r="984" spans="8:11" x14ac:dyDescent="0.25">
      <c r="H984" s="5" t="e">
        <f t="shared" si="63"/>
        <v>#N/A</v>
      </c>
      <c r="I984" t="e">
        <f t="shared" si="61"/>
        <v>#N/A</v>
      </c>
      <c r="J984" t="e">
        <f t="shared" si="62"/>
        <v>#N/A</v>
      </c>
      <c r="K984" s="5" t="e">
        <f t="shared" si="60"/>
        <v>#N/A</v>
      </c>
    </row>
    <row r="985" spans="8:11" x14ac:dyDescent="0.25">
      <c r="H985" s="5" t="e">
        <f t="shared" si="63"/>
        <v>#N/A</v>
      </c>
      <c r="I985" t="e">
        <f t="shared" si="61"/>
        <v>#N/A</v>
      </c>
      <c r="J985" t="e">
        <f t="shared" si="62"/>
        <v>#N/A</v>
      </c>
      <c r="K985" s="5" t="e">
        <f t="shared" si="60"/>
        <v>#N/A</v>
      </c>
    </row>
    <row r="986" spans="8:11" x14ac:dyDescent="0.25">
      <c r="H986" s="5" t="e">
        <f t="shared" si="63"/>
        <v>#N/A</v>
      </c>
      <c r="I986" t="e">
        <f t="shared" si="61"/>
        <v>#N/A</v>
      </c>
      <c r="J986" t="e">
        <f t="shared" si="62"/>
        <v>#N/A</v>
      </c>
      <c r="K986" s="5" t="e">
        <f t="shared" si="60"/>
        <v>#N/A</v>
      </c>
    </row>
    <row r="987" spans="8:11" x14ac:dyDescent="0.25">
      <c r="H987" s="5" t="e">
        <f t="shared" si="63"/>
        <v>#N/A</v>
      </c>
      <c r="I987" t="e">
        <f t="shared" si="61"/>
        <v>#N/A</v>
      </c>
      <c r="J987" t="e">
        <f t="shared" si="62"/>
        <v>#N/A</v>
      </c>
      <c r="K987" s="5" t="e">
        <f t="shared" si="60"/>
        <v>#N/A</v>
      </c>
    </row>
    <row r="988" spans="8:11" x14ac:dyDescent="0.25">
      <c r="H988" s="5" t="e">
        <f t="shared" si="63"/>
        <v>#N/A</v>
      </c>
      <c r="I988" t="e">
        <f t="shared" si="61"/>
        <v>#N/A</v>
      </c>
      <c r="J988" t="e">
        <f t="shared" si="62"/>
        <v>#N/A</v>
      </c>
      <c r="K988" s="5" t="e">
        <f t="shared" si="60"/>
        <v>#N/A</v>
      </c>
    </row>
    <row r="989" spans="8:11" x14ac:dyDescent="0.25">
      <c r="H989" s="5" t="e">
        <f t="shared" si="63"/>
        <v>#N/A</v>
      </c>
      <c r="I989" t="e">
        <f t="shared" si="61"/>
        <v>#N/A</v>
      </c>
      <c r="J989" t="e">
        <f t="shared" si="62"/>
        <v>#N/A</v>
      </c>
      <c r="K989" s="5" t="e">
        <f t="shared" si="60"/>
        <v>#N/A</v>
      </c>
    </row>
    <row r="990" spans="8:11" x14ac:dyDescent="0.25">
      <c r="H990" s="5" t="e">
        <f t="shared" si="63"/>
        <v>#N/A</v>
      </c>
      <c r="I990" t="e">
        <f t="shared" si="61"/>
        <v>#N/A</v>
      </c>
      <c r="J990" t="e">
        <f t="shared" si="62"/>
        <v>#N/A</v>
      </c>
      <c r="K990" s="5" t="e">
        <f t="shared" si="60"/>
        <v>#N/A</v>
      </c>
    </row>
    <row r="991" spans="8:11" x14ac:dyDescent="0.25">
      <c r="H991" s="5" t="e">
        <f t="shared" si="63"/>
        <v>#N/A</v>
      </c>
      <c r="I991" t="e">
        <f t="shared" si="61"/>
        <v>#N/A</v>
      </c>
      <c r="J991" t="e">
        <f t="shared" si="62"/>
        <v>#N/A</v>
      </c>
      <c r="K991" s="5" t="e">
        <f t="shared" si="60"/>
        <v>#N/A</v>
      </c>
    </row>
    <row r="992" spans="8:11" x14ac:dyDescent="0.25">
      <c r="H992" s="5" t="e">
        <f t="shared" si="63"/>
        <v>#N/A</v>
      </c>
      <c r="I992" t="e">
        <f t="shared" si="61"/>
        <v>#N/A</v>
      </c>
      <c r="J992" t="e">
        <f t="shared" si="62"/>
        <v>#N/A</v>
      </c>
      <c r="K992" s="5" t="e">
        <f t="shared" si="60"/>
        <v>#N/A</v>
      </c>
    </row>
    <row r="993" spans="8:11" x14ac:dyDescent="0.25">
      <c r="H993" s="5" t="e">
        <f t="shared" si="63"/>
        <v>#N/A</v>
      </c>
      <c r="I993" t="e">
        <f t="shared" si="61"/>
        <v>#N/A</v>
      </c>
      <c r="J993" t="e">
        <f t="shared" si="62"/>
        <v>#N/A</v>
      </c>
      <c r="K993" s="5" t="e">
        <f t="shared" si="60"/>
        <v>#N/A</v>
      </c>
    </row>
    <row r="994" spans="8:11" x14ac:dyDescent="0.25">
      <c r="H994" s="5" t="e">
        <f t="shared" si="63"/>
        <v>#N/A</v>
      </c>
      <c r="I994" t="e">
        <f t="shared" si="61"/>
        <v>#N/A</v>
      </c>
      <c r="J994" t="e">
        <f t="shared" si="62"/>
        <v>#N/A</v>
      </c>
      <c r="K994" s="5" t="e">
        <f t="shared" si="60"/>
        <v>#N/A</v>
      </c>
    </row>
    <row r="995" spans="8:11" x14ac:dyDescent="0.25">
      <c r="H995" s="5" t="e">
        <f t="shared" si="63"/>
        <v>#N/A</v>
      </c>
      <c r="I995" t="e">
        <f t="shared" si="61"/>
        <v>#N/A</v>
      </c>
      <c r="J995" t="e">
        <f t="shared" si="62"/>
        <v>#N/A</v>
      </c>
      <c r="K995" s="5" t="e">
        <f t="shared" si="60"/>
        <v>#N/A</v>
      </c>
    </row>
    <row r="996" spans="8:11" x14ac:dyDescent="0.25">
      <c r="H996" s="5" t="e">
        <f t="shared" si="63"/>
        <v>#N/A</v>
      </c>
      <c r="I996" t="e">
        <f t="shared" si="61"/>
        <v>#N/A</v>
      </c>
      <c r="J996" t="e">
        <f t="shared" si="62"/>
        <v>#N/A</v>
      </c>
      <c r="K996" s="5" t="e">
        <f t="shared" si="60"/>
        <v>#N/A</v>
      </c>
    </row>
    <row r="997" spans="8:11" x14ac:dyDescent="0.25">
      <c r="H997" s="5" t="e">
        <f t="shared" si="63"/>
        <v>#N/A</v>
      </c>
      <c r="I997" t="e">
        <f t="shared" si="61"/>
        <v>#N/A</v>
      </c>
      <c r="J997" t="e">
        <f t="shared" si="62"/>
        <v>#N/A</v>
      </c>
      <c r="K997" s="5" t="e">
        <f t="shared" si="60"/>
        <v>#N/A</v>
      </c>
    </row>
    <row r="998" spans="8:11" x14ac:dyDescent="0.25">
      <c r="H998" s="5" t="e">
        <f t="shared" si="63"/>
        <v>#N/A</v>
      </c>
      <c r="I998" t="e">
        <f t="shared" si="61"/>
        <v>#N/A</v>
      </c>
      <c r="J998" t="e">
        <f t="shared" si="62"/>
        <v>#N/A</v>
      </c>
      <c r="K998" s="5" t="e">
        <f t="shared" si="60"/>
        <v>#N/A</v>
      </c>
    </row>
    <row r="999" spans="8:11" x14ac:dyDescent="0.25">
      <c r="H999" s="5" t="e">
        <f t="shared" si="63"/>
        <v>#N/A</v>
      </c>
      <c r="I999" t="e">
        <f t="shared" si="61"/>
        <v>#N/A</v>
      </c>
      <c r="J999" t="e">
        <f t="shared" si="62"/>
        <v>#N/A</v>
      </c>
      <c r="K999" s="5" t="e">
        <f t="shared" si="60"/>
        <v>#N/A</v>
      </c>
    </row>
    <row r="1000" spans="8:11" x14ac:dyDescent="0.25">
      <c r="H1000" s="5" t="e">
        <f t="shared" si="63"/>
        <v>#N/A</v>
      </c>
      <c r="I1000" t="e">
        <f>D$29*($H1000/1000)+D$18*(($H1000/1000)-($D$7/1000))*(($H1000/1000)&gt;($D$7/1000))+D$19*(($H1000/1000)-($D$8/1000))*(($H1000/1000)&gt;($D$8/1000))+D$20*(($H1000/1000)-($D$9/1000))*(($H1000/1000)&gt;($D$9/1000))+D$21*(($H1000/1000)-($D$10/1000))*(($H1000/1000)&gt;($D$10/1000))</f>
        <v>#N/A</v>
      </c>
      <c r="J1000" t="e">
        <f t="shared" si="62"/>
        <v>#N/A</v>
      </c>
      <c r="K1000" s="5" t="e">
        <f t="shared" si="60"/>
        <v>#N/A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9E4D-0B89-4440-9D70-C2F51CFF9A4F}">
  <sheetPr>
    <tabColor rgb="FFC00000"/>
  </sheetPr>
  <dimension ref="B2:V43"/>
  <sheetViews>
    <sheetView tabSelected="1" zoomScale="70" zoomScaleNormal="70" workbookViewId="0">
      <selection activeCell="F9" sqref="F9"/>
    </sheetView>
  </sheetViews>
  <sheetFormatPr defaultRowHeight="15" customHeight="1" x14ac:dyDescent="0.25"/>
  <cols>
    <col min="2" max="2" width="28.140625" bestFit="1" customWidth="1"/>
    <col min="3" max="3" width="21.7109375" customWidth="1"/>
    <col min="4" max="4" width="16.5703125" customWidth="1"/>
    <col min="5" max="5" width="17.85546875" bestFit="1" customWidth="1"/>
    <col min="6" max="6" width="11.85546875" customWidth="1"/>
    <col min="7" max="7" width="12.7109375" customWidth="1"/>
    <col min="8" max="8" width="28.7109375" bestFit="1" customWidth="1"/>
    <col min="9" max="9" width="19" customWidth="1"/>
  </cols>
  <sheetData>
    <row r="2" spans="2:9" ht="15" customHeight="1" x14ac:dyDescent="0.35">
      <c r="B2" t="s">
        <v>39</v>
      </c>
      <c r="C2" t="s">
        <v>40</v>
      </c>
      <c r="D2" s="10">
        <f>470*10^6</f>
        <v>470000000</v>
      </c>
      <c r="E2" t="str">
        <f>IF($B$7="English","psi",IF($B$7="Metric", "Pa", "Unit Selection Error"))</f>
        <v>Pa</v>
      </c>
      <c r="F2" t="s">
        <v>41</v>
      </c>
      <c r="G2" s="11">
        <f>D2/2</f>
        <v>235000000</v>
      </c>
      <c r="H2" t="str">
        <f>IF($B$7="English","psi",IF($B$7="Metric", "Pa", "Unit Selection Error"))</f>
        <v>Pa</v>
      </c>
    </row>
    <row r="3" spans="2:9" ht="15" customHeight="1" x14ac:dyDescent="0.35">
      <c r="C3" t="s">
        <v>42</v>
      </c>
      <c r="D3" s="10">
        <v>0</v>
      </c>
      <c r="E3" t="str">
        <f>IF($B$7="English","psi",IF($B$7="Metric", "Pa", "Unit Selection Error"))</f>
        <v>Pa</v>
      </c>
      <c r="G3" s="11"/>
    </row>
    <row r="4" spans="2:9" ht="15" customHeight="1" x14ac:dyDescent="0.25">
      <c r="B4" t="s">
        <v>43</v>
      </c>
    </row>
    <row r="5" spans="2:9" ht="15" customHeight="1" x14ac:dyDescent="0.25">
      <c r="B5" s="7" t="s">
        <v>82</v>
      </c>
    </row>
    <row r="6" spans="2:9" ht="15" customHeight="1" x14ac:dyDescent="0.25">
      <c r="B6" t="s">
        <v>1</v>
      </c>
    </row>
    <row r="7" spans="2:9" ht="15" customHeight="1" x14ac:dyDescent="0.25">
      <c r="B7" s="1" t="s">
        <v>44</v>
      </c>
    </row>
    <row r="8" spans="2:9" ht="15" customHeight="1" x14ac:dyDescent="0.25">
      <c r="B8" t="s">
        <v>45</v>
      </c>
    </row>
    <row r="9" spans="2:9" ht="15" customHeight="1" x14ac:dyDescent="0.25">
      <c r="B9" s="1">
        <v>3</v>
      </c>
    </row>
    <row r="11" spans="2:9" ht="15" customHeight="1" x14ac:dyDescent="0.25">
      <c r="B11" t="s">
        <v>46</v>
      </c>
    </row>
    <row r="12" spans="2:9" ht="15" customHeight="1" x14ac:dyDescent="0.25">
      <c r="B12" t="s">
        <v>47</v>
      </c>
    </row>
    <row r="14" spans="2:9" ht="15" customHeight="1" x14ac:dyDescent="0.25">
      <c r="B14" s="12" t="s">
        <v>48</v>
      </c>
      <c r="C14" s="2">
        <f>'Moment Calculations (1)'!D38</f>
        <v>57.054120710818019</v>
      </c>
      <c r="D14" t="str">
        <f>IF($B$7="English","in-lb",IF($B$7="Metric", "Nm", "Unit Selection Error"))</f>
        <v>Nm</v>
      </c>
      <c r="E14" t="s">
        <v>49</v>
      </c>
      <c r="F14" s="13">
        <f>C14</f>
        <v>57.054120710818019</v>
      </c>
      <c r="G14" t="str">
        <f>IF($B$7="English","in-lb",IF($B$7="Metric", "Nm", "Unit Selection Error"))</f>
        <v>Nm</v>
      </c>
      <c r="H14" t="s">
        <v>50</v>
      </c>
    </row>
    <row r="15" spans="2:9" ht="15" customHeight="1" x14ac:dyDescent="0.25">
      <c r="B15" s="12" t="s">
        <v>51</v>
      </c>
      <c r="C15" s="13">
        <f>'Moment Calculations (1)'!D25/1000</f>
        <v>33.000000000000007</v>
      </c>
      <c r="D15" t="str">
        <f>IF($B$7="English","in-lb",IF($B$7="Metric", "Nm", "Unit Selection Error"))</f>
        <v>Nm</v>
      </c>
      <c r="E15" t="s">
        <v>52</v>
      </c>
      <c r="F15" s="1">
        <v>0</v>
      </c>
      <c r="G15" t="str">
        <f>IF($B$7="English","in-lb",IF($B$7="Metric", "Nm", "Unit Selection Error"))</f>
        <v>Nm</v>
      </c>
      <c r="H15" s="15">
        <f>(((16*B9)/PI())*((1/G2)*SQRT(4*(C18*F14)^2 + 3*(C19*F16)^2) + (1/D2)*SQRT(4*(C18*F15)^2 + 3*(C19*F17)^2)))^(1/3)</f>
        <v>2.8892541869380336E-2</v>
      </c>
      <c r="I15" t="str">
        <f>IF($B$7="English","in",IF($B$7="Metric", "m", "Unit Selection Error"))</f>
        <v>m</v>
      </c>
    </row>
    <row r="16" spans="2:9" ht="15" customHeight="1" x14ac:dyDescent="0.25">
      <c r="E16" t="s">
        <v>53</v>
      </c>
      <c r="F16" s="1">
        <v>0</v>
      </c>
      <c r="G16" t="str">
        <f t="shared" ref="G16:G17" si="0">IF($B$7="English","in-lb",IF($B$7="Metric", "Nm", "Unit Selection Error"))</f>
        <v>Nm</v>
      </c>
      <c r="H16">
        <f>H15*100</f>
        <v>2.8892541869380337</v>
      </c>
      <c r="I16" t="str">
        <f>IF($B$7="English","*10^-2 in",IF($B$7="Metric", "cm", "Unit Selection Error"))</f>
        <v>cm</v>
      </c>
    </row>
    <row r="17" spans="2:10" ht="15" customHeight="1" x14ac:dyDescent="0.25">
      <c r="B17" t="s">
        <v>54</v>
      </c>
      <c r="E17" t="s">
        <v>55</v>
      </c>
      <c r="F17" s="13">
        <f>C15</f>
        <v>33.000000000000007</v>
      </c>
      <c r="G17" t="str">
        <f t="shared" si="0"/>
        <v>Nm</v>
      </c>
      <c r="H17" t="s">
        <v>100</v>
      </c>
    </row>
    <row r="18" spans="2:10" ht="15" customHeight="1" x14ac:dyDescent="0.25">
      <c r="B18" t="s">
        <v>56</v>
      </c>
      <c r="C18" s="1">
        <v>2.7</v>
      </c>
      <c r="H18" s="14">
        <f>ROUNDUP(H15,2)</f>
        <v>0.03</v>
      </c>
      <c r="I18" t="str">
        <f>IF($B$7="English","in",IF($B$7="Metric", "m", "Unit Selection Error"))</f>
        <v>m</v>
      </c>
    </row>
    <row r="19" spans="2:10" ht="15" customHeight="1" x14ac:dyDescent="0.25">
      <c r="B19" t="s">
        <v>57</v>
      </c>
      <c r="C19" s="1">
        <v>2.2000000000000002</v>
      </c>
      <c r="H19" s="3">
        <f>ROUNDUP(H16,2)</f>
        <v>2.8899999999999997</v>
      </c>
      <c r="I19" t="str">
        <f>IF($B$7="English","*10^-2 in",IF($B$7="Metric", "cm", "Unit Selection Error"))</f>
        <v>cm</v>
      </c>
    </row>
    <row r="20" spans="2:10" ht="15" customHeight="1" x14ac:dyDescent="0.25">
      <c r="B20" t="s">
        <v>58</v>
      </c>
    </row>
    <row r="21" spans="2:10" ht="15" customHeight="1" x14ac:dyDescent="0.35">
      <c r="B21" t="s">
        <v>59</v>
      </c>
      <c r="H21" t="s">
        <v>60</v>
      </c>
      <c r="I21">
        <f>SQRT(((32*C18*F14)/(PI()*(H15^3)))^2 + 3*((16*C19*F16)/(PI()*(H15^3)))^2)</f>
        <v>65056940.064645179</v>
      </c>
      <c r="J21" t="str">
        <f>IF($B$7="English","psi",IF($B$7="Metric", "Pa", "Unit Selection Error"))</f>
        <v>Pa</v>
      </c>
    </row>
    <row r="22" spans="2:10" ht="15" customHeight="1" x14ac:dyDescent="0.35">
      <c r="H22" t="s">
        <v>61</v>
      </c>
      <c r="I22">
        <f>SQRT(((32*C18*F15)/(PI()*(H15^3)))^2 + 3*((16*C19*F17)/(PI()*(H15^3)))^2)</f>
        <v>26552786.537376143</v>
      </c>
      <c r="J22" t="str">
        <f>IF($B$7="English","psi",IF($B$7="Metric", "Pa", "Unit Selection Error"))</f>
        <v>Pa</v>
      </c>
    </row>
    <row r="23" spans="2:10" ht="15" customHeight="1" x14ac:dyDescent="0.25">
      <c r="B23" t="s">
        <v>96</v>
      </c>
      <c r="C23">
        <f>30*10^-3</f>
        <v>0.03</v>
      </c>
      <c r="D23" t="s">
        <v>86</v>
      </c>
      <c r="I23" s="9"/>
    </row>
    <row r="24" spans="2:10" ht="15" customHeight="1" x14ac:dyDescent="0.25">
      <c r="B24" t="s">
        <v>85</v>
      </c>
      <c r="C24">
        <f>((PI()*(C23)^4)/64)</f>
        <v>3.9760782021995816E-8</v>
      </c>
      <c r="D24" t="s">
        <v>87</v>
      </c>
      <c r="H24" t="s">
        <v>99</v>
      </c>
      <c r="I24" s="8">
        <f>D2/($I$21+$I$22)</f>
        <v>5.1304595858233863</v>
      </c>
    </row>
    <row r="25" spans="2:10" ht="15" customHeight="1" x14ac:dyDescent="0.25">
      <c r="B25" t="s">
        <v>83</v>
      </c>
      <c r="C25" s="14">
        <f>'Moment Calculations (1)'!D38</f>
        <v>57.054120710818019</v>
      </c>
      <c r="D25" t="s">
        <v>34</v>
      </c>
      <c r="H25" t="s">
        <v>62</v>
      </c>
      <c r="I25" s="9">
        <f>D3/($I$21+$I$22)</f>
        <v>0</v>
      </c>
    </row>
    <row r="26" spans="2:10" ht="15" customHeight="1" x14ac:dyDescent="0.25">
      <c r="B26" t="s">
        <v>84</v>
      </c>
      <c r="C26" s="14">
        <f>'Moment Calculations (1)'!D41</f>
        <v>28.524053963062343</v>
      </c>
      <c r="D26" t="s">
        <v>34</v>
      </c>
    </row>
    <row r="27" spans="2:10" ht="15" customHeight="1" x14ac:dyDescent="0.35">
      <c r="B27" t="s">
        <v>93</v>
      </c>
      <c r="C27" s="14">
        <f>((C25*$C$23/2)/$C$24)*$U$36</f>
        <v>58114850.14328558</v>
      </c>
      <c r="D27" t="s">
        <v>88</v>
      </c>
      <c r="E27" s="4" t="s">
        <v>95</v>
      </c>
      <c r="F27" s="14">
        <f>C27*10^-6</f>
        <v>58.11485014328558</v>
      </c>
      <c r="G27" t="s">
        <v>92</v>
      </c>
    </row>
    <row r="28" spans="2:10" ht="15" customHeight="1" x14ac:dyDescent="0.35">
      <c r="B28" t="s">
        <v>94</v>
      </c>
      <c r="C28" s="14">
        <f>((C26*$C$23/2)/$C$24)*$U$36</f>
        <v>29054362.785544574</v>
      </c>
      <c r="D28" t="s">
        <v>88</v>
      </c>
      <c r="E28" s="4" t="s">
        <v>95</v>
      </c>
      <c r="F28" s="14">
        <f>C28*10^-6</f>
        <v>29.054362785544573</v>
      </c>
      <c r="G28" t="s">
        <v>92</v>
      </c>
    </row>
    <row r="30" spans="2:10" ht="15" customHeight="1" x14ac:dyDescent="0.25">
      <c r="B30" t="s">
        <v>98</v>
      </c>
    </row>
    <row r="31" spans="2:10" ht="15" customHeight="1" x14ac:dyDescent="0.25">
      <c r="B31" t="s">
        <v>102</v>
      </c>
      <c r="C31">
        <v>55.046999999999997</v>
      </c>
      <c r="D31" t="s">
        <v>89</v>
      </c>
      <c r="E31" s="4" t="s">
        <v>97</v>
      </c>
      <c r="F31" t="s">
        <v>90</v>
      </c>
      <c r="G31" s="14">
        <f>(C31*10^6)/((32*C25)/(PI()*(C23)^3))</f>
        <v>2.557468523682874</v>
      </c>
    </row>
    <row r="32" spans="2:10" ht="15" customHeight="1" x14ac:dyDescent="0.25">
      <c r="B32" t="s">
        <v>103</v>
      </c>
      <c r="C32">
        <v>22.294</v>
      </c>
      <c r="D32" t="s">
        <v>89</v>
      </c>
      <c r="E32" s="4" t="s">
        <v>97</v>
      </c>
      <c r="F32" t="s">
        <v>91</v>
      </c>
      <c r="G32" s="14">
        <f>(0.577*(C32*10^6))/((16*C15)/(PI()*(C23)^3))</f>
        <v>2.0665386122337863</v>
      </c>
    </row>
    <row r="35" spans="19:22" ht="15" customHeight="1" x14ac:dyDescent="0.25">
      <c r="S35" t="s">
        <v>101</v>
      </c>
    </row>
    <row r="36" spans="19:22" ht="15" customHeight="1" x14ac:dyDescent="0.25">
      <c r="S36" s="1">
        <v>2.0299999999999998</v>
      </c>
      <c r="T36" s="1">
        <v>1.7</v>
      </c>
      <c r="U36" s="1">
        <v>2.7</v>
      </c>
    </row>
    <row r="37" spans="19:22" ht="15" customHeight="1" x14ac:dyDescent="0.25">
      <c r="S37" s="1">
        <v>1.81</v>
      </c>
      <c r="T37" s="1">
        <v>1.5</v>
      </c>
      <c r="U37" s="1">
        <v>2.2000000000000002</v>
      </c>
    </row>
    <row r="38" spans="19:22" ht="15" customHeight="1" x14ac:dyDescent="0.25">
      <c r="S38">
        <v>2.65</v>
      </c>
      <c r="T38">
        <v>2.48</v>
      </c>
      <c r="U38">
        <v>2.89</v>
      </c>
    </row>
    <row r="39" spans="19:22" ht="15" customHeight="1" x14ac:dyDescent="0.25">
      <c r="S39" t="s">
        <v>68</v>
      </c>
    </row>
    <row r="43" spans="19:22" ht="15" customHeight="1" x14ac:dyDescent="0.25">
      <c r="V43" t="s">
        <v>71</v>
      </c>
    </row>
  </sheetData>
  <dataValidations disablePrompts="1" count="1">
    <dataValidation type="list" allowBlank="1" showInputMessage="1" showErrorMessage="1" sqref="B7" xr:uid="{975D060F-76FB-4825-B089-702D7C50624F}">
      <formula1>"English, Metric"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Moment Calculations (1)</vt:lpstr>
      <vt:lpstr>Diameter Calculations (1)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Caiden Logan Bonney</cp:lastModifiedBy>
  <cp:revision/>
  <dcterms:created xsi:type="dcterms:W3CDTF">2025-01-13T22:02:33Z</dcterms:created>
  <dcterms:modified xsi:type="dcterms:W3CDTF">2025-02-08T07:49:22Z</dcterms:modified>
  <cp:category/>
  <cp:contentStatus/>
</cp:coreProperties>
</file>