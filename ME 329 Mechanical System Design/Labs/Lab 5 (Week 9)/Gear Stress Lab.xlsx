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 Lab/Lab 5 (Week 9)/"/>
    </mc:Choice>
  </mc:AlternateContent>
  <xr:revisionPtr revIDLastSave="4175" documentId="8_{12CF926C-9648-418C-B514-CA5ABB870397}" xr6:coauthVersionLast="47" xr6:coauthVersionMax="47" xr10:uidLastSave="{AEA2B3D7-853F-4A0B-A848-6E7E1B81E183}"/>
  <bookViews>
    <workbookView xWindow="-120" yWindow="-120" windowWidth="38640" windowHeight="21120" xr2:uid="{BB8C074D-1052-4760-9334-24CC93365BEB}"/>
  </bookViews>
  <sheets>
    <sheet name="Gear Stress Lab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1" l="1"/>
  <c r="L24" i="11"/>
  <c r="L23" i="11"/>
  <c r="L22" i="11"/>
  <c r="L20" i="11"/>
  <c r="L19" i="11"/>
  <c r="K20" i="11"/>
  <c r="L21" i="11"/>
  <c r="H16" i="11"/>
  <c r="H15" i="11"/>
  <c r="H25" i="11"/>
  <c r="H24" i="11"/>
  <c r="AG9" i="11"/>
  <c r="AC12" i="11"/>
  <c r="AC9" i="11"/>
  <c r="AD12" i="11"/>
  <c r="AD11" i="11"/>
  <c r="AD9" i="11"/>
  <c r="AD8" i="11"/>
  <c r="AD7" i="11"/>
  <c r="AD6" i="11"/>
  <c r="AH12" i="11"/>
  <c r="AG12" i="11"/>
  <c r="AH11" i="11"/>
  <c r="AH8" i="11" l="1"/>
  <c r="AH9" i="11"/>
  <c r="AH7" i="11"/>
  <c r="AH6" i="11"/>
  <c r="L7" i="11"/>
  <c r="K15" i="11" l="1"/>
  <c r="L6" i="11"/>
  <c r="H23" i="11"/>
  <c r="H22" i="11"/>
  <c r="H21" i="11"/>
  <c r="H20" i="11"/>
  <c r="H19" i="11"/>
  <c r="L10" i="11"/>
  <c r="L9" i="11"/>
  <c r="K9" i="11"/>
  <c r="L8" i="11"/>
  <c r="D20" i="11"/>
  <c r="D19" i="11"/>
  <c r="C19" i="11"/>
  <c r="C20" i="11" s="1"/>
  <c r="D18" i="11"/>
  <c r="D17" i="11"/>
  <c r="C17" i="11"/>
  <c r="H14" i="11"/>
  <c r="H13" i="11"/>
  <c r="H12" i="11"/>
  <c r="C12" i="11"/>
  <c r="H11" i="11"/>
  <c r="H10" i="11"/>
  <c r="H9" i="11"/>
  <c r="G9" i="11"/>
  <c r="K7" i="11" s="1"/>
  <c r="G8" i="11"/>
  <c r="H7" i="11"/>
  <c r="D7" i="11"/>
  <c r="H6" i="11"/>
  <c r="D6" i="11"/>
  <c r="B6" i="11"/>
  <c r="G10" i="11" l="1"/>
  <c r="K8" i="11"/>
  <c r="K10" i="11" s="1"/>
  <c r="G6" i="11"/>
  <c r="C18" i="11"/>
  <c r="K11" i="11" l="1"/>
  <c r="K12" i="11"/>
  <c r="G7" i="11"/>
  <c r="G11" i="11"/>
  <c r="G12" i="11"/>
  <c r="K22" i="11" s="1"/>
  <c r="K24" i="11" s="1"/>
  <c r="AC6" i="11" l="1"/>
  <c r="K23" i="11"/>
  <c r="G13" i="11"/>
  <c r="G20" i="11" s="1"/>
  <c r="K21" i="11"/>
  <c r="G14" i="11"/>
  <c r="G15" i="11" s="1"/>
  <c r="G16" i="11" s="1"/>
  <c r="G22" i="11"/>
  <c r="AG6" i="11" l="1"/>
  <c r="K25" i="11"/>
  <c r="G24" i="11"/>
  <c r="AC13" i="11"/>
  <c r="AC10" i="11"/>
  <c r="AC7" i="11"/>
  <c r="G23" i="11"/>
  <c r="G21" i="11"/>
  <c r="G25" i="11" l="1"/>
  <c r="AG10" i="11"/>
  <c r="AG13" i="11"/>
  <c r="AG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8" authorId="0" shapeId="0" xr:uid="{AAD3FD42-BE5E-4AE7-AE86-47BD6D30FE6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Linear Approximates Y based on the given # teeth, N
Table 14-2</t>
        </r>
      </text>
    </comment>
    <comment ref="J13" authorId="0" shapeId="0" xr:uid="{94F4321B-65DA-4A24-8D45-01A5D0C4EA8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J14" authorId="0" shapeId="0" xr:uid="{3E15469F-1185-4A16-AA70-312595C8295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</commentList>
</comments>
</file>

<file path=xl/sharedStrings.xml><?xml version="1.0" encoding="utf-8"?>
<sst xmlns="http://schemas.openxmlformats.org/spreadsheetml/2006/main" count="82" uniqueCount="60">
  <si>
    <t>INPUTS</t>
  </si>
  <si>
    <t>Units:</t>
  </si>
  <si>
    <t>English</t>
  </si>
  <si>
    <t>OUTPUTS</t>
  </si>
  <si>
    <t>COMPARING TO MEASURED FEA STRESS</t>
  </si>
  <si>
    <t>Table 14-2</t>
  </si>
  <si>
    <t>Problem Givens</t>
  </si>
  <si>
    <t>Output Power While Designing to Prevent Yeild</t>
  </si>
  <si>
    <t>Calculating Stress Concentration Factor (SCF)</t>
  </si>
  <si>
    <t>Bending Stress at Root based on Wt = 365 lbf without SCF</t>
  </si>
  <si>
    <t>Bending Stress at Root based on Wt = 365 lbf with SCF</t>
  </si>
  <si>
    <t>Number of Teeth</t>
  </si>
  <si>
    <t>Y</t>
  </si>
  <si>
    <r>
      <t>Allowable Sress, σ</t>
    </r>
    <r>
      <rPr>
        <vertAlign val="subscript"/>
        <sz val="11"/>
        <color theme="1"/>
        <rFont val="Aptos Narrow"/>
        <family val="2"/>
        <scheme val="minor"/>
      </rPr>
      <t>allowable</t>
    </r>
  </si>
  <si>
    <t>fillet radius r</t>
  </si>
  <si>
    <r>
      <t>Lewis Bending Stress, σ</t>
    </r>
    <r>
      <rPr>
        <vertAlign val="subscript"/>
        <sz val="11"/>
        <color theme="1"/>
        <rFont val="Aptos Narrow"/>
        <family val="2"/>
        <scheme val="minor"/>
      </rPr>
      <t>bend</t>
    </r>
  </si>
  <si>
    <r>
      <t>Lewis Bending Stress, σ</t>
    </r>
    <r>
      <rPr>
        <vertAlign val="subscript"/>
        <sz val="11"/>
        <color theme="1"/>
        <rFont val="Aptos Narrow"/>
        <family val="2"/>
        <scheme val="minor"/>
      </rPr>
      <t>bend</t>
    </r>
    <r>
      <rPr>
        <sz val="11"/>
        <color theme="1"/>
        <rFont val="Aptos Narrow"/>
        <family val="2"/>
        <scheme val="minor"/>
      </rPr>
      <t xml:space="preserve"> w/ SCF</t>
    </r>
  </si>
  <si>
    <t>Face Length, F</t>
  </si>
  <si>
    <t>Circular pitch, p</t>
  </si>
  <si>
    <t># teeth, N</t>
  </si>
  <si>
    <t>teeth</t>
  </si>
  <si>
    <t>Lewis Form factor, Y (Table 14-2)</t>
  </si>
  <si>
    <t>-</t>
  </si>
  <si>
    <t>x</t>
  </si>
  <si>
    <t>Root Stress Tangentially Loaded Gear</t>
  </si>
  <si>
    <t>Pressure Angle, ϕ</t>
  </si>
  <si>
    <t>deg</t>
  </si>
  <si>
    <t>pitch diameter, d</t>
  </si>
  <si>
    <t>l</t>
  </si>
  <si>
    <t>Safety Factor, n</t>
  </si>
  <si>
    <t>Pitch Line Velocity, V</t>
  </si>
  <si>
    <t>t</t>
  </si>
  <si>
    <t>% diff. Tangentially Loaded Gear</t>
  </si>
  <si>
    <t>Rotational Speed, n</t>
  </si>
  <si>
    <t>rev/min</t>
  </si>
  <si>
    <t>r/d ~r/t =</t>
  </si>
  <si>
    <t>Root Stress Mesh Gear</t>
  </si>
  <si>
    <t>Rotational Speed, ω</t>
  </si>
  <si>
    <t>rad/s</t>
  </si>
  <si>
    <r>
      <t>Velocity factor K</t>
    </r>
    <r>
      <rPr>
        <vertAlign val="subscript"/>
        <sz val="11"/>
        <color theme="1"/>
        <rFont val="Aptos Narrow"/>
        <family val="2"/>
        <scheme val="minor"/>
      </rPr>
      <t>v</t>
    </r>
  </si>
  <si>
    <t>D/d ~p/t =</t>
  </si>
  <si>
    <t xml:space="preserve"> </t>
  </si>
  <si>
    <r>
      <t>Tangent Load per Power Out, W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/H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</si>
  <si>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t</t>
    </r>
  </si>
  <si>
    <t>% diff. Mesh Gear</t>
  </si>
  <si>
    <t>Material Properties</t>
  </si>
  <si>
    <t>Output Power, H</t>
  </si>
  <si>
    <t>q</t>
  </si>
  <si>
    <t>Material</t>
  </si>
  <si>
    <t>AISI 1020 steel as-rolled</t>
  </si>
  <si>
    <r>
      <t>Tangential Load, W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</si>
  <si>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SCF K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</si>
  <si>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Manufacturing Process (for K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>)</t>
    </r>
  </si>
  <si>
    <t>Cut or Milled Profile</t>
  </si>
  <si>
    <r>
      <t>Tensile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</si>
  <si>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t>Lewis Stress Given Output Power H</t>
  </si>
  <si>
    <r>
      <t>Lewis Stress Given Tangential Loading W</t>
    </r>
    <r>
      <rPr>
        <b/>
        <vertAlign val="subscript"/>
        <sz val="11"/>
        <color theme="1"/>
        <rFont val="Aptos Narrow"/>
        <family val="2"/>
        <scheme val="minor"/>
      </rPr>
      <t>t</t>
    </r>
  </si>
  <si>
    <r>
      <t>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</si>
  <si>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t>Rack</t>
  </si>
  <si>
    <t>Just used 1 and 1.25 for all on this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</si>
</sst>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"/>
    <numFmt numFmtId="165" formatCode="#,##0.0000"/>
    <numFmt numFmtId="166" formatCode="##0E+00"/>
    <numFmt numFmtId="167" formatCode="##0.000E+00"/>
    <numFmt numFmtId="168" formatCode="#,##0.000"/>
    <numFmt numFmtId="169" formatCode="0.000"/>
    <numFmt numFmtId="170" formatCode="0.00000"/>
    <numFmt numFmtId="171" formatCode="0.0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0" borderId="0" xfId="0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164" fontId="0" fillId="3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7" fontId="0" fillId="3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166" fontId="0" fillId="2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1" fillId="9" borderId="0" xfId="0" applyFont="1" applyFill="1"/>
    <xf numFmtId="168" fontId="0" fillId="3" borderId="0" xfId="0" applyNumberFormat="1" applyFill="1" applyAlignment="1">
      <alignment vertical="center"/>
    </xf>
    <xf numFmtId="169" fontId="0" fillId="3" borderId="0" xfId="0" applyNumberForma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1" fillId="10" borderId="0" xfId="0" applyFont="1" applyFill="1" applyAlignment="1">
      <alignment vertical="center"/>
    </xf>
    <xf numFmtId="170" fontId="0" fillId="3" borderId="0" xfId="0" applyNumberFormat="1" applyFill="1" applyAlignment="1">
      <alignment vertical="center"/>
    </xf>
    <xf numFmtId="168" fontId="0" fillId="2" borderId="0" xfId="0" applyNumberFormat="1" applyFill="1" applyAlignment="1">
      <alignment vertical="center"/>
    </xf>
    <xf numFmtId="171" fontId="0" fillId="3" borderId="0" xfId="1" applyNumberFormat="1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261439</xdr:colOff>
      <xdr:row>69</xdr:row>
      <xdr:rowOff>58904</xdr:rowOff>
    </xdr:from>
    <xdr:ext cx="7121773" cy="6573167"/>
    <xdr:pic>
      <xdr:nvPicPr>
        <xdr:cNvPr id="16" name="Picture 1">
          <a:extLst>
            <a:ext uri="{FF2B5EF4-FFF2-40B4-BE49-F238E27FC236}">
              <a16:creationId xmlns:a16="http://schemas.microsoft.com/office/drawing/2014/main" id="{5B008735-2D11-4666-B872-097F0063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039" y="16251404"/>
          <a:ext cx="7121773" cy="6573167"/>
        </a:xfrm>
        <a:prstGeom prst="rect">
          <a:avLst/>
        </a:prstGeom>
      </xdr:spPr>
    </xdr:pic>
    <xdr:clientData/>
  </xdr:oneCellAnchor>
  <xdr:oneCellAnchor>
    <xdr:from>
      <xdr:col>1</xdr:col>
      <xdr:colOff>88160</xdr:colOff>
      <xdr:row>27</xdr:row>
      <xdr:rowOff>83167</xdr:rowOff>
    </xdr:from>
    <xdr:ext cx="7484775" cy="7611658"/>
    <xdr:pic>
      <xdr:nvPicPr>
        <xdr:cNvPr id="28" name="Picture 2">
          <a:extLst>
            <a:ext uri="{FF2B5EF4-FFF2-40B4-BE49-F238E27FC236}">
              <a16:creationId xmlns:a16="http://schemas.microsoft.com/office/drawing/2014/main" id="{DE10BBF2-2C64-4767-81E7-79EFE0099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60" y="8274667"/>
          <a:ext cx="7484775" cy="7611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35</xdr:col>
      <xdr:colOff>23532</xdr:colOff>
      <xdr:row>32</xdr:row>
      <xdr:rowOff>7843</xdr:rowOff>
    </xdr:from>
    <xdr:to>
      <xdr:col>44</xdr:col>
      <xdr:colOff>37812</xdr:colOff>
      <xdr:row>64</xdr:row>
      <xdr:rowOff>113483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C04963-552C-48DF-A5D0-15A00983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4857" y="6103843"/>
          <a:ext cx="5976930" cy="6201640"/>
        </a:xfrm>
        <a:prstGeom prst="rect">
          <a:avLst/>
        </a:prstGeom>
      </xdr:spPr>
    </xdr:pic>
    <xdr:clientData/>
  </xdr:twoCellAnchor>
  <xdr:oneCellAnchor>
    <xdr:from>
      <xdr:col>12</xdr:col>
      <xdr:colOff>84602</xdr:colOff>
      <xdr:row>2</xdr:row>
      <xdr:rowOff>6507</xdr:rowOff>
    </xdr:from>
    <xdr:ext cx="8939655" cy="3910167"/>
    <xdr:pic>
      <xdr:nvPicPr>
        <xdr:cNvPr id="5" name="Picture 23">
          <a:extLst>
            <a:ext uri="{FF2B5EF4-FFF2-40B4-BE49-F238E27FC236}">
              <a16:creationId xmlns:a16="http://schemas.microsoft.com/office/drawing/2014/main" id="{B545FE4F-7E3C-4807-824C-5FE3E7283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1710"/>
        <a:stretch/>
      </xdr:blipFill>
      <xdr:spPr>
        <a:xfrm>
          <a:off x="9209552" y="9912507"/>
          <a:ext cx="8939655" cy="3910167"/>
        </a:xfrm>
        <a:prstGeom prst="rect">
          <a:avLst/>
        </a:prstGeom>
      </xdr:spPr>
    </xdr:pic>
    <xdr:clientData/>
  </xdr:oneCellAnchor>
  <xdr:oneCellAnchor>
    <xdr:from>
      <xdr:col>12</xdr:col>
      <xdr:colOff>283976</xdr:colOff>
      <xdr:row>25</xdr:row>
      <xdr:rowOff>126084</xdr:rowOff>
    </xdr:from>
    <xdr:ext cx="8740282" cy="4431803"/>
    <xdr:pic>
      <xdr:nvPicPr>
        <xdr:cNvPr id="6" name="Picture 24">
          <a:extLst>
            <a:ext uri="{FF2B5EF4-FFF2-40B4-BE49-F238E27FC236}">
              <a16:creationId xmlns:a16="http://schemas.microsoft.com/office/drawing/2014/main" id="{5A3DF00C-2C37-4CDC-9EF5-C474A0293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83094" y="14413584"/>
          <a:ext cx="8768356" cy="4431803"/>
        </a:xfrm>
        <a:prstGeom prst="rect">
          <a:avLst/>
        </a:prstGeom>
      </xdr:spPr>
    </xdr:pic>
    <xdr:clientData/>
  </xdr:oneCellAnchor>
  <xdr:twoCellAnchor>
    <xdr:from>
      <xdr:col>24</xdr:col>
      <xdr:colOff>302895</xdr:colOff>
      <xdr:row>1</xdr:row>
      <xdr:rowOff>142875</xdr:rowOff>
    </xdr:from>
    <xdr:to>
      <xdr:col>24</xdr:col>
      <xdr:colOff>302895</xdr:colOff>
      <xdr:row>20</xdr:row>
      <xdr:rowOff>9525</xdr:rowOff>
    </xdr:to>
    <xdr:cxnSp macro="">
      <xdr:nvCxnSpPr>
        <xdr:cNvPr id="12" name="Straight Connector 34">
          <a:extLst>
            <a:ext uri="{FF2B5EF4-FFF2-40B4-BE49-F238E27FC236}">
              <a16:creationId xmlns:a16="http://schemas.microsoft.com/office/drawing/2014/main" id="{04C53276-2C8A-4D9B-A7FE-C541ABACA339}"/>
            </a:ext>
          </a:extLst>
        </xdr:cNvPr>
        <xdr:cNvCxnSpPr/>
      </xdr:nvCxnSpPr>
      <xdr:spPr>
        <a:xfrm>
          <a:off x="16743045" y="9858375"/>
          <a:ext cx="0" cy="34861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200025</xdr:colOff>
      <xdr:row>3</xdr:row>
      <xdr:rowOff>13855</xdr:rowOff>
    </xdr:from>
    <xdr:to>
      <xdr:col>25</xdr:col>
      <xdr:colOff>484036</xdr:colOff>
      <xdr:row>16</xdr:row>
      <xdr:rowOff>162682</xdr:rowOff>
    </xdr:to>
    <xdr:sp macro="" textlink="">
      <xdr:nvSpPr>
        <xdr:cNvPr id="7" name="Freeform: Shape 35">
          <a:extLst>
            <a:ext uri="{FF2B5EF4-FFF2-40B4-BE49-F238E27FC236}">
              <a16:creationId xmlns:a16="http://schemas.microsoft.com/office/drawing/2014/main" id="{6B966FB3-121A-4D06-A840-5D783ABF3B65}"/>
            </a:ext>
          </a:extLst>
        </xdr:cNvPr>
        <xdr:cNvSpPr/>
      </xdr:nvSpPr>
      <xdr:spPr>
        <a:xfrm>
          <a:off x="12982575" y="10110355"/>
          <a:ext cx="4551211" cy="2625327"/>
        </a:xfrm>
        <a:custGeom>
          <a:avLst/>
          <a:gdLst>
            <a:gd name="connsiteX0" fmla="*/ 0 w 3131344"/>
            <a:gd name="connsiteY0" fmla="*/ 0 h 2500313"/>
            <a:gd name="connsiteX1" fmla="*/ 976313 w 3131344"/>
            <a:gd name="connsiteY1" fmla="*/ 1708547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25079 w 3131344"/>
            <a:gd name="connsiteY1" fmla="*/ 1393031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77236 w 4525902"/>
            <a:gd name="connsiteY1" fmla="*/ 1376181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45914 w 4519475"/>
            <a:gd name="connsiteY1" fmla="*/ 1378305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08402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22618 w 4544370"/>
            <a:gd name="connsiteY2" fmla="*/ 221842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55872 w 4544370"/>
            <a:gd name="connsiteY1" fmla="*/ 1373292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544370" h="2625327">
              <a:moveTo>
                <a:pt x="0" y="0"/>
              </a:moveTo>
              <a:cubicBezTo>
                <a:pt x="196850" y="696105"/>
                <a:pt x="320429" y="1013581"/>
                <a:pt x="655872" y="1388332"/>
              </a:cubicBezTo>
              <a:cubicBezTo>
                <a:pt x="991315" y="1763083"/>
                <a:pt x="1364577" y="2042343"/>
                <a:pt x="2012660" y="2248509"/>
              </a:cubicBezTo>
              <a:cubicBezTo>
                <a:pt x="2660743" y="2454675"/>
                <a:pt x="3192794" y="2533244"/>
                <a:pt x="4544370" y="2625327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247271</xdr:colOff>
      <xdr:row>1</xdr:row>
      <xdr:rowOff>180975</xdr:rowOff>
    </xdr:from>
    <xdr:to>
      <xdr:col>19</xdr:col>
      <xdr:colOff>153563</xdr:colOff>
      <xdr:row>3</xdr:row>
      <xdr:rowOff>57150</xdr:rowOff>
    </xdr:to>
    <xdr:sp macro="" textlink="">
      <xdr:nvSpPr>
        <xdr:cNvPr id="8" name="TextBox 36">
          <a:extLst>
            <a:ext uri="{FF2B5EF4-FFF2-40B4-BE49-F238E27FC236}">
              <a16:creationId xmlns:a16="http://schemas.microsoft.com/office/drawing/2014/main" id="{7AA08033-00E4-44ED-B9C6-41AA384BF6C5}"/>
            </a:ext>
          </a:extLst>
        </xdr:cNvPr>
        <xdr:cNvSpPr txBox="1"/>
      </xdr:nvSpPr>
      <xdr:spPr>
        <a:xfrm>
          <a:off x="13029821" y="9896475"/>
          <a:ext cx="515892" cy="25717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~1.57</a:t>
          </a:r>
        </a:p>
      </xdr:txBody>
    </xdr:sp>
    <xdr:clientData/>
  </xdr:twoCellAnchor>
  <xdr:twoCellAnchor>
    <xdr:from>
      <xdr:col>24</xdr:col>
      <xdr:colOff>354090</xdr:colOff>
      <xdr:row>14</xdr:row>
      <xdr:rowOff>74118</xdr:rowOff>
    </xdr:from>
    <xdr:to>
      <xdr:col>25</xdr:col>
      <xdr:colOff>468390</xdr:colOff>
      <xdr:row>15</xdr:row>
      <xdr:rowOff>140793</xdr:rowOff>
    </xdr:to>
    <xdr:sp macro="" textlink="">
      <xdr:nvSpPr>
        <xdr:cNvPr id="9" name="TextBox 37">
          <a:extLst>
            <a:ext uri="{FF2B5EF4-FFF2-40B4-BE49-F238E27FC236}">
              <a16:creationId xmlns:a16="http://schemas.microsoft.com/office/drawing/2014/main" id="{1F39A7C3-A1E9-4E73-881B-EFDA593E8F5C}"/>
            </a:ext>
          </a:extLst>
        </xdr:cNvPr>
        <xdr:cNvSpPr txBox="1"/>
      </xdr:nvSpPr>
      <xdr:spPr>
        <a:xfrm>
          <a:off x="16794240" y="12266118"/>
          <a:ext cx="7239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Kt = 1.4</a:t>
          </a:r>
        </a:p>
      </xdr:txBody>
    </xdr:sp>
    <xdr:clientData/>
  </xdr:twoCellAnchor>
  <xdr:twoCellAnchor>
    <xdr:from>
      <xdr:col>16</xdr:col>
      <xdr:colOff>550545</xdr:colOff>
      <xdr:row>27</xdr:row>
      <xdr:rowOff>123825</xdr:rowOff>
    </xdr:from>
    <xdr:to>
      <xdr:col>16</xdr:col>
      <xdr:colOff>550545</xdr:colOff>
      <xdr:row>45</xdr:row>
      <xdr:rowOff>180975</xdr:rowOff>
    </xdr:to>
    <xdr:cxnSp macro="">
      <xdr:nvCxnSpPr>
        <xdr:cNvPr id="14" name="Straight Connector 39">
          <a:extLst>
            <a:ext uri="{FF2B5EF4-FFF2-40B4-BE49-F238E27FC236}">
              <a16:creationId xmlns:a16="http://schemas.microsoft.com/office/drawing/2014/main" id="{606F195F-112D-4A95-BDE6-1D5B6AAD31E0}"/>
            </a:ext>
          </a:extLst>
        </xdr:cNvPr>
        <xdr:cNvCxnSpPr/>
      </xdr:nvCxnSpPr>
      <xdr:spPr>
        <a:xfrm>
          <a:off x="12113895" y="14792325"/>
          <a:ext cx="0" cy="34861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515514</xdr:colOff>
      <xdr:row>34</xdr:row>
      <xdr:rowOff>33511</xdr:rowOff>
    </xdr:from>
    <xdr:to>
      <xdr:col>19</xdr:col>
      <xdr:colOff>18208</xdr:colOff>
      <xdr:row>35</xdr:row>
      <xdr:rowOff>100186</xdr:rowOff>
    </xdr:to>
    <xdr:sp macro="" textlink="">
      <xdr:nvSpPr>
        <xdr:cNvPr id="10" name="TextBox 41">
          <a:extLst>
            <a:ext uri="{FF2B5EF4-FFF2-40B4-BE49-F238E27FC236}">
              <a16:creationId xmlns:a16="http://schemas.microsoft.com/office/drawing/2014/main" id="{1E8268FF-7B66-4307-8933-EFA9E45D5808}"/>
            </a:ext>
          </a:extLst>
        </xdr:cNvPr>
        <xdr:cNvSpPr txBox="1"/>
      </xdr:nvSpPr>
      <xdr:spPr>
        <a:xfrm>
          <a:off x="12707514" y="16035511"/>
          <a:ext cx="72590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 = 0.7</a:t>
          </a:r>
        </a:p>
      </xdr:txBody>
    </xdr:sp>
    <xdr:clientData/>
  </xdr:twoCellAnchor>
  <xdr:twoCellAnchor>
    <xdr:from>
      <xdr:col>13</xdr:col>
      <xdr:colOff>512844</xdr:colOff>
      <xdr:row>32</xdr:row>
      <xdr:rowOff>83976</xdr:rowOff>
    </xdr:from>
    <xdr:to>
      <xdr:col>21</xdr:col>
      <xdr:colOff>606355</xdr:colOff>
      <xdr:row>39</xdr:row>
      <xdr:rowOff>155728</xdr:rowOff>
    </xdr:to>
    <xdr:sp macro="" textlink="">
      <xdr:nvSpPr>
        <xdr:cNvPr id="11" name="Freeform: Shape 42">
          <a:extLst>
            <a:ext uri="{FF2B5EF4-FFF2-40B4-BE49-F238E27FC236}">
              <a16:creationId xmlns:a16="http://schemas.microsoft.com/office/drawing/2014/main" id="{031AEE94-60B2-4FDA-86A4-35A86ABC4F71}"/>
            </a:ext>
          </a:extLst>
        </xdr:cNvPr>
        <xdr:cNvSpPr/>
      </xdr:nvSpPr>
      <xdr:spPr>
        <a:xfrm>
          <a:off x="10258423" y="15704976"/>
          <a:ext cx="4986353" cy="1405252"/>
        </a:xfrm>
        <a:custGeom>
          <a:avLst/>
          <a:gdLst>
            <a:gd name="connsiteX0" fmla="*/ 0 w 3131344"/>
            <a:gd name="connsiteY0" fmla="*/ 0 h 2500313"/>
            <a:gd name="connsiteX1" fmla="*/ 976313 w 3131344"/>
            <a:gd name="connsiteY1" fmla="*/ 1708547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25079 w 3131344"/>
            <a:gd name="connsiteY1" fmla="*/ 1393031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113360 w 3131344"/>
            <a:gd name="connsiteY2" fmla="*/ 2268141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3131344"/>
            <a:gd name="connsiteY0" fmla="*/ 0 h 2500313"/>
            <a:gd name="connsiteX1" fmla="*/ 696516 w 3131344"/>
            <a:gd name="connsiteY1" fmla="*/ 1363266 h 2500313"/>
            <a:gd name="connsiteX2" fmla="*/ 2035969 w 3131344"/>
            <a:gd name="connsiteY2" fmla="*/ 2262188 h 2500313"/>
            <a:gd name="connsiteX3" fmla="*/ 3131344 w 3131344"/>
            <a:gd name="connsiteY3" fmla="*/ 2500313 h 2500313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464844"/>
            <a:gd name="connsiteY0" fmla="*/ 0 h 2625328"/>
            <a:gd name="connsiteX1" fmla="*/ 696516 w 4464844"/>
            <a:gd name="connsiteY1" fmla="*/ 1363266 h 2625328"/>
            <a:gd name="connsiteX2" fmla="*/ 2035969 w 4464844"/>
            <a:gd name="connsiteY2" fmla="*/ 2262188 h 2625328"/>
            <a:gd name="connsiteX3" fmla="*/ 4464844 w 4464844"/>
            <a:gd name="connsiteY3" fmla="*/ 2625328 h 2625328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35969 w 4525902"/>
            <a:gd name="connsiteY2" fmla="*/ 2262188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2029541 w 4525902"/>
            <a:gd name="connsiteY2" fmla="*/ 2220213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96516 w 4525902"/>
            <a:gd name="connsiteY1" fmla="*/ 1363266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25902"/>
            <a:gd name="connsiteY0" fmla="*/ 0 h 2628556"/>
            <a:gd name="connsiteX1" fmla="*/ 677236 w 4525902"/>
            <a:gd name="connsiteY1" fmla="*/ 1376181 h 2628556"/>
            <a:gd name="connsiteX2" fmla="*/ 1994192 w 4525902"/>
            <a:gd name="connsiteY2" fmla="*/ 2236357 h 2628556"/>
            <a:gd name="connsiteX3" fmla="*/ 4525902 w 4525902"/>
            <a:gd name="connsiteY3" fmla="*/ 2628556 h 2628556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41970"/>
            <a:gd name="connsiteY0" fmla="*/ 0 h 2580124"/>
            <a:gd name="connsiteX1" fmla="*/ 693304 w 4541970"/>
            <a:gd name="connsiteY1" fmla="*/ 1327749 h 2580124"/>
            <a:gd name="connsiteX2" fmla="*/ 2010260 w 4541970"/>
            <a:gd name="connsiteY2" fmla="*/ 2187925 h 2580124"/>
            <a:gd name="connsiteX3" fmla="*/ 4541970 w 4541970"/>
            <a:gd name="connsiteY3" fmla="*/ 2580124 h 2580124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15641"/>
            <a:gd name="connsiteX1" fmla="*/ 670809 w 4519475"/>
            <a:gd name="connsiteY1" fmla="*/ 1363266 h 2615641"/>
            <a:gd name="connsiteX2" fmla="*/ 1987765 w 4519475"/>
            <a:gd name="connsiteY2" fmla="*/ 2223442 h 2615641"/>
            <a:gd name="connsiteX3" fmla="*/ 4519475 w 4519475"/>
            <a:gd name="connsiteY3" fmla="*/ 2615641 h 2615641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70809 w 4519475"/>
            <a:gd name="connsiteY1" fmla="*/ 1363266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19475"/>
            <a:gd name="connsiteY0" fmla="*/ 0 h 2625327"/>
            <a:gd name="connsiteX1" fmla="*/ 645914 w 4519475"/>
            <a:gd name="connsiteY1" fmla="*/ 1378305 h 2625327"/>
            <a:gd name="connsiteX2" fmla="*/ 1987765 w 4519475"/>
            <a:gd name="connsiteY2" fmla="*/ 2223442 h 2625327"/>
            <a:gd name="connsiteX3" fmla="*/ 4519475 w 4519475"/>
            <a:gd name="connsiteY3" fmla="*/ 2625327 h 262532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08402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8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22618 w 4544370"/>
            <a:gd name="connsiteY2" fmla="*/ 221842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70809 w 4544370"/>
            <a:gd name="connsiteY1" fmla="*/ 1363265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10287"/>
            <a:gd name="connsiteX1" fmla="*/ 655872 w 4544370"/>
            <a:gd name="connsiteY1" fmla="*/ 1373292 h 2610287"/>
            <a:gd name="connsiteX2" fmla="*/ 2012660 w 4544370"/>
            <a:gd name="connsiteY2" fmla="*/ 2233469 h 2610287"/>
            <a:gd name="connsiteX3" fmla="*/ 4544370 w 4544370"/>
            <a:gd name="connsiteY3" fmla="*/ 2610287 h 261028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544370"/>
            <a:gd name="connsiteY0" fmla="*/ 0 h 2625327"/>
            <a:gd name="connsiteX1" fmla="*/ 655872 w 4544370"/>
            <a:gd name="connsiteY1" fmla="*/ 1388332 h 2625327"/>
            <a:gd name="connsiteX2" fmla="*/ 2012660 w 4544370"/>
            <a:gd name="connsiteY2" fmla="*/ 2248509 h 2625327"/>
            <a:gd name="connsiteX3" fmla="*/ 4544370 w 4544370"/>
            <a:gd name="connsiteY3" fmla="*/ 2625327 h 2625327"/>
            <a:gd name="connsiteX0" fmla="*/ 0 w 4659145"/>
            <a:gd name="connsiteY0" fmla="*/ 0 h 2251813"/>
            <a:gd name="connsiteX1" fmla="*/ 655872 w 4659145"/>
            <a:gd name="connsiteY1" fmla="*/ 1388332 h 2251813"/>
            <a:gd name="connsiteX2" fmla="*/ 2012660 w 4659145"/>
            <a:gd name="connsiteY2" fmla="*/ 2248509 h 2251813"/>
            <a:gd name="connsiteX3" fmla="*/ 4659145 w 4659145"/>
            <a:gd name="connsiteY3" fmla="*/ 1086287 h 2251813"/>
            <a:gd name="connsiteX0" fmla="*/ 0 w 4659145"/>
            <a:gd name="connsiteY0" fmla="*/ 0 h 1533252"/>
            <a:gd name="connsiteX1" fmla="*/ 655872 w 4659145"/>
            <a:gd name="connsiteY1" fmla="*/ 1388332 h 1533252"/>
            <a:gd name="connsiteX2" fmla="*/ 1992699 w 4659145"/>
            <a:gd name="connsiteY2" fmla="*/ 1456430 h 1533252"/>
            <a:gd name="connsiteX3" fmla="*/ 4659145 w 4659145"/>
            <a:gd name="connsiteY3" fmla="*/ 1086287 h 1533252"/>
            <a:gd name="connsiteX0" fmla="*/ 0 w 4714037"/>
            <a:gd name="connsiteY0" fmla="*/ 0 h 1523948"/>
            <a:gd name="connsiteX1" fmla="*/ 655872 w 4714037"/>
            <a:gd name="connsiteY1" fmla="*/ 1388332 h 1523948"/>
            <a:gd name="connsiteX2" fmla="*/ 1992699 w 4714037"/>
            <a:gd name="connsiteY2" fmla="*/ 1456430 h 1523948"/>
            <a:gd name="connsiteX3" fmla="*/ 4714037 w 4714037"/>
            <a:gd name="connsiteY3" fmla="*/ 1256734 h 1523948"/>
            <a:gd name="connsiteX0" fmla="*/ 0 w 4958559"/>
            <a:gd name="connsiteY0" fmla="*/ 1429353 h 1590441"/>
            <a:gd name="connsiteX1" fmla="*/ 900394 w 4958559"/>
            <a:gd name="connsiteY1" fmla="*/ 150685 h 1590441"/>
            <a:gd name="connsiteX2" fmla="*/ 2237221 w 4958559"/>
            <a:gd name="connsiteY2" fmla="*/ 218783 h 1590441"/>
            <a:gd name="connsiteX3" fmla="*/ 4958559 w 4958559"/>
            <a:gd name="connsiteY3" fmla="*/ 19087 h 1590441"/>
            <a:gd name="connsiteX0" fmla="*/ 0 w 4958559"/>
            <a:gd name="connsiteY0" fmla="*/ 1434028 h 1632058"/>
            <a:gd name="connsiteX1" fmla="*/ 875443 w 4958559"/>
            <a:gd name="connsiteY1" fmla="*/ 581478 h 1632058"/>
            <a:gd name="connsiteX2" fmla="*/ 2237221 w 4958559"/>
            <a:gd name="connsiteY2" fmla="*/ 223458 h 1632058"/>
            <a:gd name="connsiteX3" fmla="*/ 4958559 w 4958559"/>
            <a:gd name="connsiteY3" fmla="*/ 23762 h 1632058"/>
            <a:gd name="connsiteX0" fmla="*/ 0 w 4958559"/>
            <a:gd name="connsiteY0" fmla="*/ 1434028 h 1434028"/>
            <a:gd name="connsiteX1" fmla="*/ 875443 w 4958559"/>
            <a:gd name="connsiteY1" fmla="*/ 581478 h 1434028"/>
            <a:gd name="connsiteX2" fmla="*/ 2237221 w 4958559"/>
            <a:gd name="connsiteY2" fmla="*/ 223458 h 1434028"/>
            <a:gd name="connsiteX3" fmla="*/ 4958559 w 4958559"/>
            <a:gd name="connsiteY3" fmla="*/ 23762 h 1434028"/>
            <a:gd name="connsiteX0" fmla="*/ 0 w 4958559"/>
            <a:gd name="connsiteY0" fmla="*/ 1431690 h 1431690"/>
            <a:gd name="connsiteX1" fmla="*/ 875443 w 4958559"/>
            <a:gd name="connsiteY1" fmla="*/ 579140 h 1431690"/>
            <a:gd name="connsiteX2" fmla="*/ 2262172 w 4958559"/>
            <a:gd name="connsiteY2" fmla="*/ 251199 h 1431690"/>
            <a:gd name="connsiteX3" fmla="*/ 4958559 w 4958559"/>
            <a:gd name="connsiteY3" fmla="*/ 21424 h 1431690"/>
            <a:gd name="connsiteX0" fmla="*/ 0 w 4958559"/>
            <a:gd name="connsiteY0" fmla="*/ 1432081 h 1432081"/>
            <a:gd name="connsiteX1" fmla="*/ 740707 w 4958559"/>
            <a:gd name="connsiteY1" fmla="*/ 614623 h 1432081"/>
            <a:gd name="connsiteX2" fmla="*/ 2262172 w 4958559"/>
            <a:gd name="connsiteY2" fmla="*/ 251590 h 1432081"/>
            <a:gd name="connsiteX3" fmla="*/ 4958559 w 4958559"/>
            <a:gd name="connsiteY3" fmla="*/ 21815 h 1432081"/>
            <a:gd name="connsiteX0" fmla="*/ 0 w 4953569"/>
            <a:gd name="connsiteY0" fmla="*/ 1462160 h 1462160"/>
            <a:gd name="connsiteX1" fmla="*/ 735717 w 4953569"/>
            <a:gd name="connsiteY1" fmla="*/ 614623 h 1462160"/>
            <a:gd name="connsiteX2" fmla="*/ 2257182 w 4953569"/>
            <a:gd name="connsiteY2" fmla="*/ 251590 h 1462160"/>
            <a:gd name="connsiteX3" fmla="*/ 4953569 w 4953569"/>
            <a:gd name="connsiteY3" fmla="*/ 21815 h 1462160"/>
            <a:gd name="connsiteX0" fmla="*/ 0 w 4953569"/>
            <a:gd name="connsiteY0" fmla="*/ 1461769 h 1461769"/>
            <a:gd name="connsiteX1" fmla="*/ 695795 w 4953569"/>
            <a:gd name="connsiteY1" fmla="*/ 579140 h 1461769"/>
            <a:gd name="connsiteX2" fmla="*/ 2257182 w 4953569"/>
            <a:gd name="connsiteY2" fmla="*/ 251199 h 1461769"/>
            <a:gd name="connsiteX3" fmla="*/ 4953569 w 4953569"/>
            <a:gd name="connsiteY3" fmla="*/ 21424 h 1461769"/>
            <a:gd name="connsiteX0" fmla="*/ 0 w 4973530"/>
            <a:gd name="connsiteY0" fmla="*/ 1411637 h 1411637"/>
            <a:gd name="connsiteX1" fmla="*/ 715756 w 4973530"/>
            <a:gd name="connsiteY1" fmla="*/ 579140 h 1411637"/>
            <a:gd name="connsiteX2" fmla="*/ 2277143 w 4973530"/>
            <a:gd name="connsiteY2" fmla="*/ 251199 h 1411637"/>
            <a:gd name="connsiteX3" fmla="*/ 4973530 w 4973530"/>
            <a:gd name="connsiteY3" fmla="*/ 21424 h 1411637"/>
            <a:gd name="connsiteX0" fmla="*/ 0 w 4973530"/>
            <a:gd name="connsiteY0" fmla="*/ 1413975 h 1413975"/>
            <a:gd name="connsiteX1" fmla="*/ 715756 w 4973530"/>
            <a:gd name="connsiteY1" fmla="*/ 581478 h 1413975"/>
            <a:gd name="connsiteX2" fmla="*/ 2272153 w 4973530"/>
            <a:gd name="connsiteY2" fmla="*/ 223458 h 1413975"/>
            <a:gd name="connsiteX3" fmla="*/ 4973530 w 4973530"/>
            <a:gd name="connsiteY3" fmla="*/ 23762 h 1413975"/>
            <a:gd name="connsiteX0" fmla="*/ 0 w 4973530"/>
            <a:gd name="connsiteY0" fmla="*/ 1390510 h 1390510"/>
            <a:gd name="connsiteX1" fmla="*/ 715756 w 4973530"/>
            <a:gd name="connsiteY1" fmla="*/ 558013 h 1390510"/>
            <a:gd name="connsiteX2" fmla="*/ 2272153 w 4973530"/>
            <a:gd name="connsiteY2" fmla="*/ 199993 h 1390510"/>
            <a:gd name="connsiteX3" fmla="*/ 4973530 w 4973530"/>
            <a:gd name="connsiteY3" fmla="*/ 297 h 1390510"/>
            <a:gd name="connsiteX0" fmla="*/ 0 w 4973530"/>
            <a:gd name="connsiteY0" fmla="*/ 1390213 h 1390213"/>
            <a:gd name="connsiteX1" fmla="*/ 715756 w 4973530"/>
            <a:gd name="connsiteY1" fmla="*/ 557716 h 1390213"/>
            <a:gd name="connsiteX2" fmla="*/ 2272153 w 4973530"/>
            <a:gd name="connsiteY2" fmla="*/ 199696 h 1390213"/>
            <a:gd name="connsiteX3" fmla="*/ 4973530 w 4973530"/>
            <a:gd name="connsiteY3" fmla="*/ 0 h 1390213"/>
            <a:gd name="connsiteX0" fmla="*/ 0 w 4963550"/>
            <a:gd name="connsiteY0" fmla="*/ 1405252 h 1405252"/>
            <a:gd name="connsiteX1" fmla="*/ 715756 w 4963550"/>
            <a:gd name="connsiteY1" fmla="*/ 572755 h 1405252"/>
            <a:gd name="connsiteX2" fmla="*/ 2272153 w 4963550"/>
            <a:gd name="connsiteY2" fmla="*/ 214735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715756 w 4963550"/>
            <a:gd name="connsiteY1" fmla="*/ 572755 h 1405252"/>
            <a:gd name="connsiteX2" fmla="*/ 2272153 w 4963550"/>
            <a:gd name="connsiteY2" fmla="*/ 214735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715756 w 4963550"/>
            <a:gd name="connsiteY1" fmla="*/ 572755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690804 w 4963550"/>
            <a:gd name="connsiteY1" fmla="*/ 592807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675833 w 4963550"/>
            <a:gd name="connsiteY1" fmla="*/ 587794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  <a:gd name="connsiteX0" fmla="*/ 0 w 4963550"/>
            <a:gd name="connsiteY0" fmla="*/ 1405252 h 1405252"/>
            <a:gd name="connsiteX1" fmla="*/ 675833 w 4963550"/>
            <a:gd name="connsiteY1" fmla="*/ 587794 h 1405252"/>
            <a:gd name="connsiteX2" fmla="*/ 2292115 w 4963550"/>
            <a:gd name="connsiteY2" fmla="*/ 194683 h 1405252"/>
            <a:gd name="connsiteX3" fmla="*/ 4963550 w 4963550"/>
            <a:gd name="connsiteY3" fmla="*/ 0 h 14052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963550" h="1405252">
              <a:moveTo>
                <a:pt x="0" y="1405252"/>
              </a:moveTo>
              <a:cubicBezTo>
                <a:pt x="201841" y="928278"/>
                <a:pt x="293814" y="789556"/>
                <a:pt x="675833" y="587794"/>
              </a:cubicBezTo>
              <a:cubicBezTo>
                <a:pt x="1057852" y="386033"/>
                <a:pt x="1577496" y="292649"/>
                <a:pt x="2292115" y="194683"/>
              </a:cubicBezTo>
              <a:cubicBezTo>
                <a:pt x="3006734" y="96717"/>
                <a:pt x="3582033" y="28234"/>
                <a:pt x="4963550" y="0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322947</xdr:colOff>
      <xdr:row>33</xdr:row>
      <xdr:rowOff>148891</xdr:rowOff>
    </xdr:from>
    <xdr:to>
      <xdr:col>19</xdr:col>
      <xdr:colOff>137179</xdr:colOff>
      <xdr:row>33</xdr:row>
      <xdr:rowOff>148891</xdr:rowOff>
    </xdr:to>
    <xdr:cxnSp macro="">
      <xdr:nvCxnSpPr>
        <xdr:cNvPr id="15" name="Straight Connector 43">
          <a:extLst>
            <a:ext uri="{FF2B5EF4-FFF2-40B4-BE49-F238E27FC236}">
              <a16:creationId xmlns:a16="http://schemas.microsoft.com/office/drawing/2014/main" id="{66E747D1-5E42-4B35-95A9-6AA8D96DFF8E}"/>
            </a:ext>
          </a:extLst>
        </xdr:cNvPr>
        <xdr:cNvCxnSpPr/>
      </xdr:nvCxnSpPr>
      <xdr:spPr>
        <a:xfrm>
          <a:off x="10068526" y="15960391"/>
          <a:ext cx="348386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13607</xdr:colOff>
      <xdr:row>14</xdr:row>
      <xdr:rowOff>0</xdr:rowOff>
    </xdr:from>
    <xdr:to>
      <xdr:col>34</xdr:col>
      <xdr:colOff>4785</xdr:colOff>
      <xdr:row>53</xdr:row>
      <xdr:rowOff>40821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E34B97-0B1B-49C4-B655-2299E37E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73750" y="3619500"/>
          <a:ext cx="8250714" cy="7470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494D-6DBB-4C99-8823-86FC1866476E}">
  <sheetPr>
    <tabColor rgb="FF0070C0"/>
  </sheetPr>
  <dimension ref="B1:CO202"/>
  <sheetViews>
    <sheetView tabSelected="1" zoomScaleNormal="100" workbookViewId="0">
      <selection activeCell="C11" sqref="C11"/>
    </sheetView>
  </sheetViews>
  <sheetFormatPr defaultRowHeight="15" customHeight="1"/>
  <cols>
    <col min="2" max="2" width="34.140625" style="1" bestFit="1" customWidth="1"/>
    <col min="3" max="3" width="13" style="1" customWidth="1"/>
    <col min="4" max="4" width="10.140625" style="1" customWidth="1"/>
    <col min="5" max="5" width="10.42578125" bestFit="1" customWidth="1"/>
    <col min="6" max="6" width="31.28515625" style="1" bestFit="1" customWidth="1"/>
    <col min="7" max="7" width="13" style="1" customWidth="1"/>
    <col min="8" max="8" width="10.140625" style="1" customWidth="1"/>
    <col min="9" max="9" width="9.140625" customWidth="1"/>
    <col min="10" max="10" width="31.28515625" style="1" bestFit="1" customWidth="1"/>
    <col min="11" max="11" width="13" style="1" customWidth="1"/>
    <col min="12" max="12" width="10.140625" style="1" customWidth="1"/>
    <col min="28" max="28" width="34.140625" style="1" bestFit="1" customWidth="1"/>
    <col min="29" max="29" width="13" style="1" customWidth="1"/>
    <col min="30" max="30" width="10.140625" style="1" customWidth="1"/>
    <col min="32" max="32" width="34.140625" style="1" bestFit="1" customWidth="1"/>
    <col min="33" max="33" width="13" style="1" customWidth="1"/>
    <col min="34" max="34" width="10.140625" style="1" customWidth="1"/>
    <col min="36" max="36" width="16.28515625" bestFit="1" customWidth="1"/>
    <col min="37" max="40" width="9.140625" customWidth="1"/>
  </cols>
  <sheetData>
    <row r="1" spans="2:93" ht="15" customHeight="1">
      <c r="AK1" s="12"/>
      <c r="AR1" s="12"/>
      <c r="AY1" s="12"/>
      <c r="BF1" s="12"/>
      <c r="BM1" s="12"/>
      <c r="BT1" s="12"/>
      <c r="CA1" s="12"/>
      <c r="CH1" s="12"/>
      <c r="CO1" s="12"/>
    </row>
    <row r="2" spans="2:93" ht="15" customHeight="1">
      <c r="C2"/>
      <c r="D2"/>
      <c r="F2"/>
      <c r="G2"/>
      <c r="H2"/>
      <c r="J2"/>
      <c r="K2"/>
      <c r="L2"/>
      <c r="AB2"/>
      <c r="AC2"/>
      <c r="AD2"/>
      <c r="AF2"/>
      <c r="AG2"/>
      <c r="AH2"/>
      <c r="AK2" s="12"/>
      <c r="AR2" s="12"/>
      <c r="AY2" s="12"/>
      <c r="BF2" s="12"/>
      <c r="BM2" s="12"/>
      <c r="BT2" s="12"/>
      <c r="CA2" s="12"/>
      <c r="CH2" s="12"/>
      <c r="CO2" s="12"/>
    </row>
    <row r="3" spans="2:93" ht="15" customHeight="1">
      <c r="B3" s="2" t="s">
        <v>0</v>
      </c>
      <c r="C3" s="3" t="s">
        <v>1</v>
      </c>
      <c r="D3" s="4" t="s">
        <v>2</v>
      </c>
      <c r="F3" s="5" t="s">
        <v>3</v>
      </c>
      <c r="G3" s="5"/>
      <c r="H3" s="5"/>
      <c r="I3" s="5"/>
      <c r="J3" s="5"/>
      <c r="K3" s="5"/>
      <c r="L3" s="5"/>
      <c r="AB3" s="32" t="s">
        <v>4</v>
      </c>
      <c r="AC3" s="32"/>
      <c r="AD3" s="32"/>
      <c r="AE3" s="32"/>
      <c r="AF3" s="32"/>
      <c r="AG3" s="32"/>
      <c r="AH3" s="32"/>
      <c r="AK3" s="12"/>
      <c r="AR3" s="12"/>
      <c r="AY3" s="12"/>
      <c r="BF3" s="12"/>
      <c r="BM3" s="12"/>
      <c r="BT3" s="12"/>
      <c r="CA3" s="12"/>
      <c r="CH3" s="12"/>
      <c r="CO3" s="12"/>
    </row>
    <row r="4" spans="2:93" ht="15" customHeight="1">
      <c r="AB4"/>
      <c r="AC4"/>
      <c r="AD4"/>
      <c r="AF4"/>
      <c r="AG4"/>
      <c r="AH4"/>
      <c r="AJ4" s="15" t="s">
        <v>5</v>
      </c>
      <c r="AK4" s="16"/>
      <c r="AR4" s="12"/>
      <c r="AY4" s="12"/>
      <c r="BF4" s="12"/>
      <c r="BM4" s="12"/>
      <c r="BT4" s="12"/>
      <c r="CA4" s="12"/>
      <c r="CH4" s="12"/>
      <c r="CO4" s="12"/>
    </row>
    <row r="5" spans="2:93" ht="15" customHeight="1">
      <c r="B5" s="6" t="s">
        <v>6</v>
      </c>
      <c r="C5" s="6"/>
      <c r="D5" s="6"/>
      <c r="F5" s="7" t="s">
        <v>7</v>
      </c>
      <c r="G5" s="7"/>
      <c r="H5" s="7"/>
      <c r="J5" s="7" t="s">
        <v>8</v>
      </c>
      <c r="K5" s="7"/>
      <c r="L5" s="7"/>
      <c r="AB5" s="36" t="s">
        <v>9</v>
      </c>
      <c r="AC5" s="37"/>
      <c r="AD5" s="37"/>
      <c r="AF5" s="36" t="s">
        <v>10</v>
      </c>
      <c r="AG5" s="37"/>
      <c r="AH5" s="37"/>
      <c r="AJ5" s="13" t="s">
        <v>11</v>
      </c>
      <c r="AK5" s="14" t="s">
        <v>12</v>
      </c>
      <c r="AR5" s="12"/>
      <c r="AY5" s="12"/>
      <c r="BF5" s="12"/>
      <c r="BM5" s="12"/>
      <c r="BT5" s="12"/>
      <c r="CA5" s="12"/>
      <c r="CH5" s="12"/>
      <c r="CO5" s="12"/>
    </row>
    <row r="6" spans="2:93" ht="15" customHeight="1">
      <c r="B6" s="8" t="str">
        <f>IF($D$3="English","Diametrial Pitch, P (N/d)", "Module, m (d/N)")</f>
        <v>Diametrial Pitch, P (N/d)</v>
      </c>
      <c r="C6" s="8">
        <v>8</v>
      </c>
      <c r="D6" s="10" t="str">
        <f>IF($D$3="English","teeth/in", "mm/tooth")</f>
        <v>teeth/in</v>
      </c>
      <c r="F6" s="9" t="s">
        <v>13</v>
      </c>
      <c r="G6" s="22">
        <f>C19/C10</f>
        <v>10000</v>
      </c>
      <c r="H6" s="9" t="str">
        <f>IF($D$3="English","psi","Pa")</f>
        <v>psi</v>
      </c>
      <c r="J6" s="8" t="s">
        <v>14</v>
      </c>
      <c r="K6" s="8">
        <v>6.3E-2</v>
      </c>
      <c r="L6" s="8" t="str">
        <f>IF($D$3="English","in", "mm")</f>
        <v>in</v>
      </c>
      <c r="AB6" s="9" t="s">
        <v>15</v>
      </c>
      <c r="AC6" s="29">
        <f>K22</f>
        <v>10020.064019700523</v>
      </c>
      <c r="AD6" s="9" t="str">
        <f>IF($D$3="English","psi","Pa")</f>
        <v>psi</v>
      </c>
      <c r="AF6" s="9" t="s">
        <v>16</v>
      </c>
      <c r="AG6" s="29">
        <f>K24</f>
        <v>12825.681945216667</v>
      </c>
      <c r="AH6" s="9" t="str">
        <f>IF($D$3="English","psi","Pa")</f>
        <v>psi</v>
      </c>
      <c r="AJ6" s="21">
        <v>12</v>
      </c>
      <c r="AK6" s="26">
        <v>0.245</v>
      </c>
      <c r="AR6" s="12"/>
      <c r="AY6" s="12"/>
      <c r="BF6" s="12"/>
      <c r="BM6" s="12"/>
      <c r="BT6" s="12"/>
      <c r="CA6" s="12"/>
      <c r="CH6" s="12"/>
      <c r="CO6" s="12"/>
    </row>
    <row r="7" spans="2:93" ht="15" customHeight="1">
      <c r="B7" s="8" t="s">
        <v>17</v>
      </c>
      <c r="C7" s="8">
        <v>1.5</v>
      </c>
      <c r="D7" s="8" t="str">
        <f>IF($D$3="English","in", "mm")</f>
        <v>in</v>
      </c>
      <c r="F7" s="9"/>
      <c r="G7" s="25">
        <f>IF($D$3="English",G6*10^-3,G6*10^-6)</f>
        <v>10</v>
      </c>
      <c r="H7" s="9" t="str">
        <f>IF($D$3="English","kpsi","MPa")</f>
        <v>kpsi</v>
      </c>
      <c r="J7" s="9" t="s">
        <v>18</v>
      </c>
      <c r="K7" s="33">
        <f>PI()*G9/C8</f>
        <v>0.39269908169872414</v>
      </c>
      <c r="L7" s="9" t="str">
        <f>IF($D$3="English","in", "mm")</f>
        <v>in</v>
      </c>
      <c r="AB7" s="9"/>
      <c r="AC7" s="30">
        <f>IF($D$3="English",AC6*10^-3,AC6*10^-6)</f>
        <v>10.020064019700524</v>
      </c>
      <c r="AD7" s="9" t="str">
        <f>IF($D$3="English","kpsi","MPa")</f>
        <v>kpsi</v>
      </c>
      <c r="AF7" s="9"/>
      <c r="AG7" s="30">
        <f>IF($D$3="English",AG6*10^-3,AG6*10^-6)</f>
        <v>12.825681945216667</v>
      </c>
      <c r="AH7" s="9" t="str">
        <f>IF($D$3="English","kpsi","MPa")</f>
        <v>kpsi</v>
      </c>
      <c r="AJ7" s="21">
        <v>13</v>
      </c>
      <c r="AK7" s="26">
        <v>0.26100000000000001</v>
      </c>
      <c r="AR7" s="12"/>
      <c r="AY7" s="12"/>
      <c r="BF7" s="12"/>
      <c r="BM7" s="12"/>
      <c r="BT7" s="12"/>
      <c r="CA7" s="12"/>
      <c r="CH7" s="12"/>
      <c r="CO7" s="12"/>
    </row>
    <row r="8" spans="2:93" ht="15" customHeight="1">
      <c r="B8" s="8" t="s">
        <v>19</v>
      </c>
      <c r="C8" s="8">
        <v>16</v>
      </c>
      <c r="D8" s="10" t="s">
        <v>20</v>
      </c>
      <c r="F8" s="9" t="s">
        <v>21</v>
      </c>
      <c r="G8" s="9">
        <f>IF(C8&lt;=MIN(AJ6:AJ31), INDEX(AK6:AK31, MATCH(MIN(AJ6:AJ31), AJ6:AJ31, 0)),
   IF(C8&gt;=MAX(AJ6:AJ31), INDEX(AK6:AK31, MATCH(MAX(AJ6:AJ31), AJ6:AJ31, 0)),
      INDEX(AK6:AK31, MATCH(LARGE(AJ6:AJ31, COUNTIF(AJ6:AJ31, "&gt;"&amp;C8)), AJ6:AJ31, 0)) +
      (C8 - LARGE(AJ6:AJ31, COUNTIF(AJ6:AJ31, "&gt;"&amp;C8))) *
      (INDEX(AK6:AK31, MATCH(SMALL(AJ6:AJ31, COUNTIF(AJ6:AJ31, "&lt;="&amp;C8)), AJ6:AJ31, 0)) -
       INDEX(AK6:AK31, MATCH(LARGE(AJ6:AJ31, COUNTIF(AJ6:AJ31, "&gt;"&amp;C8)), AJ6:AJ31, 0))) /
      (SMALL(AJ6:AJ31, COUNTIF(AJ6:AJ31, "&lt;="&amp;C8)) - LARGE(AJ6:AJ31, COUNTIF(AJ6:AJ31, "&gt;"&amp;C8)))
   )
)</f>
        <v>0.29599999999999999</v>
      </c>
      <c r="H8" s="11" t="s">
        <v>22</v>
      </c>
      <c r="J8" s="9" t="s">
        <v>23</v>
      </c>
      <c r="K8" s="9">
        <f>(3*G8)/(2*IF($D$3="English",C6, C6^-1))</f>
        <v>5.5499999999999994E-2</v>
      </c>
      <c r="L8" s="9" t="str">
        <f>IF($D$3="English","in", "mm")</f>
        <v>in</v>
      </c>
      <c r="AB8" s="8" t="s">
        <v>24</v>
      </c>
      <c r="AC8" s="34">
        <v>11338.156000000001</v>
      </c>
      <c r="AD8" s="8" t="str">
        <f>IF($D$3="English","psi","Pa")</f>
        <v>psi</v>
      </c>
      <c r="AF8" s="8" t="s">
        <v>24</v>
      </c>
      <c r="AG8" s="34">
        <v>11338.156000000001</v>
      </c>
      <c r="AH8" s="8" t="str">
        <f>IF($D$3="English","psi","Pa")</f>
        <v>psi</v>
      </c>
      <c r="AJ8" s="21">
        <v>14</v>
      </c>
      <c r="AK8" s="26">
        <v>0.27700000000000002</v>
      </c>
      <c r="AR8" s="12"/>
      <c r="AY8" s="12"/>
      <c r="BF8" s="12"/>
      <c r="BM8" s="12"/>
      <c r="BT8" s="12"/>
      <c r="CA8" s="12"/>
      <c r="CH8" s="12"/>
      <c r="CO8" s="12"/>
    </row>
    <row r="9" spans="2:93" ht="15" customHeight="1">
      <c r="B9" s="8" t="s">
        <v>25</v>
      </c>
      <c r="C9" s="8">
        <v>20</v>
      </c>
      <c r="D9" s="8" t="s">
        <v>26</v>
      </c>
      <c r="F9" s="9" t="s">
        <v>27</v>
      </c>
      <c r="G9" s="9">
        <f>IF($D$3="English",(C6^-1)*C8, C6*C8)</f>
        <v>2</v>
      </c>
      <c r="H9" s="9" t="str">
        <f>IF($D$3="English","in", "mm")</f>
        <v>in</v>
      </c>
      <c r="J9" s="9" t="s">
        <v>28</v>
      </c>
      <c r="K9" s="9">
        <f>1*(IF($D$3="English",C6, C6^-1))^-1 + 1.25*(IF($D$3="English",C6, C6^-1))^-1</f>
        <v>0.28125</v>
      </c>
      <c r="L9" s="9" t="str">
        <f>IF($D$3="English","in", "mm")</f>
        <v>in</v>
      </c>
      <c r="AB9" s="9"/>
      <c r="AC9" s="30">
        <f>IF($D$3="English",AC8*10^-3,AC8*10^-6)</f>
        <v>11.338156000000001</v>
      </c>
      <c r="AD9" s="9" t="str">
        <f>IF($D$3="English","kpsi","MPa")</f>
        <v>kpsi</v>
      </c>
      <c r="AF9" s="9"/>
      <c r="AG9" s="30">
        <f>IF($D$3="English",AG8*10^-3,AG8*10^-6)</f>
        <v>11.338156000000001</v>
      </c>
      <c r="AH9" s="9" t="str">
        <f>IF($D$3="English","kpsi","MPa")</f>
        <v>kpsi</v>
      </c>
      <c r="AJ9" s="21">
        <v>15</v>
      </c>
      <c r="AK9" s="26">
        <v>0.28999999999999998</v>
      </c>
      <c r="AR9" s="12"/>
      <c r="AY9" s="12"/>
      <c r="BF9" s="12"/>
      <c r="BM9" s="12"/>
      <c r="BT9" s="12"/>
      <c r="CA9" s="12"/>
      <c r="CH9" s="12"/>
      <c r="CO9" s="12"/>
    </row>
    <row r="10" spans="2:93" ht="15" customHeight="1">
      <c r="B10" s="8" t="s">
        <v>29</v>
      </c>
      <c r="C10" s="8">
        <v>3</v>
      </c>
      <c r="D10" s="10" t="s">
        <v>22</v>
      </c>
      <c r="F10" s="9" t="s">
        <v>30</v>
      </c>
      <c r="G10" s="29">
        <f>C12*G9/2</f>
        <v>125.66370614359172</v>
      </c>
      <c r="H10" s="9" t="str">
        <f>IF($D$3="English","in/s", "mm/s")</f>
        <v>in/s</v>
      </c>
      <c r="J10" s="9" t="s">
        <v>31</v>
      </c>
      <c r="K10" s="9">
        <f>SQRT(4*K9*K8)</f>
        <v>0.24987496873436521</v>
      </c>
      <c r="L10" s="9" t="str">
        <f>IF($D$3="English","in", "mm")</f>
        <v>in</v>
      </c>
      <c r="AB10" s="9" t="s">
        <v>32</v>
      </c>
      <c r="AC10" s="35">
        <f>((AC8-AC6)/AC6)</f>
        <v>0.13154526535039768</v>
      </c>
      <c r="AD10" s="11" t="s">
        <v>22</v>
      </c>
      <c r="AF10" s="9" t="s">
        <v>32</v>
      </c>
      <c r="AG10" s="35">
        <f>((AG8-AG6)/AG6)</f>
        <v>-0.11598026144500166</v>
      </c>
      <c r="AH10" s="11" t="s">
        <v>22</v>
      </c>
      <c r="AJ10" s="21">
        <v>16</v>
      </c>
      <c r="AK10" s="26">
        <v>0.29599999999999999</v>
      </c>
      <c r="AR10" s="12"/>
      <c r="AY10" s="12"/>
      <c r="BF10" s="12"/>
      <c r="BM10" s="12"/>
      <c r="BT10" s="12"/>
      <c r="CA10" s="12"/>
      <c r="CH10" s="12"/>
      <c r="CO10" s="12"/>
    </row>
    <row r="11" spans="2:93" ht="15" customHeight="1">
      <c r="B11" s="8" t="s">
        <v>33</v>
      </c>
      <c r="C11" s="8">
        <v>1200</v>
      </c>
      <c r="D11" s="8" t="s">
        <v>34</v>
      </c>
      <c r="F11" s="9"/>
      <c r="G11" s="29">
        <f>IF($D$3="English",G10*(1/12)*60, G10*10^-3)</f>
        <v>628.31853071795854</v>
      </c>
      <c r="H11" s="9" t="str">
        <f>IF($D$3="English","ft/min", "m/s")</f>
        <v>ft/min</v>
      </c>
      <c r="J11" s="9" t="s">
        <v>35</v>
      </c>
      <c r="K11" s="38">
        <f>K6/K10</f>
        <v>0.25212609457881896</v>
      </c>
      <c r="L11" s="11" t="s">
        <v>22</v>
      </c>
      <c r="AB11" s="8" t="s">
        <v>36</v>
      </c>
      <c r="AC11" s="34">
        <v>8573.5139999999992</v>
      </c>
      <c r="AD11" s="8" t="str">
        <f>IF($D$3="English","psi","Pa")</f>
        <v>psi</v>
      </c>
      <c r="AF11" s="8" t="s">
        <v>36</v>
      </c>
      <c r="AG11" s="34">
        <v>8573.5139999999992</v>
      </c>
      <c r="AH11" s="8" t="str">
        <f>IF($D$3="English","psi","Pa")</f>
        <v>psi</v>
      </c>
      <c r="AJ11" s="21">
        <v>17</v>
      </c>
      <c r="AK11" s="26">
        <v>0.30299999999999999</v>
      </c>
      <c r="AR11" s="12"/>
      <c r="AY11" s="12"/>
      <c r="BF11" s="12"/>
      <c r="BM11" s="12"/>
      <c r="BT11" s="12"/>
      <c r="CA11" s="12"/>
      <c r="CH11" s="12"/>
      <c r="CO11" s="12"/>
    </row>
    <row r="12" spans="2:93" ht="15" customHeight="1">
      <c r="B12" s="9" t="s">
        <v>37</v>
      </c>
      <c r="C12" s="17">
        <f>C11*PI()/30</f>
        <v>125.66370614359172</v>
      </c>
      <c r="D12" s="9" t="s">
        <v>38</v>
      </c>
      <c r="F12" s="9" t="s">
        <v>39</v>
      </c>
      <c r="G12" s="18">
        <f>IF($D$3="English",
   IF(C16="Cast Profile",((600+G11)/600),
     IF(C16="Cut or Milled Profile",((1200+G11)/1200),
       IF(C16="Hobbed or Shaped Profile",((50+SQRT(G11))/50),
         IF(C16="Shaped or Ground Profile",SQRT((78+SQRT(G11))/78),NA())))),
   IF(C16="Cast Profile",((3.05+G11)/3.05),
     IF(C16="Cut or Milled Profile",((6.1+G11)/6.1),
       IF(C16="Hobbed or Shaped Profile",((3.56+SQRT(G11))/3.56),
         IF(C16="Shaped or Ground Profile",SQRT((5.56+SQRT(G11))/5.56),NA()))))
)</f>
        <v>1.5235987755982987</v>
      </c>
      <c r="H12" s="9" t="str">
        <f>IF($D$3="English","ft/min", "m/s")</f>
        <v>ft/min</v>
      </c>
      <c r="J12" s="9" t="s">
        <v>40</v>
      </c>
      <c r="K12" s="38">
        <f>K7/K10</f>
        <v>1.5715823144982204</v>
      </c>
      <c r="L12" s="11" t="s">
        <v>22</v>
      </c>
      <c r="AB12" s="9"/>
      <c r="AC12" s="30">
        <f>IF($D$3="English",AC11*10^-3,AC11*10^-6)</f>
        <v>8.5735139999999994</v>
      </c>
      <c r="AD12" s="9" t="str">
        <f>IF($D$3="English","kpsi","MPa")</f>
        <v>kpsi</v>
      </c>
      <c r="AF12" s="9"/>
      <c r="AG12" s="30">
        <f>IF($D$3="English",AG11*10^-3,AG11*10^-6)</f>
        <v>8.5735139999999994</v>
      </c>
      <c r="AH12" s="9" t="str">
        <f>IF($D$3="English","kpsi","MPa")</f>
        <v>kpsi</v>
      </c>
      <c r="AJ12" s="21">
        <v>18</v>
      </c>
      <c r="AK12" s="26">
        <v>0.309</v>
      </c>
      <c r="AR12" s="12"/>
      <c r="AY12" s="12"/>
      <c r="BF12" s="12"/>
      <c r="BM12" s="12"/>
      <c r="BT12" s="12"/>
      <c r="CA12" s="12"/>
      <c r="CH12" s="12"/>
      <c r="CO12" s="12"/>
    </row>
    <row r="13" spans="2:93" ht="15" customHeight="1">
      <c r="B13" s="1" t="s">
        <v>41</v>
      </c>
      <c r="F13" s="9" t="s">
        <v>42</v>
      </c>
      <c r="G13" s="17">
        <f>IF($D$3="English",33000/G11, 60000/(G10*60))</f>
        <v>52.521131220325472</v>
      </c>
      <c r="H13" s="9" t="str">
        <f>IF($D$3="English","lbf/HP", "kN/kW")</f>
        <v>lbf/HP</v>
      </c>
      <c r="J13" s="8" t="s">
        <v>43</v>
      </c>
      <c r="K13" s="8">
        <v>1.4</v>
      </c>
      <c r="L13" s="10" t="s">
        <v>22</v>
      </c>
      <c r="AB13" s="9" t="s">
        <v>44</v>
      </c>
      <c r="AC13" s="35">
        <f>((AC11-AC6)/AC6)</f>
        <v>-0.14436534705331733</v>
      </c>
      <c r="AD13" s="11" t="s">
        <v>22</v>
      </c>
      <c r="AF13" s="9" t="s">
        <v>44</v>
      </c>
      <c r="AG13" s="35">
        <f>((AG11-AG6)/AG6)</f>
        <v>-0.33153542738540404</v>
      </c>
      <c r="AH13" s="11" t="s">
        <v>22</v>
      </c>
      <c r="AJ13" s="21">
        <v>19</v>
      </c>
      <c r="AK13" s="26">
        <v>0.314</v>
      </c>
      <c r="AR13" s="12"/>
      <c r="AY13" s="12"/>
      <c r="BF13" s="12"/>
      <c r="BM13" s="12"/>
      <c r="BT13" s="12"/>
      <c r="CA13" s="12"/>
      <c r="CH13" s="12"/>
      <c r="CO13" s="12"/>
    </row>
    <row r="14" spans="2:93" ht="15" customHeight="1">
      <c r="B14" s="6" t="s">
        <v>45</v>
      </c>
      <c r="C14" s="6"/>
      <c r="D14" s="6"/>
      <c r="F14" s="9" t="s">
        <v>46</v>
      </c>
      <c r="G14" s="17">
        <f>(G6*C7*G8)/(G12*G13*IF($D$3="English",C6, C6^-1))</f>
        <v>6.9356680108894695</v>
      </c>
      <c r="H14" s="9" t="str">
        <f>IF($D$3="English","HP", "kW")</f>
        <v>HP</v>
      </c>
      <c r="J14" s="8" t="s">
        <v>47</v>
      </c>
      <c r="K14" s="8">
        <v>0.7</v>
      </c>
      <c r="L14" s="10" t="s">
        <v>22</v>
      </c>
      <c r="AJ14" s="21">
        <v>20</v>
      </c>
      <c r="AK14" s="26">
        <v>0.32200000000000001</v>
      </c>
      <c r="AR14" s="12"/>
      <c r="AY14" s="12"/>
      <c r="BF14" s="12"/>
      <c r="BM14" s="12"/>
      <c r="BT14" s="12"/>
      <c r="CA14" s="12"/>
      <c r="CH14" s="12"/>
      <c r="CO14" s="12"/>
    </row>
    <row r="15" spans="2:93" ht="15" customHeight="1">
      <c r="B15" s="8" t="s">
        <v>48</v>
      </c>
      <c r="C15" s="8" t="s">
        <v>49</v>
      </c>
      <c r="D15" s="8"/>
      <c r="F15" s="9" t="s">
        <v>50</v>
      </c>
      <c r="G15" s="17">
        <f>G13*G14</f>
        <v>364.26912970053957</v>
      </c>
      <c r="H15" s="9" t="str">
        <f>IF($D$3="English","lbf", "kN")</f>
        <v>lbf</v>
      </c>
      <c r="J15" s="9" t="s">
        <v>51</v>
      </c>
      <c r="K15" s="9">
        <f>1+K14*(K13-1)</f>
        <v>1.2799999999999998</v>
      </c>
      <c r="L15" s="11" t="s">
        <v>22</v>
      </c>
      <c r="AJ15" s="21">
        <v>21</v>
      </c>
      <c r="AK15" s="26">
        <v>0.32800000000000001</v>
      </c>
      <c r="AR15" s="12"/>
      <c r="AY15" s="12"/>
      <c r="BF15" s="12"/>
      <c r="BM15" s="12"/>
      <c r="BT15" s="12"/>
      <c r="CA15" s="12"/>
      <c r="CH15" s="12"/>
      <c r="CO15" s="12"/>
    </row>
    <row r="16" spans="2:93" ht="15" customHeight="1">
      <c r="B16" s="8" t="s">
        <v>52</v>
      </c>
      <c r="C16" s="8" t="s">
        <v>53</v>
      </c>
      <c r="D16" s="8"/>
      <c r="F16" s="9"/>
      <c r="G16" s="29">
        <f>G15*10^3</f>
        <v>364269.12970053958</v>
      </c>
      <c r="H16" s="9" t="str">
        <f>IF($D$3="English","*10^-3 lbf", "N")</f>
        <v>*10^-3 lbf</v>
      </c>
      <c r="AJ16" s="21">
        <v>22</v>
      </c>
      <c r="AK16" s="26">
        <v>0.33100000000000002</v>
      </c>
      <c r="AR16" s="12"/>
      <c r="AY16" s="12"/>
      <c r="BF16" s="12"/>
      <c r="BM16" s="12"/>
      <c r="BT16" s="12"/>
      <c r="CA16" s="12"/>
      <c r="CH16" s="12"/>
      <c r="CO16" s="12"/>
    </row>
    <row r="17" spans="2:93" ht="15" customHeight="1">
      <c r="B17" s="8" t="s">
        <v>54</v>
      </c>
      <c r="C17" s="23">
        <f>55*10^3</f>
        <v>55000</v>
      </c>
      <c r="D17" s="8" t="str">
        <f>IF($D$3="English","psi","Pa")</f>
        <v>psi</v>
      </c>
      <c r="AJ17" s="21">
        <v>24</v>
      </c>
      <c r="AK17" s="26">
        <v>0.33700000000000002</v>
      </c>
      <c r="AR17" s="12"/>
      <c r="AY17" s="12"/>
      <c r="BF17" s="12"/>
      <c r="BM17" s="12"/>
      <c r="BT17" s="12"/>
      <c r="CA17" s="12"/>
      <c r="CH17" s="12"/>
      <c r="CO17" s="12"/>
    </row>
    <row r="18" spans="2:93" ht="15" customHeight="1">
      <c r="B18" s="9"/>
      <c r="C18" s="9">
        <f>IF($D$3="English",C17*10^-3,C17*10^-6)</f>
        <v>55</v>
      </c>
      <c r="D18" s="9" t="str">
        <f>IF($D$3="English","kpsi","MPa")</f>
        <v>kpsi</v>
      </c>
      <c r="F18" s="7" t="s">
        <v>55</v>
      </c>
      <c r="G18" s="7"/>
      <c r="H18" s="7"/>
      <c r="J18" s="7" t="s">
        <v>56</v>
      </c>
      <c r="K18" s="7"/>
      <c r="L18" s="7"/>
      <c r="AJ18" s="21">
        <v>26</v>
      </c>
      <c r="AK18" s="26">
        <v>0.34599999999999997</v>
      </c>
      <c r="AR18" s="12"/>
      <c r="AY18" s="12"/>
      <c r="BF18" s="12"/>
      <c r="BM18" s="12"/>
      <c r="BT18" s="12"/>
      <c r="CA18" s="12"/>
      <c r="CH18" s="12"/>
      <c r="CO18" s="12"/>
    </row>
    <row r="19" spans="2:93" ht="15" customHeight="1">
      <c r="B19" s="8" t="s">
        <v>57</v>
      </c>
      <c r="C19" s="24">
        <f>30*10^3</f>
        <v>30000</v>
      </c>
      <c r="D19" s="8" t="str">
        <f>IF($D$3="English","psi","Pa")</f>
        <v>psi</v>
      </c>
      <c r="F19" s="8" t="s">
        <v>46</v>
      </c>
      <c r="G19" s="31">
        <v>6.95</v>
      </c>
      <c r="H19" s="8" t="str">
        <f>IF($D$3="English","HP", "kW")</f>
        <v>HP</v>
      </c>
      <c r="J19" s="8" t="s">
        <v>50</v>
      </c>
      <c r="K19" s="31">
        <v>365</v>
      </c>
      <c r="L19" s="8" t="str">
        <f>IF($D$3="English","lbf", "kN")</f>
        <v>lbf</v>
      </c>
      <c r="AG19"/>
      <c r="AH19"/>
      <c r="AJ19" s="21">
        <v>28</v>
      </c>
      <c r="AK19" s="26">
        <v>0.35299999999999998</v>
      </c>
      <c r="AR19" s="12"/>
      <c r="AY19" s="12"/>
      <c r="BF19" s="12"/>
      <c r="BM19" s="12"/>
      <c r="BT19" s="12"/>
      <c r="CA19" s="12"/>
      <c r="CH19" s="12"/>
      <c r="CO19" s="12"/>
    </row>
    <row r="20" spans="2:93" ht="15" customHeight="1">
      <c r="B20" s="9"/>
      <c r="C20" s="9">
        <f>IF($D$3="English",C19*10^-3,C19*10^-6)</f>
        <v>30</v>
      </c>
      <c r="D20" s="9" t="str">
        <f>IF($D$3="English","kpsi","MPa")</f>
        <v>kpsi</v>
      </c>
      <c r="F20" s="9" t="s">
        <v>50</v>
      </c>
      <c r="G20" s="17">
        <f>G13*G19</f>
        <v>365.02186198126202</v>
      </c>
      <c r="H20" s="9" t="str">
        <f>IF($D$3="English","lbf", "kN")</f>
        <v>lbf</v>
      </c>
      <c r="J20" s="9"/>
      <c r="K20" s="29">
        <f>K19*10^3</f>
        <v>365000</v>
      </c>
      <c r="L20" s="9" t="str">
        <f>IF($D$3="English","*10^-3 lbf", "N")</f>
        <v>*10^-3 lbf</v>
      </c>
      <c r="AF20"/>
      <c r="AG20"/>
      <c r="AH20"/>
      <c r="AJ20" s="21">
        <v>30</v>
      </c>
      <c r="AK20" s="26">
        <v>0.35899999999999999</v>
      </c>
      <c r="AR20" s="12"/>
      <c r="AY20" s="12"/>
      <c r="BF20" s="12"/>
      <c r="BM20" s="12"/>
      <c r="BT20" s="12"/>
      <c r="CA20" s="12"/>
      <c r="CH20" s="12"/>
      <c r="CO20" s="12"/>
    </row>
    <row r="21" spans="2:93" ht="15" customHeight="1">
      <c r="F21" s="9"/>
      <c r="G21" s="29">
        <f>G20*10^3</f>
        <v>365021.86198126205</v>
      </c>
      <c r="H21" s="9" t="str">
        <f>IF($D$3="English","*10^-3 lbf", "N")</f>
        <v>*10^-3 lbf</v>
      </c>
      <c r="J21" s="9" t="s">
        <v>46</v>
      </c>
      <c r="K21" s="17">
        <f>IF($D$3="English", (K19/33000)*G11, (K19/60000)*(G10*60))</f>
        <v>6.9495837488501477</v>
      </c>
      <c r="L21" s="9" t="str">
        <f>IF($D$3="English","HP", "kW")</f>
        <v>HP</v>
      </c>
      <c r="AF21"/>
      <c r="AG21"/>
      <c r="AH21"/>
      <c r="AJ21" s="21">
        <v>34</v>
      </c>
      <c r="AK21" s="26">
        <v>0.371</v>
      </c>
      <c r="AR21" s="12"/>
      <c r="AY21" s="12"/>
      <c r="BF21" s="12"/>
      <c r="BM21" s="12"/>
      <c r="BT21" s="12"/>
      <c r="CA21" s="12"/>
      <c r="CH21" s="12"/>
      <c r="CO21" s="12"/>
    </row>
    <row r="22" spans="2:93" ht="15" customHeight="1">
      <c r="F22" s="9" t="s">
        <v>15</v>
      </c>
      <c r="G22" s="29">
        <f>(G12*G13*G19*IF($D$3="English",C6, (C6^-1)*10^9))/(C7*G8)</f>
        <v>10020.664179842561</v>
      </c>
      <c r="H22" s="9" t="str">
        <f>IF($D$3="English","psi","Pa")</f>
        <v>psi</v>
      </c>
      <c r="J22" s="9" t="s">
        <v>15</v>
      </c>
      <c r="K22" s="29">
        <f>(G12*K19*IF($D$3="English",C6, (C6^-1)*10^9))/(C7*G8)</f>
        <v>10020.064019700523</v>
      </c>
      <c r="L22" s="9" t="str">
        <f>IF($D$3="English","psi","Pa")</f>
        <v>psi</v>
      </c>
      <c r="AF22"/>
      <c r="AG22"/>
      <c r="AH22"/>
      <c r="AJ22" s="21">
        <v>38</v>
      </c>
      <c r="AK22" s="26">
        <v>0.38400000000000001</v>
      </c>
      <c r="AR22" s="12"/>
      <c r="AY22" s="12"/>
      <c r="BF22" s="12"/>
      <c r="BM22" s="12"/>
      <c r="BT22" s="12"/>
      <c r="CA22" s="12"/>
      <c r="CH22" s="12"/>
      <c r="CO22" s="12"/>
    </row>
    <row r="23" spans="2:93" ht="15" customHeight="1">
      <c r="F23" s="9"/>
      <c r="G23" s="29">
        <f>IF($D$3="English",G22*10^-3,G22*10^-6)</f>
        <v>10.02066417984256</v>
      </c>
      <c r="H23" s="9" t="str">
        <f>IF($D$3="English","kpsi","MPa")</f>
        <v>kpsi</v>
      </c>
      <c r="J23" s="9"/>
      <c r="K23" s="29">
        <f>IF($D$3="English",K22*10^-3,K22*10^-6)</f>
        <v>10.020064019700524</v>
      </c>
      <c r="L23" s="9" t="str">
        <f>IF($D$3="English","kpsi","MPa")</f>
        <v>kpsi</v>
      </c>
      <c r="AF23"/>
      <c r="AG23"/>
      <c r="AH23"/>
      <c r="AJ23" s="21">
        <v>43</v>
      </c>
      <c r="AK23" s="26">
        <v>0.39700000000000002</v>
      </c>
      <c r="AR23" s="12"/>
      <c r="AY23" s="12"/>
      <c r="BF23" s="12"/>
      <c r="BM23" s="12"/>
      <c r="BT23" s="12"/>
      <c r="CA23" s="12"/>
      <c r="CH23" s="12"/>
      <c r="CO23" s="12"/>
    </row>
    <row r="24" spans="2:93" ht="15" customHeight="1">
      <c r="F24" s="9" t="s">
        <v>16</v>
      </c>
      <c r="G24" s="22">
        <f>G22*K15</f>
        <v>12826.450150198476</v>
      </c>
      <c r="H24" s="9" t="str">
        <f>IF($D$3="English","psi","Pa")</f>
        <v>psi</v>
      </c>
      <c r="J24" s="9" t="s">
        <v>16</v>
      </c>
      <c r="K24" s="22">
        <f>K22*K15</f>
        <v>12825.681945216667</v>
      </c>
      <c r="L24" s="9" t="str">
        <f>IF($D$3="English","psi","Pa")</f>
        <v>psi</v>
      </c>
      <c r="AF24"/>
      <c r="AG24"/>
      <c r="AH24"/>
      <c r="AJ24" s="21">
        <v>50</v>
      </c>
      <c r="AK24" s="26">
        <v>0.40899999999999997</v>
      </c>
      <c r="AR24" s="12"/>
      <c r="AY24" s="12"/>
      <c r="BF24" s="12"/>
      <c r="BM24" s="12"/>
      <c r="BT24" s="12"/>
      <c r="CA24" s="12"/>
      <c r="CH24" s="12"/>
      <c r="CO24" s="12"/>
    </row>
    <row r="25" spans="2:93" ht="15" customHeight="1">
      <c r="F25" s="9"/>
      <c r="G25" s="30">
        <f>IF($D$3="English",G24*10^-3,G24*10^-6)</f>
        <v>12.826450150198477</v>
      </c>
      <c r="H25" s="9" t="str">
        <f>IF($D$3="English","kpsi","MPa")</f>
        <v>kpsi</v>
      </c>
      <c r="J25" s="9"/>
      <c r="K25" s="30">
        <f>IF($D$3="English",K24*10^-3,K24*10^-6)</f>
        <v>12.825681945216667</v>
      </c>
      <c r="L25" s="9" t="str">
        <f>IF($D$3="English","kpsi","MPa")</f>
        <v>kpsi</v>
      </c>
      <c r="AF25"/>
      <c r="AG25"/>
      <c r="AH25"/>
      <c r="AJ25" s="21">
        <v>60</v>
      </c>
      <c r="AK25" s="26">
        <v>0.42199999999999999</v>
      </c>
      <c r="AR25" s="12"/>
      <c r="AY25" s="12"/>
      <c r="BF25" s="12"/>
      <c r="BM25" s="12"/>
      <c r="BT25" s="12"/>
      <c r="CA25" s="12"/>
      <c r="CH25" s="12"/>
      <c r="CO25" s="12"/>
    </row>
    <row r="26" spans="2:93" ht="15" customHeight="1">
      <c r="AF26"/>
      <c r="AG26"/>
      <c r="AH26"/>
      <c r="AJ26" s="21">
        <v>75</v>
      </c>
      <c r="AK26" s="26">
        <v>0.435</v>
      </c>
      <c r="AR26" s="12"/>
      <c r="AY26" s="12"/>
      <c r="BF26" s="12"/>
      <c r="BM26" s="12"/>
      <c r="BT26" s="12"/>
      <c r="CA26" s="12"/>
      <c r="CH26" s="12"/>
      <c r="CO26" s="12"/>
    </row>
    <row r="27" spans="2:93" ht="15" customHeight="1">
      <c r="AF27"/>
      <c r="AG27"/>
      <c r="AH27"/>
      <c r="AJ27" s="21">
        <v>100</v>
      </c>
      <c r="AK27" s="26">
        <v>0.44700000000000001</v>
      </c>
      <c r="AR27" s="12"/>
      <c r="AY27" s="12"/>
      <c r="BF27" s="12"/>
      <c r="BM27" s="12"/>
      <c r="BT27" s="12"/>
      <c r="CA27" s="12"/>
      <c r="CH27" s="12"/>
      <c r="CO27" s="12"/>
    </row>
    <row r="28" spans="2:93" ht="15" customHeight="1">
      <c r="AB28"/>
      <c r="AC28"/>
      <c r="AD28"/>
      <c r="AF28"/>
      <c r="AG28"/>
      <c r="AH28"/>
      <c r="AJ28" s="21">
        <v>150</v>
      </c>
      <c r="AK28" s="26">
        <v>0.46</v>
      </c>
      <c r="AR28" s="12"/>
      <c r="AY28" s="12"/>
      <c r="BF28" s="12"/>
      <c r="BM28" s="12"/>
      <c r="BT28" s="12"/>
      <c r="CA28" s="12"/>
      <c r="CH28" s="12"/>
      <c r="CO28" s="12"/>
    </row>
    <row r="29" spans="2:93" ht="15" customHeight="1">
      <c r="AB29"/>
      <c r="AC29"/>
      <c r="AD29"/>
      <c r="AF29"/>
      <c r="AG29"/>
      <c r="AH29"/>
      <c r="AJ29" s="21">
        <v>300</v>
      </c>
      <c r="AK29" s="26">
        <v>0.47199999999999998</v>
      </c>
      <c r="AR29" s="12"/>
      <c r="AY29" s="12"/>
      <c r="BF29" s="12"/>
      <c r="BM29" s="12"/>
      <c r="BT29" s="12"/>
      <c r="CA29" s="12"/>
      <c r="CH29" s="12"/>
      <c r="CO29" s="12"/>
    </row>
    <row r="30" spans="2:93" ht="15" customHeight="1">
      <c r="AB30"/>
      <c r="AC30"/>
      <c r="AD30"/>
      <c r="AF30"/>
      <c r="AG30"/>
      <c r="AH30"/>
      <c r="AJ30" s="21">
        <v>400</v>
      </c>
      <c r="AK30" s="26">
        <v>0.48</v>
      </c>
      <c r="AR30" s="12"/>
      <c r="AY30" s="12"/>
      <c r="BF30" s="12"/>
      <c r="BM30" s="12"/>
      <c r="BT30" s="12"/>
      <c r="CA30" s="12"/>
      <c r="CH30" s="12"/>
      <c r="CO30" s="12"/>
    </row>
    <row r="31" spans="2:93" ht="15" customHeight="1">
      <c r="AB31"/>
      <c r="AC31"/>
      <c r="AD31"/>
      <c r="AF31"/>
      <c r="AG31"/>
      <c r="AH31"/>
      <c r="AJ31" s="19" t="s">
        <v>58</v>
      </c>
      <c r="AK31" s="20">
        <v>0.48499999999999999</v>
      </c>
      <c r="AR31" s="12"/>
      <c r="AY31" s="12"/>
      <c r="BF31" s="12"/>
      <c r="BM31" s="12"/>
      <c r="BT31" s="12"/>
      <c r="CA31" s="12"/>
      <c r="CH31" s="12"/>
      <c r="CO31" s="12"/>
    </row>
    <row r="32" spans="2:93" ht="15" customHeight="1">
      <c r="AB32"/>
      <c r="AC32"/>
      <c r="AD32"/>
      <c r="AF32"/>
      <c r="AG32"/>
      <c r="AH32"/>
      <c r="AR32" s="12"/>
      <c r="AY32" s="12"/>
      <c r="BF32" s="12"/>
      <c r="BM32" s="12"/>
      <c r="BT32" s="12"/>
      <c r="CA32" s="12"/>
      <c r="CH32" s="12"/>
      <c r="CO32" s="12"/>
    </row>
    <row r="33" spans="13:93" ht="15" customHeight="1">
      <c r="AB33"/>
      <c r="AC33"/>
      <c r="AD33"/>
      <c r="AF33"/>
      <c r="AG33"/>
      <c r="AH33"/>
      <c r="AR33" s="12"/>
      <c r="AY33" s="12"/>
      <c r="BF33" s="12"/>
      <c r="BM33" s="12"/>
      <c r="BT33" s="12"/>
      <c r="CA33" s="12"/>
      <c r="CH33" s="12"/>
      <c r="CO33" s="12"/>
    </row>
    <row r="34" spans="13:93" ht="15" customHeight="1">
      <c r="AB34"/>
      <c r="AC34"/>
      <c r="AD34"/>
      <c r="AF34"/>
      <c r="AG34"/>
      <c r="AH34"/>
      <c r="AR34" s="12"/>
      <c r="AY34" s="12"/>
      <c r="BF34" s="12"/>
      <c r="BM34" s="12"/>
      <c r="BT34" s="12"/>
      <c r="CA34" s="12"/>
      <c r="CH34" s="12"/>
      <c r="CO34" s="12"/>
    </row>
    <row r="35" spans="13:93" ht="15" customHeight="1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/>
      <c r="AC35"/>
      <c r="AD35"/>
      <c r="AF35"/>
      <c r="AG35"/>
      <c r="AH35"/>
      <c r="AR35" s="12"/>
      <c r="AY35" s="12"/>
      <c r="BF35" s="12"/>
      <c r="BM35" s="12"/>
      <c r="BT35" s="12"/>
      <c r="CA35" s="12"/>
      <c r="CH35" s="12"/>
      <c r="CO35" s="12"/>
    </row>
    <row r="36" spans="13:93" ht="15" customHeight="1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/>
      <c r="AC36"/>
      <c r="AD36"/>
      <c r="AF36"/>
      <c r="AG36"/>
      <c r="AH36"/>
      <c r="AK36" s="12"/>
      <c r="AR36" s="12"/>
      <c r="AY36" s="12"/>
      <c r="BF36" s="12"/>
      <c r="BM36" s="12"/>
      <c r="BT36" s="12"/>
      <c r="CA36" s="12"/>
      <c r="CH36" s="12"/>
      <c r="CO36" s="12"/>
    </row>
    <row r="37" spans="13:93" ht="15" customHeight="1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K37" s="12"/>
      <c r="AR37" s="12"/>
      <c r="AY37" s="12"/>
      <c r="BF37" s="12"/>
      <c r="BM37" s="12"/>
      <c r="BT37" s="12"/>
      <c r="CA37" s="12"/>
      <c r="CH37" s="12"/>
      <c r="CO37" s="12"/>
    </row>
    <row r="38" spans="13:93" ht="15" customHeight="1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K38" s="12"/>
      <c r="AR38" s="12"/>
      <c r="AY38" s="12"/>
      <c r="BF38" s="12"/>
      <c r="BM38" s="12"/>
      <c r="BT38" s="12"/>
      <c r="CA38" s="12"/>
      <c r="CH38" s="12"/>
      <c r="CO38" s="12"/>
    </row>
    <row r="39" spans="13:93" ht="15" customHeight="1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K39" s="12"/>
      <c r="AR39" s="12"/>
      <c r="AY39" s="12"/>
      <c r="BF39" s="12"/>
      <c r="BM39" s="12"/>
      <c r="BT39" s="12"/>
      <c r="CA39" s="12"/>
      <c r="CH39" s="12"/>
      <c r="CO39" s="12"/>
    </row>
    <row r="40" spans="13:93" ht="15" customHeight="1">
      <c r="AK40" s="12"/>
      <c r="AR40" s="12"/>
      <c r="AY40" s="12"/>
      <c r="BF40" s="12"/>
      <c r="BM40" s="12"/>
      <c r="BT40" s="12"/>
      <c r="CA40" s="12"/>
      <c r="CH40" s="12"/>
      <c r="CO40" s="12"/>
    </row>
    <row r="41" spans="13:93" ht="15" customHeight="1">
      <c r="AK41" s="12"/>
      <c r="AR41" s="12"/>
      <c r="AY41" s="12"/>
      <c r="BF41" s="12"/>
      <c r="BM41" s="12"/>
      <c r="BT41" s="12"/>
      <c r="CA41" s="12"/>
      <c r="CH41" s="12"/>
      <c r="CO41" s="12"/>
    </row>
    <row r="42" spans="13:93" ht="15" customHeight="1">
      <c r="AK42" s="12"/>
      <c r="AR42" s="12"/>
      <c r="AY42" s="12"/>
      <c r="BF42" s="12"/>
      <c r="BM42" s="12"/>
      <c r="BT42" s="12"/>
      <c r="CA42" s="12"/>
      <c r="CH42" s="12"/>
      <c r="CO42" s="12"/>
    </row>
    <row r="43" spans="13:93" ht="15" customHeight="1">
      <c r="AK43" s="12"/>
      <c r="AR43" s="12"/>
      <c r="AY43" s="12"/>
      <c r="BF43" s="12"/>
      <c r="BM43" s="12"/>
      <c r="BT43" s="12"/>
      <c r="CA43" s="12"/>
      <c r="CH43" s="12"/>
      <c r="CO43" s="12"/>
    </row>
    <row r="44" spans="13:93" ht="15" customHeight="1">
      <c r="AK44" s="12"/>
      <c r="AR44" s="12"/>
      <c r="AY44" s="12"/>
      <c r="BF44" s="12"/>
      <c r="BM44" s="12"/>
      <c r="BT44" s="12"/>
      <c r="CA44" s="12"/>
      <c r="CH44" s="12"/>
      <c r="CO44" s="12"/>
    </row>
    <row r="45" spans="13:93" ht="15" customHeight="1">
      <c r="AK45" s="12"/>
      <c r="AR45" s="12"/>
      <c r="AY45" s="12"/>
      <c r="BF45" s="12"/>
      <c r="BM45" s="12"/>
      <c r="BT45" s="12"/>
      <c r="CA45" s="12"/>
      <c r="CH45" s="12"/>
      <c r="CO45" s="12"/>
    </row>
    <row r="46" spans="13:93" ht="15" customHeight="1">
      <c r="AK46" s="12"/>
      <c r="AR46" s="12"/>
      <c r="AY46" s="12"/>
      <c r="BF46" s="12"/>
      <c r="BM46" s="12"/>
      <c r="BT46" s="12"/>
      <c r="CA46" s="12"/>
      <c r="CH46" s="12"/>
      <c r="CO46" s="12"/>
    </row>
    <row r="47" spans="13:93" ht="15" customHeight="1">
      <c r="AK47" s="12"/>
      <c r="AR47" s="12"/>
      <c r="AY47" s="12"/>
      <c r="BF47" s="12"/>
      <c r="BM47" s="12"/>
      <c r="BT47" s="12"/>
      <c r="CA47" s="12"/>
      <c r="CH47" s="12"/>
      <c r="CO47" s="12"/>
    </row>
    <row r="48" spans="13:93" ht="15" customHeight="1">
      <c r="AK48" s="12"/>
      <c r="AR48" s="12"/>
      <c r="AY48" s="12"/>
      <c r="BF48" s="12"/>
      <c r="BM48" s="12"/>
      <c r="BT48" s="12"/>
      <c r="CA48" s="12"/>
      <c r="CH48" s="12"/>
      <c r="CO48" s="12"/>
    </row>
    <row r="49" spans="8:93" ht="15" customHeight="1">
      <c r="AK49" s="12"/>
      <c r="AR49" s="12"/>
      <c r="AY49" s="12"/>
      <c r="BF49" s="12"/>
      <c r="BM49" s="12"/>
      <c r="BT49" s="12"/>
      <c r="CA49" s="12"/>
      <c r="CH49" s="12"/>
      <c r="CO49" s="12"/>
    </row>
    <row r="50" spans="8:93" ht="15" customHeight="1">
      <c r="AK50" s="12"/>
      <c r="AR50" s="12"/>
      <c r="AY50" s="12"/>
      <c r="BF50" s="12"/>
      <c r="BM50" s="12"/>
      <c r="BT50" s="12"/>
      <c r="CA50" s="12"/>
      <c r="CH50" s="12"/>
      <c r="CO50" s="12"/>
    </row>
    <row r="51" spans="8:93" ht="15" customHeight="1">
      <c r="AK51" s="12"/>
      <c r="AR51" s="12"/>
      <c r="AY51" s="12"/>
      <c r="BF51" s="12"/>
      <c r="BM51" s="12"/>
      <c r="BT51" s="12"/>
      <c r="CA51" s="12"/>
      <c r="CH51" s="12"/>
      <c r="CO51" s="12"/>
    </row>
    <row r="52" spans="8:93" ht="15" customHeight="1">
      <c r="AK52" s="12"/>
      <c r="AR52" s="12"/>
      <c r="AY52" s="12"/>
      <c r="BF52" s="12"/>
      <c r="BM52" s="12"/>
      <c r="BT52" s="12"/>
      <c r="CA52" s="12"/>
      <c r="CH52" s="12"/>
      <c r="CO52" s="12"/>
    </row>
    <row r="53" spans="8:93" ht="15" customHeight="1">
      <c r="AK53" s="12"/>
      <c r="AR53" s="12"/>
      <c r="AY53" s="12"/>
      <c r="BF53" s="12"/>
      <c r="BM53" s="12"/>
      <c r="BT53" s="12"/>
      <c r="CA53" s="12"/>
      <c r="CH53" s="12"/>
      <c r="CO53" s="12"/>
    </row>
    <row r="54" spans="8:93" ht="15" customHeight="1">
      <c r="AK54" s="12"/>
      <c r="AR54" s="12"/>
      <c r="AY54" s="12"/>
      <c r="BF54" s="12"/>
      <c r="BM54" s="12"/>
      <c r="BT54" s="12"/>
      <c r="CA54" s="12"/>
      <c r="CH54" s="12"/>
      <c r="CO54" s="12"/>
    </row>
    <row r="55" spans="8:93" ht="15" customHeight="1">
      <c r="AK55" s="12"/>
      <c r="AR55" s="12"/>
      <c r="AY55" s="12"/>
      <c r="BF55" s="12"/>
      <c r="BM55" s="12"/>
      <c r="BT55" s="12"/>
      <c r="CA55" s="12"/>
      <c r="CH55" s="12"/>
      <c r="CO55" s="12"/>
    </row>
    <row r="56" spans="8:93" ht="15" customHeight="1">
      <c r="AK56" s="12"/>
      <c r="AR56" s="12"/>
      <c r="AY56" s="12"/>
      <c r="BF56" s="12"/>
      <c r="BM56" s="12"/>
      <c r="BT56" s="12"/>
      <c r="CA56" s="12"/>
      <c r="CH56" s="12"/>
      <c r="CO56" s="12"/>
    </row>
    <row r="57" spans="8:93" ht="15" customHeight="1">
      <c r="H57"/>
      <c r="AK57" s="12"/>
      <c r="AR57" s="12"/>
      <c r="AY57" s="12"/>
      <c r="BF57" s="12"/>
      <c r="BM57" s="12"/>
      <c r="BT57" s="12"/>
      <c r="CA57" s="12"/>
      <c r="CH57" s="12"/>
      <c r="CO57" s="12"/>
    </row>
    <row r="58" spans="8:93" ht="15" customHeight="1">
      <c r="AK58" s="12"/>
      <c r="AR58" s="12"/>
      <c r="AY58" s="12"/>
      <c r="BF58" s="12"/>
      <c r="BM58" s="12"/>
      <c r="BT58" s="12"/>
      <c r="CA58" s="12"/>
      <c r="CH58" s="12"/>
      <c r="CO58" s="12"/>
    </row>
    <row r="59" spans="8:93" ht="15" customHeight="1">
      <c r="AK59" s="12"/>
      <c r="AR59" s="12"/>
      <c r="AY59" s="12"/>
      <c r="BF59" s="12"/>
      <c r="BM59" s="12"/>
      <c r="BT59" s="12"/>
      <c r="CA59" s="12"/>
      <c r="CH59" s="12"/>
      <c r="CO59" s="12"/>
    </row>
    <row r="60" spans="8:93" ht="15" customHeight="1">
      <c r="AK60" s="12"/>
      <c r="AR60" s="12"/>
      <c r="AY60" s="12"/>
      <c r="BF60" s="12"/>
      <c r="BM60" s="12"/>
      <c r="BT60" s="12"/>
      <c r="CA60" s="12"/>
      <c r="CH60" s="12"/>
      <c r="CO60" s="12"/>
    </row>
    <row r="61" spans="8:93" ht="15" customHeight="1">
      <c r="AK61" s="12"/>
      <c r="AR61" s="12"/>
      <c r="AY61" s="12"/>
      <c r="BF61" s="12"/>
      <c r="BM61" s="12"/>
      <c r="BT61" s="12"/>
      <c r="CA61" s="12"/>
      <c r="CH61" s="12"/>
      <c r="CO61" s="12"/>
    </row>
    <row r="62" spans="8:93" ht="15" customHeight="1">
      <c r="AK62" s="12"/>
      <c r="AR62" s="12"/>
      <c r="AY62" s="12"/>
      <c r="BF62" s="12"/>
      <c r="BM62" s="12"/>
      <c r="BT62" s="12"/>
      <c r="CA62" s="12"/>
      <c r="CH62" s="12"/>
      <c r="CO62" s="12"/>
    </row>
    <row r="63" spans="8:93" ht="15" customHeight="1">
      <c r="AK63" s="12"/>
      <c r="AR63" s="12"/>
      <c r="AY63" s="12"/>
      <c r="BF63" s="12"/>
      <c r="BM63" s="12"/>
      <c r="BT63" s="12"/>
      <c r="CA63" s="12"/>
      <c r="CH63" s="12"/>
      <c r="CO63" s="12"/>
    </row>
    <row r="64" spans="8:93" ht="15" customHeight="1">
      <c r="AK64" s="12"/>
      <c r="AR64" s="12"/>
      <c r="AY64" s="12"/>
      <c r="BF64" s="12"/>
      <c r="BM64" s="12"/>
      <c r="BT64" s="12"/>
      <c r="CA64" s="12"/>
      <c r="CH64" s="12"/>
      <c r="CO64" s="12"/>
    </row>
    <row r="69" spans="2:12" ht="15" customHeight="1">
      <c r="B69" s="27"/>
      <c r="C69" s="27" t="s">
        <v>59</v>
      </c>
      <c r="D69" s="27"/>
      <c r="E69" s="28"/>
      <c r="F69" s="27"/>
      <c r="G69" s="27"/>
      <c r="H69" s="27"/>
    </row>
    <row r="73" spans="2:12" ht="15" customHeight="1">
      <c r="L73"/>
    </row>
    <row r="202" spans="2:32" ht="15" customHeight="1">
      <c r="B202"/>
      <c r="AB202"/>
      <c r="AF202"/>
    </row>
  </sheetData>
  <conditionalFormatting sqref="B6:D6">
    <cfRule type="expression" dxfId="1" priority="3">
      <formula>$I$54</formula>
    </cfRule>
    <cfRule type="expression" dxfId="0" priority="4">
      <formula>$I$51</formula>
    </cfRule>
  </conditionalFormatting>
  <dataValidations disablePrompts="1" count="2">
    <dataValidation type="list" allowBlank="1" showInputMessage="1" showErrorMessage="1" sqref="C16" xr:uid="{258813CC-C01E-45D9-AE0B-D1DDDF563817}">
      <formula1>"Cast Profile, Cut or Milled Profile, Hobbed or Shaped Profile, Shaped or Ground Profile"</formula1>
    </dataValidation>
    <dataValidation type="list" allowBlank="1" showInputMessage="1" showErrorMessage="1" sqref="D3" xr:uid="{5EBB6853-56B4-4A89-9756-43B7E38EF405}">
      <formula1>"English, Metric"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Caiden Logan Bonney</dc:creator>
  <cp:keywords/>
  <dc:description/>
  <cp:lastModifiedBy>Toby Noah Sagi</cp:lastModifiedBy>
  <cp:revision/>
  <dcterms:created xsi:type="dcterms:W3CDTF">2025-03-01T01:25:50Z</dcterms:created>
  <dcterms:modified xsi:type="dcterms:W3CDTF">2025-03-14T05:23:47Z</dcterms:modified>
  <cp:category/>
  <cp:contentStatus/>
</cp:coreProperties>
</file>